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tings" sheetId="1" state="visible" r:id="rId3"/>
    <sheet name="Machine_List" sheetId="2" state="visible" r:id="rId4"/>
    <sheet name="Job_Master" sheetId="3" state="visible" r:id="rId5"/>
    <sheet name="VTL_Plan" sheetId="4" state="visible" r:id="rId6"/>
    <sheet name="SPM_Plan" sheetId="5" state="visible" r:id="rId7"/>
    <sheet name="CARVING_Plan" sheetId="6" state="visible" r:id="rId8"/>
    <sheet name="EDM_Plan" sheetId="7" state="visible" r:id="rId9"/>
    <sheet name="ENG_Plan" sheetId="8" state="visible" r:id="rId10"/>
    <sheet name="VENT_Plan" sheetId="9" state="visible" r:id="rId11"/>
    <sheet name="FID_Plan" sheetId="10" state="visible" r:id="rId12"/>
    <sheet name="QC_Plan" sheetId="11" state="visible" r:id="rId13"/>
    <sheet name="Lists" sheetId="12" state="hidden" r:id="rId14"/>
    <sheet name="Dashboard" sheetId="13" state="visible" r:id="rId15"/>
    <sheet name="PM_Schedule" sheetId="14" state="visible" r:id="rId16"/>
    <sheet name="OPR_2P" sheetId="15" state="visible" r:id="rId17"/>
    <sheet name="SEG_6P" sheetId="16" state="visible" r:id="rId18"/>
    <sheet name="SOL_4P" sheetId="17" state="visible" r:id="rId19"/>
    <sheet name="RW_2P" sheetId="18" state="visible" r:id="rId20"/>
    <sheet name="RW2_4P" sheetId="19" state="visible" r:id="rId21"/>
    <sheet name="FLAP_4P" sheetId="20" state="visible" r:id="rId22"/>
    <sheet name="TUBE_4P" sheetId="21" state="visible" r:id="rId23"/>
    <sheet name="WIP_Tracker" sheetId="22" state="visible" r:id="rId24"/>
    <sheet name="Delivery_Tracker" sheetId="23" state="visible" r:id="rId25"/>
    <sheet name="WhatIf_Scenario" sheetId="24" state="visible" r:id="rId26"/>
    <sheet name="4Week_Horizon" sheetId="25" state="visible" r:id="rId27"/>
    <sheet name="Material_Stock" sheetId="26" state="visible" r:id="rId28"/>
    <sheet name="Shift_Roster" sheetId="27" state="visible" r:id="rId29"/>
    <sheet name="Downtime_Register" sheetId="28" state="visible" r:id="rId30"/>
    <sheet name="OPR_BR1" sheetId="29" state="visible" r:id="rId31"/>
    <sheet name="OPR_BR2" sheetId="30" state="visible" r:id="rId32"/>
    <sheet name="OPR_CR2" sheetId="31" state="visible" r:id="rId33"/>
    <sheet name="OPR_CR3" sheetId="32" state="visible" r:id="rId34"/>
    <sheet name="OPR_CR4" sheetId="33" state="visible" r:id="rId35"/>
    <sheet name="OPR_RIM" sheetId="34" state="visible" r:id="rId36"/>
    <sheet name="OPR_BPR" sheetId="35" state="visible" r:id="rId37"/>
    <sheet name="Job_Master_Ring" sheetId="36" state="visible" r:id="rId38"/>
  </sheets>
  <definedNames>
    <definedName function="false" hidden="false" name="DimensionID" vbProcedure="false">Lists!$A$1:$A$200</definedName>
    <definedName function="false" hidden="false" name="DimensionOD" vbProcedure="false">Lists!$B$1:$B$200</definedName>
    <definedName function="false" hidden="false" name="GlobalStartDate" vbProcedure="false">Job_Master!$B$2</definedName>
    <definedName function="false" hidden="false" name="JobTypeList" vbProcedure="false">Settings!$L$4:$L$7</definedName>
    <definedName function="false" hidden="false" name="MachineLookup" vbProcedure="false">Lists!$C$1:$K$16</definedName>
    <definedName function="false" hidden="false" name="SizeList" vbProcedure="false">Settings!$M$4:$M$18</definedName>
    <definedName function="false" hidden="false" name="WorkmanCategoryRange" vbProcedure="false">Settings!$J$4:$J$5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AUTO: QC End Date + 30 days buffer.
OVERRIDE: Type any date directly in this cell to set customer due date manually.
Blank cells use the auto formula. Typed dates override it.</t>
        </r>
      </text>
    </comment>
  </commentList>
</comments>
</file>

<file path=xl/sharedStrings.xml><?xml version="1.0" encoding="utf-8"?>
<sst xmlns="http://schemas.openxmlformats.org/spreadsheetml/2006/main" count="1879" uniqueCount="440">
  <si>
    <t xml:space="preserve">Lunch/Tea Break hrs</t>
  </si>
  <si>
    <t xml:space="preserve">Shift</t>
  </si>
  <si>
    <t xml:space="preserve">Category</t>
  </si>
  <si>
    <t xml:space="preserve">Start</t>
  </si>
  <si>
    <t xml:space="preserve">End</t>
  </si>
  <si>
    <t xml:space="preserve">String</t>
  </si>
  <si>
    <t xml:space="preserve">Gen Qty</t>
  </si>
  <si>
    <t xml:space="preserve">Cont Qty</t>
  </si>
  <si>
    <t xml:space="preserve">Net Hrs</t>
  </si>
  <si>
    <t xml:space="preserve">Avl hrs</t>
  </si>
  <si>
    <t xml:space="preserve">Type</t>
  </si>
  <si>
    <t xml:space="preserve">Size</t>
  </si>
  <si>
    <t xml:space="preserve">Shift A</t>
  </si>
  <si>
    <t xml:space="preserve">07:00 – 15:00</t>
  </si>
  <si>
    <t xml:space="preserve">Gen</t>
  </si>
  <si>
    <t xml:space="preserve">2P</t>
  </si>
  <si>
    <t xml:space="preserve">Shift B</t>
  </si>
  <si>
    <t xml:space="preserve">15:00 – 23:00</t>
  </si>
  <si>
    <t xml:space="preserve">Cont</t>
  </si>
  <si>
    <t xml:space="preserve">SEG</t>
  </si>
  <si>
    <t xml:space="preserve">Shift C</t>
  </si>
  <si>
    <t xml:space="preserve">23:00 – 07:00</t>
  </si>
  <si>
    <t xml:space="preserve">SOL</t>
  </si>
  <si>
    <t xml:space="preserve">Shift S1</t>
  </si>
  <si>
    <t xml:space="preserve">08:00 – 20:00</t>
  </si>
  <si>
    <t xml:space="preserve">RW</t>
  </si>
  <si>
    <t xml:space="preserve">Shift S2</t>
  </si>
  <si>
    <t xml:space="preserve">20:00 – 08:00</t>
  </si>
  <si>
    <t xml:space="preserve">RW2</t>
  </si>
  <si>
    <t xml:space="preserve">FLAP</t>
  </si>
  <si>
    <t xml:space="preserve">TUBE</t>
  </si>
  <si>
    <t xml:space="preserve">Operation</t>
  </si>
  <si>
    <t xml:space="preserve">Machine ID</t>
  </si>
  <si>
    <t xml:space="preserve">Next PM Date</t>
  </si>
  <si>
    <t xml:space="preserve">Dur</t>
  </si>
  <si>
    <t xml:space="preserve">Freq</t>
  </si>
  <si>
    <t xml:space="preserve">Status</t>
  </si>
  <si>
    <t xml:space="preserve">Worker Category</t>
  </si>
  <si>
    <t xml:space="preserve">Machine Min ID Limit</t>
  </si>
  <si>
    <t xml:space="preserve">Machine Max OD Limit (New)</t>
  </si>
  <si>
    <t xml:space="preserve">Compatible Size Range</t>
  </si>
  <si>
    <t xml:space="preserve">VTL</t>
  </si>
  <si>
    <t xml:space="preserve">VTL-MC-01</t>
  </si>
  <si>
    <t xml:space="preserve">Active</t>
  </si>
  <si>
    <t xml:space="preserve">General Workman</t>
  </si>
  <si>
    <t xml:space="preserve">VTL-MC-02</t>
  </si>
  <si>
    <t xml:space="preserve">VTL-MC-03</t>
  </si>
  <si>
    <t xml:space="preserve">VTL-MC-04</t>
  </si>
  <si>
    <t xml:space="preserve">SPM</t>
  </si>
  <si>
    <t xml:space="preserve">SPM-MC-01</t>
  </si>
  <si>
    <t xml:space="preserve">SPM-MC-02</t>
  </si>
  <si>
    <t xml:space="preserve">SPM-MC-03</t>
  </si>
  <si>
    <t xml:space="preserve">SPM-MC-04</t>
  </si>
  <si>
    <t xml:space="preserve">SPM-MC-05</t>
  </si>
  <si>
    <t xml:space="preserve">SPM-MC-06</t>
  </si>
  <si>
    <t xml:space="preserve">CARVING</t>
  </si>
  <si>
    <t xml:space="preserve">CARVING-MC-01</t>
  </si>
  <si>
    <t xml:space="preserve">CARVING-MC-02</t>
  </si>
  <si>
    <t xml:space="preserve">CARVING-MC-03</t>
  </si>
  <si>
    <t xml:space="preserve">CARVING-MC-04</t>
  </si>
  <si>
    <t xml:space="preserve">CARVING-MC-05</t>
  </si>
  <si>
    <t xml:space="preserve">CARVING-MC-06</t>
  </si>
  <si>
    <t xml:space="preserve">EDM</t>
  </si>
  <si>
    <t xml:space="preserve">EDM-MC-01</t>
  </si>
  <si>
    <t xml:space="preserve">EDM-MC-02</t>
  </si>
  <si>
    <t xml:space="preserve">EDM-MC-03</t>
  </si>
  <si>
    <t xml:space="preserve">EDM-MC-04</t>
  </si>
  <si>
    <t xml:space="preserve">EDM-MC-05</t>
  </si>
  <si>
    <t xml:space="preserve">EDM-MC-06</t>
  </si>
  <si>
    <t xml:space="preserve">EDM-MC-07</t>
  </si>
  <si>
    <t xml:space="preserve">EDM-MC-08</t>
  </si>
  <si>
    <t xml:space="preserve">EDM-MC-09</t>
  </si>
  <si>
    <t xml:space="preserve">EDM-MC-10</t>
  </si>
  <si>
    <t xml:space="preserve">EDM-MC-11</t>
  </si>
  <si>
    <t xml:space="preserve">EDM-MC-12</t>
  </si>
  <si>
    <t xml:space="preserve">EDM-MC-13</t>
  </si>
  <si>
    <t xml:space="preserve">EDM-MC-14</t>
  </si>
  <si>
    <t xml:space="preserve">EDM-MC-15</t>
  </si>
  <si>
    <t xml:space="preserve">EDM-MC-16</t>
  </si>
  <si>
    <t xml:space="preserve">EDM-MC-17</t>
  </si>
  <si>
    <t xml:space="preserve">EDM-MC-18</t>
  </si>
  <si>
    <t xml:space="preserve">EDM-MC-19</t>
  </si>
  <si>
    <t xml:space="preserve">EDM-MC-20</t>
  </si>
  <si>
    <t xml:space="preserve">EDM-MC-21</t>
  </si>
  <si>
    <t xml:space="preserve">EDM-MC-22</t>
  </si>
  <si>
    <t xml:space="preserve">EDM-MC-23</t>
  </si>
  <si>
    <t xml:space="preserve">EDM-MC-24</t>
  </si>
  <si>
    <t xml:space="preserve">EDM-MC-25</t>
  </si>
  <si>
    <t xml:space="preserve">EDM-MC-26</t>
  </si>
  <si>
    <t xml:space="preserve">EDM-MC-27</t>
  </si>
  <si>
    <t xml:space="preserve">EDM-MC-28</t>
  </si>
  <si>
    <t xml:space="preserve">EDM-MC-29</t>
  </si>
  <si>
    <t xml:space="preserve">EDM-MC-30</t>
  </si>
  <si>
    <t xml:space="preserve">ENG</t>
  </si>
  <si>
    <t xml:space="preserve">ENG-MC-01</t>
  </si>
  <si>
    <t xml:space="preserve">ENG-MC-02</t>
  </si>
  <si>
    <t xml:space="preserve">ENG-MC-03</t>
  </si>
  <si>
    <t xml:space="preserve">ENG-MC-04</t>
  </si>
  <si>
    <t xml:space="preserve">ENG-MC-05</t>
  </si>
  <si>
    <t xml:space="preserve">ENG-MC-06</t>
  </si>
  <si>
    <t xml:space="preserve">ENG-MC-07</t>
  </si>
  <si>
    <t xml:space="preserve">ENG-MC-08</t>
  </si>
  <si>
    <t xml:space="preserve">ENG-MC-09</t>
  </si>
  <si>
    <t xml:space="preserve">ENG-MC-10</t>
  </si>
  <si>
    <t xml:space="preserve">ENG-MC-11</t>
  </si>
  <si>
    <t xml:space="preserve">ENG-MC-12</t>
  </si>
  <si>
    <t xml:space="preserve">ENG-MC-13</t>
  </si>
  <si>
    <t xml:space="preserve">ENG-MC-14</t>
  </si>
  <si>
    <t xml:space="preserve">VENT</t>
  </si>
  <si>
    <t xml:space="preserve">VENT-MC-01</t>
  </si>
  <si>
    <t xml:space="preserve">Contract Workman</t>
  </si>
  <si>
    <t xml:space="preserve">VENT-MC-02</t>
  </si>
  <si>
    <t xml:space="preserve">VENT-MC-03</t>
  </si>
  <si>
    <t xml:space="preserve">VENT-MC-04</t>
  </si>
  <si>
    <t xml:space="preserve">VENT-MC-05</t>
  </si>
  <si>
    <t xml:space="preserve">VENT-MC-06</t>
  </si>
  <si>
    <t xml:space="preserve">VENT-MC-07</t>
  </si>
  <si>
    <t xml:space="preserve">VENT-MC-08</t>
  </si>
  <si>
    <t xml:space="preserve">FID</t>
  </si>
  <si>
    <t xml:space="preserve">FID-MC-01</t>
  </si>
  <si>
    <t xml:space="preserve">FID-MC-02</t>
  </si>
  <si>
    <t xml:space="preserve">FID-MC-03</t>
  </si>
  <si>
    <t xml:space="preserve">FID-MC-04</t>
  </si>
  <si>
    <t xml:space="preserve">FID-MC-05</t>
  </si>
  <si>
    <t xml:space="preserve">FID-MC-06</t>
  </si>
  <si>
    <t xml:space="preserve">FID-MC-07</t>
  </si>
  <si>
    <t xml:space="preserve">FID-MC-08</t>
  </si>
  <si>
    <t xml:space="preserve">FID-MC-09</t>
  </si>
  <si>
    <t xml:space="preserve">FID-MC-10</t>
  </si>
  <si>
    <t xml:space="preserve">QC</t>
  </si>
  <si>
    <t xml:space="preserve">QC-MC-01</t>
  </si>
  <si>
    <t xml:space="preserve">QC-MC-02</t>
  </si>
  <si>
    <t xml:space="preserve">QC-MC-03</t>
  </si>
  <si>
    <t xml:space="preserve">QC-MC-04</t>
  </si>
  <si>
    <t xml:space="preserve">QC-MC-05</t>
  </si>
  <si>
    <t xml:space="preserve">Global Start</t>
  </si>
  <si>
    <t xml:space="preserve">← Type to override auto date</t>
  </si>
  <si>
    <t xml:space="preserve">Job ID</t>
  </si>
  <si>
    <t xml:space="preserve">No of Parts</t>
  </si>
  <si>
    <t xml:space="preserve">Overall Start</t>
  </si>
  <si>
    <t xml:space="preserve">Overall End</t>
  </si>
  <si>
    <t xml:space="preserve">Priority</t>
  </si>
  <si>
    <t xml:space="preserve">End Month</t>
  </si>
  <si>
    <t xml:space="preserve">Due Date</t>
  </si>
  <si>
    <t xml:space="preserve">Customer</t>
  </si>
  <si>
    <t xml:space="preserve">BJ-104</t>
  </si>
  <si>
    <t xml:space="preserve">Medium</t>
  </si>
  <si>
    <t xml:space="preserve">Released</t>
  </si>
  <si>
    <t xml:space="preserve">Alpha Corp</t>
  </si>
  <si>
    <t xml:space="preserve">BJ-101</t>
  </si>
  <si>
    <t xml:space="preserve">On Hold</t>
  </si>
  <si>
    <t xml:space="preserve">Beta Ltd</t>
  </si>
  <si>
    <t xml:space="preserve">BJ-105</t>
  </si>
  <si>
    <t xml:space="preserve">BJ-100</t>
  </si>
  <si>
    <t xml:space="preserve">Low</t>
  </si>
  <si>
    <t xml:space="preserve">Gamma Inc</t>
  </si>
  <si>
    <t xml:space="preserve">BJ-102</t>
  </si>
  <si>
    <t xml:space="preserve">Cancelled</t>
  </si>
  <si>
    <t xml:space="preserve">BJ-103</t>
  </si>
  <si>
    <t xml:space="preserve">Delta Co</t>
  </si>
  <si>
    <t xml:space="preserve">BJ-108</t>
  </si>
  <si>
    <t xml:space="preserve">High</t>
  </si>
  <si>
    <t xml:space="preserve">BJ-106</t>
  </si>
  <si>
    <t xml:space="preserve">BJ-109</t>
  </si>
  <si>
    <t xml:space="preserve">BJ-110</t>
  </si>
  <si>
    <t xml:space="preserve">BJ-111</t>
  </si>
  <si>
    <t xml:space="preserve">BJ-107</t>
  </si>
  <si>
    <t xml:space="preserve">BJ-112</t>
  </si>
  <si>
    <t xml:space="preserve">BJ-114</t>
  </si>
  <si>
    <t xml:space="preserve">BJ-115</t>
  </si>
  <si>
    <t xml:space="preserve">BJ-116</t>
  </si>
  <si>
    <t xml:space="preserve">BJ-118</t>
  </si>
  <si>
    <t xml:space="preserve">BJ-119</t>
  </si>
  <si>
    <t xml:space="preserve">BJ-120</t>
  </si>
  <si>
    <t xml:space="preserve">BJ-113</t>
  </si>
  <si>
    <t xml:space="preserve">BJ-121</t>
  </si>
  <si>
    <t xml:space="preserve">BJ-123</t>
  </si>
  <si>
    <t xml:space="preserve">BJ-117</t>
  </si>
  <si>
    <t xml:space="preserve">BJ-122</t>
  </si>
  <si>
    <t xml:space="preserve">BJ-124</t>
  </si>
  <si>
    <t xml:space="preserve">BJ-126</t>
  </si>
  <si>
    <t xml:space="preserve">BJ-127</t>
  </si>
  <si>
    <t xml:space="preserve">BJ-128</t>
  </si>
  <si>
    <t xml:space="preserve">BJ-125</t>
  </si>
  <si>
    <t xml:space="preserve">BJ-129</t>
  </si>
  <si>
    <t xml:space="preserve">BJ-130</t>
  </si>
  <si>
    <t xml:space="preserve">BJ-133</t>
  </si>
  <si>
    <t xml:space="preserve">BJ-131</t>
  </si>
  <si>
    <t xml:space="preserve">BJ-134</t>
  </si>
  <si>
    <t xml:space="preserve">BJ-135</t>
  </si>
  <si>
    <t xml:space="preserve">BJ-132</t>
  </si>
  <si>
    <t xml:space="preserve">BJ-136</t>
  </si>
  <si>
    <t xml:space="preserve">BJ-137</t>
  </si>
  <si>
    <t xml:space="preserve">BJ-140</t>
  </si>
  <si>
    <t xml:space="preserve">BJ-138</t>
  </si>
  <si>
    <t xml:space="preserve">BJ-144</t>
  </si>
  <si>
    <t xml:space="preserve">BJ-146</t>
  </si>
  <si>
    <t xml:space="preserve">BJ-139</t>
  </si>
  <si>
    <t xml:space="preserve">BJ-141</t>
  </si>
  <si>
    <t xml:space="preserve">BJ-142</t>
  </si>
  <si>
    <t xml:space="preserve">BJ-147</t>
  </si>
  <si>
    <t xml:space="preserve">BJ-150</t>
  </si>
  <si>
    <t xml:space="preserve">BJ-151</t>
  </si>
  <si>
    <t xml:space="preserve">BJ-152</t>
  </si>
  <si>
    <t xml:space="preserve">BJ-143</t>
  </si>
  <si>
    <t xml:space="preserve">BJ-154</t>
  </si>
  <si>
    <t xml:space="preserve">BJ-156</t>
  </si>
  <si>
    <t xml:space="preserve">BJ-145</t>
  </si>
  <si>
    <t xml:space="preserve">BJ-153</t>
  </si>
  <si>
    <t xml:space="preserve">BJ-160</t>
  </si>
  <si>
    <t xml:space="preserve">BJ-158</t>
  </si>
  <si>
    <t xml:space="preserve">BJ-157</t>
  </si>
  <si>
    <t xml:space="preserve">BJ-159</t>
  </si>
  <si>
    <t xml:space="preserve">BJ-148</t>
  </si>
  <si>
    <t xml:space="preserve">BJ-161</t>
  </si>
  <si>
    <t xml:space="preserve">BJ-149</t>
  </si>
  <si>
    <t xml:space="preserve">BJ-163</t>
  </si>
  <si>
    <t xml:space="preserve">BJ-164</t>
  </si>
  <si>
    <t xml:space="preserve">BJ-168</t>
  </si>
  <si>
    <t xml:space="preserve">BJ-155</t>
  </si>
  <si>
    <t xml:space="preserve">BJ-167</t>
  </si>
  <si>
    <t xml:space="preserve">BJ-166</t>
  </si>
  <si>
    <t xml:space="preserve">BJ-162</t>
  </si>
  <si>
    <t xml:space="preserve">BJ-165</t>
  </si>
  <si>
    <t xml:space="preserve">BJ-169</t>
  </si>
  <si>
    <t xml:space="preserve">VTL — Monthly Load vs Capacity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</si>
  <si>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</si>
  <si>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</si>
  <si>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</si>
  <si>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</si>
  <si>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</si>
  <si>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</si>
  <si>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</si>
  <si>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</si>
  <si>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</si>
  <si>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</si>
  <si>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Parts</t>
  </si>
  <si>
    <t xml:space="preserve">Allocated Machine</t>
  </si>
  <si>
    <t xml:space="preserve">Worker</t>
  </si>
  <si>
    <t xml:space="preserve">PM Date</t>
  </si>
  <si>
    <t xml:space="preserve">PM Hrs</t>
  </si>
  <si>
    <t xml:space="preserve">Override</t>
  </si>
  <si>
    <t xml:space="preserve">Start Date</t>
  </si>
  <si>
    <t xml:space="preserve">Unit CT</t>
  </si>
  <si>
    <t xml:space="preserve">Total Load</t>
  </si>
  <si>
    <t xml:space="preserve">End Date</t>
  </si>
  <si>
    <t xml:space="preserve">Shift | Time</t>
  </si>
  <si>
    <t xml:space="preserve">Machine Helper (Pick Compatible)</t>
  </si>
  <si>
    <t xml:space="preserve">Load (Hrs)</t>
  </si>
  <si>
    <t xml:space="preserve">Capacity (Hrs)</t>
  </si>
  <si>
    <t xml:space="preserve">SPM — Monthly Load vs Capacity</t>
  </si>
  <si>
    <t xml:space="preserve">CARVING — Monthly Load vs Capacity</t>
  </si>
  <si>
    <t xml:space="preserve">EDM — Monthly Load vs Capacity</t>
  </si>
  <si>
    <t xml:space="preserve">ENG — Monthly Load vs Capacity</t>
  </si>
  <si>
    <t xml:space="preserve">VENT — Monthly Load vs Capacity</t>
  </si>
  <si>
    <t xml:space="preserve">FID — Monthly Load vs Capacity</t>
  </si>
  <si>
    <t xml:space="preserve">QC — Monthly Load vs Capacity</t>
  </si>
  <si>
    <t xml:space="preserve">PRODUCTION &amp; UTILIZATION DASHBOARD</t>
  </si>
  <si>
    <t xml:space="preserve">Total Jobs Planned</t>
  </si>
  <si>
    <t xml:space="preserve">Earliest Start</t>
  </si>
  <si>
    <t xml:space="preserve">Latest Finish</t>
  </si>
  <si>
    <t xml:space="preserve">Plan Duration (Days)</t>
  </si>
  <si>
    <t xml:space="preserve">Stage</t>
  </si>
  <si>
    <t xml:space="preserve">No. of Machines</t>
  </si>
  <si>
    <t xml:space="preserve">Total Load (Hrs)</t>
  </si>
  <si>
    <t xml:space="preserve">Utilization %</t>
  </si>
  <si>
    <t xml:space="preserve">Target 90%</t>
  </si>
  <si>
    <t xml:space="preserve">KEY PERFORMANCE INDICATORS</t>
  </si>
  <si>
    <t xml:space="preserve">KPI</t>
  </si>
  <si>
    <t xml:space="preserve">Target</t>
  </si>
  <si>
    <t xml:space="preserve">Actual</t>
  </si>
  <si>
    <t xml:space="preserve">On-Time Delivery %</t>
  </si>
  <si>
    <t xml:space="preserve">≥95%</t>
  </si>
  <si>
    <t xml:space="preserve">🔴 BOTTLENECK:</t>
  </si>
  <si>
    <t xml:space="preserve">Avg Machine Utilization %</t>
  </si>
  <si>
    <t xml:space="preserve">≥85%</t>
  </si>
  <si>
    <t xml:space="preserve">Max Utilization:</t>
  </si>
  <si>
    <t xml:space="preserve">Bottleneck Stage</t>
  </si>
  <si>
    <t xml:space="preserve">N/A</t>
  </si>
  <si>
    <t xml:space="preserve">🟢 LOWEST LOAD:</t>
  </si>
  <si>
    <t xml:space="preserve">Jobs On Hold / Cancelled</t>
  </si>
  <si>
    <t xml:space="preserve">0</t>
  </si>
  <si>
    <t xml:space="preserve">Open Downtimes</t>
  </si>
  <si>
    <t xml:space="preserve">Open Rejections</t>
  </si>
  <si>
    <t xml:space="preserve">—</t>
  </si>
  <si>
    <t xml:space="preserve">Out of Stock Materials</t>
  </si>
  <si>
    <t xml:space="preserve">Low Stock Materials</t>
  </si>
  <si>
    <t xml:space="preserve">Dur (Hrs)</t>
  </si>
  <si>
    <t xml:space="preserve">Days Left</t>
  </si>
  <si>
    <t xml:space="preserve">Alert Status</t>
  </si>
  <si>
    <t xml:space="preserve">Part No</t>
  </si>
  <si>
    <t xml:space="preserve">Min ID</t>
  </si>
  <si>
    <t xml:space="preserve">Max OD</t>
  </si>
  <si>
    <t xml:space="preserve">WORK IN PROGRESS TRACKER</t>
  </si>
  <si>
    <t xml:space="preserve">Today</t>
  </si>
  <si>
    <t xml:space="preserve">Current Stage</t>
  </si>
  <si>
    <t xml:space="preserve">Stage Start</t>
  </si>
  <si>
    <t xml:space="preserve">Stage End</t>
  </si>
  <si>
    <t xml:space="preserve">% Complete</t>
  </si>
  <si>
    <t xml:space="preserve">On Time?</t>
  </si>
  <si>
    <t xml:space="preserve">Remarks</t>
  </si>
  <si>
    <t xml:space="preserve">CUSTOMER DELIVERY TRACKER</t>
  </si>
  <si>
    <t xml:space="preserve">Planned End</t>
  </si>
  <si>
    <t xml:space="preserve">Buffer Days</t>
  </si>
  <si>
    <t xml:space="preserve">RAG Status</t>
  </si>
  <si>
    <t xml:space="preserve">Dispatched?</t>
  </si>
  <si>
    <t xml:space="preserve">Dispatch Date</t>
  </si>
  <si>
    <t xml:space="preserve">No</t>
  </si>
  <si>
    <t xml:space="preserve">WHAT-IF SCENARIO PLANNER</t>
  </si>
  <si>
    <t xml:space="preserve">SCENARIO INPUTS</t>
  </si>
  <si>
    <t xml:space="preserve">SCENARIO IMPACT</t>
  </si>
  <si>
    <t xml:space="preserve">Shift Hours — General Workman (hrs/day)</t>
  </si>
  <si>
    <t xml:space="preserve">Current Load</t>
  </si>
  <si>
    <t xml:space="preserve">Current Cap</t>
  </si>
  <si>
    <t xml:space="preserve">Current Util%</t>
  </si>
  <si>
    <t xml:space="preserve">Scenario Cap</t>
  </si>
  <si>
    <t xml:space="preserve">Scenario Util%</t>
  </si>
  <si>
    <t xml:space="preserve">Shift Hours — Contract Workman (hrs/day)</t>
  </si>
  <si>
    <t xml:space="preserve">Total Jobs in Plan</t>
  </si>
  <si>
    <t xml:space="preserve">Plan Start Date</t>
  </si>
  <si>
    <t xml:space="preserve">Additional Machines (VTL)</t>
  </si>
  <si>
    <t xml:space="preserve">Additional Machines (SPM)</t>
  </si>
  <si>
    <t xml:space="preserve">Additional Machines (EDM)</t>
  </si>
  <si>
    <t xml:space="preserve">% Productivity Gain (%)</t>
  </si>
  <si>
    <t xml:space="preserve">ROLLING 4-WEEK PRODUCTION HORIZON</t>
  </si>
  <si>
    <t xml:space="preserve">Horizon Start (Today):</t>
  </si>
  <si>
    <t xml:space="preserve">Horizon End (Today+28):</t>
  </si>
  <si>
    <t xml:space="preserve">Plan Start</t>
  </si>
  <si>
    <t xml:space="preserve">Plan End</t>
  </si>
  <si>
    <t xml:space="preserve">RAG</t>
  </si>
  <si>
    <t xml:space="preserve">RAW MATERIAL / BLANK STOCK REGISTER</t>
  </si>
  <si>
    <t xml:space="preserve">Material Grade</t>
  </si>
  <si>
    <t xml:space="preserve">Stock (Nos)</t>
  </si>
  <si>
    <t xml:space="preserve">Required (Nos)</t>
  </si>
  <si>
    <t xml:space="preserve">Deficit / Surplus</t>
  </si>
  <si>
    <t xml:space="preserve">EN36</t>
  </si>
  <si>
    <t xml:space="preserve">EN19</t>
  </si>
  <si>
    <t xml:space="preserve">EN24</t>
  </si>
  <si>
    <t xml:space="preserve">EN24T</t>
  </si>
  <si>
    <t xml:space="preserve">EN8</t>
  </si>
  <si>
    <t xml:space="preserve">* Stock (Nos) = manual input per job</t>
  </si>
  <si>
    <t xml:space="preserve">SHIFT ROSTER — 7-DAY WORKING PLAN</t>
  </si>
  <si>
    <t xml:space="preserve">Shift hours &amp; qty from Settings sheet</t>
  </si>
  <si>
    <t xml:space="preserve">Timing</t>
  </si>
  <si>
    <t xml:space="preserve">Net Hrs/Day</t>
  </si>
  <si>
    <t xml:space="preserve">Avl Hrs/Day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</si>
  <si>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</si>
  <si>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</si>
  <si>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</si>
  <si>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</si>
  <si>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</si>
  <si>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</si>
  <si>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</si>
  <si>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Weekly Gen Hrs</t>
  </si>
  <si>
    <t xml:space="preserve">Weekly Cont Hrs</t>
  </si>
  <si>
    <t xml:space="preserve">Total Weekly Hrs</t>
  </si>
  <si>
    <t xml:space="preserve">A</t>
  </si>
  <si>
    <t xml:space="preserve">OFF</t>
  </si>
  <si>
    <t xml:space="preserve">B</t>
  </si>
  <si>
    <t xml:space="preserve">C</t>
  </si>
  <si>
    <t xml:space="preserve">S1</t>
  </si>
  <si>
    <t xml:space="preserve">S2</t>
  </si>
  <si>
    <t xml:space="preserve">TOTAL</t>
  </si>
  <si>
    <t xml:space="preserve">LEGEND:</t>
  </si>
  <si>
    <t xml:space="preserve">MACHINE DOWNTIME / PM REGISTER</t>
  </si>
  <si>
    <t xml:space="preserve">PM Duration (Hrs)</t>
  </si>
  <si>
    <t xml:space="preserve">PM Frequency (Wks)</t>
  </si>
  <si>
    <t xml:space="preserve">Last Downtime Date</t>
  </si>
  <si>
    <t xml:space="preserve">Downtime (Hrs)</t>
  </si>
  <si>
    <t xml:space="preserve">Reason</t>
  </si>
  <si>
    <t xml:space="preserve">Action Taken</t>
  </si>
  <si>
    <t xml:space="preserve">Total Machines:</t>
  </si>
  <si>
    <t xml:space="preserve">Total PM Hrs:</t>
  </si>
  <si>
    <t xml:space="preserve">Open Downtimes:</t>
  </si>
  <si>
    <t xml:space="preserve">OPR_BR1</t>
  </si>
  <si>
    <t xml:space="preserve">OPR_BR2</t>
  </si>
  <si>
    <t xml:space="preserve">OPR_CR2</t>
  </si>
  <si>
    <t xml:space="preserve">OPR_CR3</t>
  </si>
  <si>
    <t xml:space="preserve">OPR_CR4</t>
  </si>
  <si>
    <t xml:space="preserve">OPR_RIM</t>
  </si>
  <si>
    <t xml:space="preserve">OPR_BPR</t>
  </si>
  <si>
    <t xml:space="preserve">JOB MASTER — RING PARTS</t>
  </si>
  <si>
    <t xml:space="preserve">RJ-101</t>
  </si>
  <si>
    <t xml:space="preserve">BR2</t>
  </si>
  <si>
    <t xml:space="preserve">RJ-102</t>
  </si>
  <si>
    <t xml:space="preserve">RJ-103</t>
  </si>
  <si>
    <t xml:space="preserve">CR3</t>
  </si>
  <si>
    <t xml:space="preserve">RJ-104</t>
  </si>
  <si>
    <t xml:space="preserve">BPR</t>
  </si>
  <si>
    <t xml:space="preserve">RJ-105</t>
  </si>
  <si>
    <t xml:space="preserve">RIM</t>
  </si>
  <si>
    <t xml:space="preserve">RJ-106</t>
  </si>
  <si>
    <t xml:space="preserve">Sigma Mfg</t>
  </si>
  <si>
    <t xml:space="preserve">RJ-107</t>
  </si>
  <si>
    <t xml:space="preserve">RJ-108</t>
  </si>
  <si>
    <t xml:space="preserve">BR1</t>
  </si>
  <si>
    <t xml:space="preserve">RJ-109</t>
  </si>
  <si>
    <t xml:space="preserve">RJ-110</t>
  </si>
  <si>
    <t xml:space="preserve">CR2</t>
  </si>
  <si>
    <t xml:space="preserve">RJ-111</t>
  </si>
  <si>
    <t xml:space="preserve">RJ-112</t>
  </si>
  <si>
    <t xml:space="preserve">CR4</t>
  </si>
  <si>
    <t xml:space="preserve">RJ-113</t>
  </si>
  <si>
    <t xml:space="preserve">RJ-114</t>
  </si>
  <si>
    <t xml:space="preserve">RJ-115</t>
  </si>
  <si>
    <t xml:space="preserve">RJ-116</t>
  </si>
  <si>
    <t xml:space="preserve">RJ-117</t>
  </si>
  <si>
    <t xml:space="preserve">RJ-118</t>
  </si>
  <si>
    <t xml:space="preserve">RJ-119</t>
  </si>
  <si>
    <t xml:space="preserve">RJ-120</t>
  </si>
  <si>
    <t xml:space="preserve">RJ-121</t>
  </si>
  <si>
    <t xml:space="preserve">RJ-122</t>
  </si>
  <si>
    <t xml:space="preserve">RJ-123</t>
  </si>
  <si>
    <t xml:space="preserve">RJ-124</t>
  </si>
  <si>
    <t xml:space="preserve">RJ-125</t>
  </si>
  <si>
    <t xml:space="preserve">RJ-126</t>
  </si>
  <si>
    <t xml:space="preserve">RJ-127</t>
  </si>
  <si>
    <t xml:space="preserve">RJ-128</t>
  </si>
  <si>
    <t xml:space="preserve">RJ-129</t>
  </si>
  <si>
    <t xml:space="preserve">RJ-130</t>
  </si>
  <si>
    <t xml:space="preserve">RJ-131</t>
  </si>
  <si>
    <t xml:space="preserve">RJ-132</t>
  </si>
  <si>
    <t xml:space="preserve">RJ-133</t>
  </si>
  <si>
    <t xml:space="preserve">RJ-134</t>
  </si>
  <si>
    <t xml:space="preserve">RJ-135</t>
  </si>
  <si>
    <t xml:space="preserve">RJ-136</t>
  </si>
  <si>
    <t xml:space="preserve">RJ-137</t>
  </si>
  <si>
    <t xml:space="preserve">RJ-138</t>
  </si>
  <si>
    <t xml:space="preserve">RJ-139</t>
  </si>
  <si>
    <t xml:space="preserve">RJ-140</t>
  </si>
  <si>
    <t xml:space="preserve">RJ-141</t>
  </si>
  <si>
    <t xml:space="preserve">RJ-142</t>
  </si>
  <si>
    <t xml:space="preserve">RJ-143</t>
  </si>
  <si>
    <t xml:space="preserve">RJ-144</t>
  </si>
  <si>
    <t xml:space="preserve">RJ-145</t>
  </si>
  <si>
    <t xml:space="preserve">RJ-146</t>
  </si>
  <si>
    <t xml:space="preserve">RJ-147</t>
  </si>
  <si>
    <t xml:space="preserve">RJ-148</t>
  </si>
  <si>
    <t xml:space="preserve">RJ-149</t>
  </si>
  <si>
    <t xml:space="preserve">RJ-150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</si>
</sst>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hh:mm"/>
    <numFmt numFmtId="166" formatCode="General"/>
    <numFmt numFmtId="167" formatCode="d\-mmm\-yy"/>
    <numFmt numFmtId="168" formatCode="d\-mmm\-yy\ hh:mm"/>
    <numFmt numFmtId="169" formatCode="d\-mmm"/>
    <numFmt numFmtId="170" formatCode="dd\-mmm\-yyyy"/>
    <numFmt numFmtId="171" formatCode="#,##0"/>
    <numFmt numFmtId="172" formatCode="dd/mm"/>
    <numFmt numFmtId="173" formatCode="dd\-mmm\-yy\ hh:mm"/>
    <numFmt numFmtId="174" formatCode="dd\-mmm"/>
    <numFmt numFmtId="175" formatCode="0"/>
    <numFmt numFmtId="176" formatCode="0%"/>
    <numFmt numFmtId="177" formatCode="dd\-mmm\-yy"/>
    <numFmt numFmtId="178" formatCode="0.0"/>
    <numFmt numFmtId="179" formatCode="dd\-mmm\-yyyy\ hh:mm"/>
    <numFmt numFmtId="180" formatCode="#,##0.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8"/>
      <color rgb="FF9C5700"/>
      <name val="Arial"/>
      <family val="2"/>
      <charset val="1"/>
    </font>
    <font>
      <b val="true"/>
      <sz val="11"/>
      <name val="Cambria"/>
      <family val="1"/>
      <charset val="1"/>
    </font>
    <font>
      <sz val="8"/>
      <color theme="1"/>
      <name val="Calibri"/>
      <family val="2"/>
      <charset val="1"/>
    </font>
    <font>
      <b val="true"/>
      <sz val="10"/>
      <color rgb="FFFFFFFF"/>
      <name val="Cambria"/>
      <family val="1"/>
      <charset val="1"/>
    </font>
    <font>
      <b val="true"/>
      <sz val="10"/>
      <color rgb="FF9C5700"/>
      <name val="Cambria"/>
      <family val="1"/>
      <charset val="1"/>
    </font>
    <font>
      <b val="true"/>
      <sz val="8"/>
      <color rgb="FFFFFFFF"/>
      <name val="Cambria"/>
      <family val="1"/>
      <charset val="1"/>
    </font>
    <font>
      <sz val="10"/>
      <name val="Arial"/>
      <family val="2"/>
    </font>
    <font>
      <sz val="11"/>
      <name val="Cambria"/>
      <family val="1"/>
      <charset val="1"/>
    </font>
    <font>
      <b val="true"/>
      <sz val="10"/>
      <color rgb="FF1F3864"/>
      <name val="Cambria"/>
      <family val="1"/>
      <charset val="1"/>
    </font>
    <font>
      <b val="true"/>
      <sz val="9"/>
      <color rgb="FFFFFFFF"/>
      <name val="Cambria"/>
      <family val="1"/>
      <charset val="1"/>
    </font>
    <font>
      <b val="true"/>
      <sz val="9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0000"/>
      <name val="Calibri"/>
      <family val="2"/>
      <charset val="1"/>
    </font>
    <font>
      <b val="true"/>
      <sz val="9"/>
      <color rgb="FF000000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8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b val="true"/>
      <sz val="12"/>
      <color rgb="FFFFFFFF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4"/>
      <color rgb="FFFF0000"/>
      <name val="Cambria"/>
      <family val="1"/>
      <charset val="1"/>
    </font>
    <font>
      <b val="true"/>
      <sz val="12"/>
      <color rgb="FFFF0000"/>
      <name val="Cambria"/>
      <family val="1"/>
      <charset val="1"/>
    </font>
    <font>
      <b val="true"/>
      <sz val="12"/>
      <color rgb="FF276221"/>
      <name val="Cambria"/>
      <family val="1"/>
      <charset val="1"/>
    </font>
    <font>
      <b val="true"/>
      <sz val="6"/>
      <color rgb="FFFFFFFF"/>
      <name val="Cambria"/>
      <family val="1"/>
      <charset val="1"/>
    </font>
    <font>
      <b val="true"/>
      <sz val="14"/>
      <color rgb="FFFFFFFF"/>
      <name val="Cambria"/>
      <family val="1"/>
      <charset val="1"/>
    </font>
    <font>
      <b val="true"/>
      <sz val="11"/>
      <color rgb="FF1F3864"/>
      <name val="Cambria"/>
      <family val="1"/>
      <charset val="1"/>
    </font>
    <font>
      <sz val="10"/>
      <name val="Cambria"/>
      <family val="1"/>
      <charset val="1"/>
    </font>
    <font>
      <b val="true"/>
      <sz val="11"/>
      <color rgb="FFC55A11"/>
      <name val="Cambria"/>
      <family val="1"/>
      <charset val="1"/>
    </font>
    <font>
      <b val="true"/>
      <sz val="13"/>
      <color rgb="FFFFFFFF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sz val="9"/>
      <name val="Cambria"/>
      <family val="1"/>
      <charset val="1"/>
    </font>
    <font>
      <b val="true"/>
      <sz val="12"/>
      <color rgb="FF1F4E79"/>
      <name val="Cambria"/>
      <family val="1"/>
      <charset val="1"/>
    </font>
    <font>
      <i val="true"/>
      <sz val="8"/>
      <color rgb="FF9C5700"/>
      <name val="Cambria"/>
      <family val="1"/>
      <charset val="1"/>
    </font>
    <font>
      <b val="true"/>
      <sz val="7"/>
      <color rgb="FFFFFFFF"/>
      <name val="Cambria"/>
      <family val="1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E2EFDA"/>
        <bgColor rgb="FFEBF1DE"/>
      </patternFill>
    </fill>
    <fill>
      <patternFill patternType="solid">
        <fgColor rgb="FF00B050"/>
        <bgColor rgb="FF70AD47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FFEB9C"/>
        <bgColor rgb="FFFFF2CC"/>
      </patternFill>
    </fill>
    <fill>
      <patternFill patternType="solid">
        <fgColor rgb="FF1F3864"/>
        <bgColor rgb="FF203864"/>
      </patternFill>
    </fill>
    <fill>
      <patternFill patternType="solid">
        <fgColor rgb="FFFFFFC7"/>
        <bgColor rgb="FFFFF2CC"/>
      </patternFill>
    </fill>
    <fill>
      <patternFill patternType="solid">
        <fgColor rgb="FF2E75B6"/>
        <bgColor rgb="FF4472C4"/>
      </patternFill>
    </fill>
    <fill>
      <patternFill patternType="solid">
        <fgColor rgb="FF1F4E79"/>
        <bgColor rgb="FF1F4E78"/>
      </patternFill>
    </fill>
    <fill>
      <patternFill patternType="solid">
        <fgColor rgb="FF833C00"/>
        <bgColor rgb="FF843C0C"/>
      </patternFill>
    </fill>
    <fill>
      <patternFill patternType="solid">
        <fgColor rgb="FF7030A0"/>
        <bgColor rgb="FF800080"/>
      </patternFill>
    </fill>
    <fill>
      <patternFill patternType="solid">
        <fgColor rgb="FF404040"/>
        <bgColor rgb="FF375623"/>
      </patternFill>
    </fill>
    <fill>
      <patternFill patternType="solid">
        <fgColor rgb="FF00FF00"/>
        <bgColor rgb="FF00B050"/>
      </patternFill>
    </fill>
    <fill>
      <patternFill patternType="solid">
        <fgColor rgb="FFFFF2CC"/>
        <bgColor rgb="FFFDE9D9"/>
      </patternFill>
    </fill>
    <fill>
      <patternFill patternType="solid">
        <fgColor rgb="FFF2F2F2"/>
        <bgColor rgb="FFEBF1DE"/>
      </patternFill>
    </fill>
    <fill>
      <patternFill patternType="solid">
        <fgColor rgb="FFD9E1F2"/>
        <bgColor rgb="FFDAEEF3"/>
      </patternFill>
    </fill>
    <fill>
      <patternFill patternType="solid">
        <fgColor rgb="FF203864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843C0C"/>
        <bgColor rgb="FF833C00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C6E0B4"/>
        <bgColor rgb="FFC6EFCE"/>
      </patternFill>
    </fill>
    <fill>
      <patternFill patternType="solid">
        <fgColor rgb="FF9C5700"/>
        <bgColor rgb="FF9C6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0" fillId="9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41" fillId="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ED7D31"/>
      </font>
      <fill>
        <patternFill>
          <bgColor rgb="FFED7D31"/>
        </patternFill>
      </fill>
    </dxf>
    <dxf>
      <font>
        <color rgb="FF70AD47"/>
      </font>
      <fill>
        <patternFill>
          <bgColor rgb="FF70AD47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5B9BD5"/>
      </font>
      <fill>
        <patternFill>
          <bgColor rgb="FF5B9BD5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375623"/>
      </font>
      <fill>
        <patternFill>
          <bgColor rgb="FF37562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9C0006"/>
      <rgbColor rgb="FF006100"/>
      <rgbColor rgb="FF000050"/>
      <rgbColor rgb="FF9C6500"/>
      <rgbColor rgb="FF800080"/>
      <rgbColor rgb="FF1F4E79"/>
      <rgbColor rgb="FFB3B3B3"/>
      <rgbColor rgb="FF9C5700"/>
      <rgbColor rgb="FF5B9BD5"/>
      <rgbColor rgb="FF7030A0"/>
      <rgbColor rgb="FFFFFFC7"/>
      <rgbColor rgb="FFDAEEF3"/>
      <rgbColor rgb="FF660066"/>
      <rgbColor rgb="FFC55A11"/>
      <rgbColor rgb="FF2E75B6"/>
      <rgbColor rgb="FFD9D9D9"/>
      <rgbColor rgb="FF276221"/>
      <rgbColor rgb="FFFF00FF"/>
      <rgbColor rgb="FFFFF2CC"/>
      <rgbColor rgb="FF00FFFF"/>
      <rgbColor rgb="FF800080"/>
      <rgbColor rgb="FFC00000"/>
      <rgbColor rgb="FF1F4E78"/>
      <rgbColor rgb="FF0000FF"/>
      <rgbColor rgb="FF00CCFF"/>
      <rgbColor rgb="FFE2EFDA"/>
      <rgbColor rgb="FFC6EFCE"/>
      <rgbColor rgb="FFFFEB9C"/>
      <rgbColor rgb="FFC6E0B4"/>
      <rgbColor rgb="FFFDE9D9"/>
      <rgbColor rgb="FFD9E1F2"/>
      <rgbColor rgb="FFFFC7CE"/>
      <rgbColor rgb="FF4472C4"/>
      <rgbColor rgb="FFF2F2F2"/>
      <rgbColor rgb="FF92D050"/>
      <rgbColor rgb="FFFFC000"/>
      <rgbColor rgb="FFEBF1DE"/>
      <rgbColor rgb="FFED7D31"/>
      <rgbColor rgb="FF595959"/>
      <rgbColor rgb="FF70AD47"/>
      <rgbColor rgb="FF17375E"/>
      <rgbColor rgb="FF00B050"/>
      <rgbColor rgb="FF1F3864"/>
      <rgbColor rgb="FF375623"/>
      <rgbColor rgb="FF833C00"/>
      <rgbColor rgb="FF843C0C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VTL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VTL_Plan!$BW$3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VTL_Plan!$BX$3:$CG$3</c:f>
              <c:numCache>
                <c:formatCode>#,##0</c:formatCode>
                <c:ptCount val="10"/>
                <c:pt idx="0">
                  <c:v>3330</c:v>
                </c:pt>
                <c:pt idx="1">
                  <c:v>1678</c:v>
                </c:pt>
                <c:pt idx="2">
                  <c:v>1614</c:v>
                </c:pt>
                <c:pt idx="3">
                  <c:v>1842</c:v>
                </c:pt>
                <c:pt idx="4">
                  <c:v>780</c:v>
                </c:pt>
                <c:pt idx="5">
                  <c:v>828</c:v>
                </c:pt>
                <c:pt idx="6">
                  <c:v>552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VTL_Plan!$BW$4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VTL_Plan!$BX$4:$CG$4</c:f>
              <c:numCache>
                <c:formatCode>#,##0</c:formatCode>
                <c:ptCount val="10"/>
                <c:pt idx="0">
                  <c:v>2592</c:v>
                </c:pt>
                <c:pt idx="1">
                  <c:v>2678.4</c:v>
                </c:pt>
                <c:pt idx="2">
                  <c:v>2592</c:v>
                </c:pt>
                <c:pt idx="3">
                  <c:v>2678.4</c:v>
                </c:pt>
                <c:pt idx="4">
                  <c:v>2678.4</c:v>
                </c:pt>
                <c:pt idx="5">
                  <c:v>2592</c:v>
                </c:pt>
                <c:pt idx="6">
                  <c:v>2678.4</c:v>
                </c:pt>
                <c:pt idx="7">
                  <c:v>2592</c:v>
                </c:pt>
                <c:pt idx="8">
                  <c:v>2678.4</c:v>
                </c:pt>
                <c:pt idx="9">
                  <c:v>2678.4</c:v>
                </c:pt>
              </c:numCache>
            </c:numRef>
          </c:val>
        </c:ser>
        <c:gapWidth val="150"/>
        <c:overlap val="-5"/>
        <c:axId val="75403639"/>
        <c:axId val="48162478"/>
      </c:barChart>
      <c:catAx>
        <c:axId val="754036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62478"/>
        <c:crosses val="autoZero"/>
        <c:auto val="1"/>
        <c:lblAlgn val="ctr"/>
        <c:lblOffset val="100"/>
        <c:noMultiLvlLbl val="0"/>
      </c:catAx>
      <c:valAx>
        <c:axId val="481624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36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SPM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SPM_Plan!$BX$3:$CG$3</c:f>
              <c:numCache>
                <c:formatCode>#,##0</c:formatCode>
                <c:ptCount val="10"/>
                <c:pt idx="0">
                  <c:v>1206</c:v>
                </c:pt>
                <c:pt idx="1">
                  <c:v>1580</c:v>
                </c:pt>
                <c:pt idx="2">
                  <c:v>1320</c:v>
                </c:pt>
                <c:pt idx="3">
                  <c:v>1162</c:v>
                </c:pt>
                <c:pt idx="4">
                  <c:v>1342</c:v>
                </c:pt>
                <c:pt idx="5">
                  <c:v>658</c:v>
                </c:pt>
                <c:pt idx="6">
                  <c:v>670</c:v>
                </c:pt>
                <c:pt idx="7">
                  <c:v>560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SPM_Plan!$BW$4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11147854"/>
        <c:axId val="64438924"/>
      </c:barChart>
      <c:catAx>
        <c:axId val="11147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38924"/>
        <c:crosses val="autoZero"/>
        <c:auto val="1"/>
        <c:lblAlgn val="ctr"/>
        <c:lblOffset val="100"/>
        <c:noMultiLvlLbl val="0"/>
      </c:catAx>
      <c:valAx>
        <c:axId val="644389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478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CARVING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CARVING_Plan!$BW$3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CARVING_Plan!$BX$3:$CG$3</c:f>
              <c:numCache>
                <c:formatCode>#,##0</c:formatCode>
                <c:ptCount val="10"/>
                <c:pt idx="0">
                  <c:v>4672</c:v>
                </c:pt>
                <c:pt idx="1">
                  <c:v>2978</c:v>
                </c:pt>
                <c:pt idx="2">
                  <c:v>972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CARVING_Plan!$BW$4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</c:ser>
        <c:gapWidth val="150"/>
        <c:overlap val="-5"/>
        <c:axId val="76342527"/>
        <c:axId val="54067721"/>
      </c:barChart>
      <c:catAx>
        <c:axId val="76342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67721"/>
        <c:crosses val="autoZero"/>
        <c:auto val="1"/>
        <c:lblAlgn val="ctr"/>
        <c:lblOffset val="100"/>
        <c:noMultiLvlLbl val="0"/>
      </c:catAx>
      <c:valAx>
        <c:axId val="54067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425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EDM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EDM_Plan!$BX$3:$CG$3</c:f>
              <c:numCache>
                <c:formatCode>#,##0</c:formatCode>
                <c:ptCount val="10"/>
                <c:pt idx="0">
                  <c:v>676</c:v>
                </c:pt>
                <c:pt idx="1">
                  <c:v>1042</c:v>
                </c:pt>
                <c:pt idx="2">
                  <c:v>1702</c:v>
                </c:pt>
                <c:pt idx="3">
                  <c:v>1804</c:v>
                </c:pt>
                <c:pt idx="4">
                  <c:v>816</c:v>
                </c:pt>
                <c:pt idx="5">
                  <c:v>1540</c:v>
                </c:pt>
                <c:pt idx="6">
                  <c:v>336</c:v>
                </c:pt>
                <c:pt idx="7">
                  <c:v>1428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EDM_Plan!$BW$4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EDM_Plan!$BX$4:$CG$4</c:f>
              <c:numCache>
                <c:formatCode>#,##0</c:formatCode>
                <c:ptCount val="10"/>
                <c:pt idx="0">
                  <c:v>19440</c:v>
                </c:pt>
                <c:pt idx="1">
                  <c:v>20088</c:v>
                </c:pt>
                <c:pt idx="2">
                  <c:v>19440</c:v>
                </c:pt>
                <c:pt idx="3">
                  <c:v>20088</c:v>
                </c:pt>
                <c:pt idx="4">
                  <c:v>20088</c:v>
                </c:pt>
                <c:pt idx="5">
                  <c:v>19440</c:v>
                </c:pt>
                <c:pt idx="6">
                  <c:v>20088</c:v>
                </c:pt>
                <c:pt idx="7">
                  <c:v>19440</c:v>
                </c:pt>
                <c:pt idx="8">
                  <c:v>20088</c:v>
                </c:pt>
                <c:pt idx="9">
                  <c:v>20088</c:v>
                </c:pt>
              </c:numCache>
            </c:numRef>
          </c:val>
        </c:ser>
        <c:gapWidth val="150"/>
        <c:overlap val="-5"/>
        <c:axId val="75155766"/>
        <c:axId val="54367965"/>
      </c:barChart>
      <c:catAx>
        <c:axId val="751557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67965"/>
        <c:crosses val="autoZero"/>
        <c:auto val="1"/>
        <c:lblAlgn val="ctr"/>
        <c:lblOffset val="100"/>
        <c:noMultiLvlLbl val="0"/>
      </c:catAx>
      <c:valAx>
        <c:axId val="54367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57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ENG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ENG_Plan!$BX$3:$CG$3</c:f>
              <c:numCache>
                <c:formatCode>#,##0</c:formatCode>
                <c:ptCount val="10"/>
                <c:pt idx="0">
                  <c:v>278</c:v>
                </c:pt>
                <c:pt idx="1">
                  <c:v>884</c:v>
                </c:pt>
                <c:pt idx="2">
                  <c:v>836</c:v>
                </c:pt>
                <c:pt idx="3">
                  <c:v>1238</c:v>
                </c:pt>
                <c:pt idx="4">
                  <c:v>916</c:v>
                </c:pt>
                <c:pt idx="5">
                  <c:v>1236</c:v>
                </c:pt>
                <c:pt idx="6">
                  <c:v>500</c:v>
                </c:pt>
                <c:pt idx="7">
                  <c:v>730</c:v>
                </c:pt>
                <c:pt idx="8">
                  <c:v>784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ENG_Plan!$BW$4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ENG_Plan!$BX$4:$CG$4</c:f>
              <c:numCache>
                <c:formatCode>#,##0</c:formatCode>
                <c:ptCount val="10"/>
                <c:pt idx="0">
                  <c:v>9072</c:v>
                </c:pt>
                <c:pt idx="1">
                  <c:v>9374.4</c:v>
                </c:pt>
                <c:pt idx="2">
                  <c:v>9072</c:v>
                </c:pt>
                <c:pt idx="3">
                  <c:v>9374.4</c:v>
                </c:pt>
                <c:pt idx="4">
                  <c:v>9374.4</c:v>
                </c:pt>
                <c:pt idx="5">
                  <c:v>9072</c:v>
                </c:pt>
                <c:pt idx="6">
                  <c:v>9374.4</c:v>
                </c:pt>
                <c:pt idx="7">
                  <c:v>9072</c:v>
                </c:pt>
                <c:pt idx="8">
                  <c:v>9374.4</c:v>
                </c:pt>
                <c:pt idx="9">
                  <c:v>9374.4</c:v>
                </c:pt>
              </c:numCache>
            </c:numRef>
          </c:val>
        </c:ser>
        <c:gapWidth val="150"/>
        <c:overlap val="-5"/>
        <c:axId val="44944532"/>
        <c:axId val="36610691"/>
      </c:barChart>
      <c:catAx>
        <c:axId val="449445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10691"/>
        <c:crosses val="autoZero"/>
        <c:auto val="1"/>
        <c:lblAlgn val="ctr"/>
        <c:lblOffset val="100"/>
        <c:noMultiLvlLbl val="0"/>
      </c:catAx>
      <c:valAx>
        <c:axId val="366106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445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VENT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VENT_Plan!$BW$3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VENT_Plan!$BX$3:$CG$3</c:f>
              <c:numCache>
                <c:formatCode>#,##0</c:formatCode>
                <c:ptCount val="10"/>
                <c:pt idx="0">
                  <c:v>122</c:v>
                </c:pt>
                <c:pt idx="1">
                  <c:v>882</c:v>
                </c:pt>
                <c:pt idx="2">
                  <c:v>460</c:v>
                </c:pt>
                <c:pt idx="3">
                  <c:v>876</c:v>
                </c:pt>
                <c:pt idx="4">
                  <c:v>1354</c:v>
                </c:pt>
                <c:pt idx="5">
                  <c:v>980</c:v>
                </c:pt>
                <c:pt idx="6">
                  <c:v>932</c:v>
                </c:pt>
                <c:pt idx="7">
                  <c:v>512</c:v>
                </c:pt>
                <c:pt idx="8">
                  <c:v>1230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VENT_Plan!$BW$4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VENT_Plan!$BX$4:$CG$4</c:f>
              <c:numCache>
                <c:formatCode>#,##0</c:formatCode>
                <c:ptCount val="10"/>
                <c:pt idx="0">
                  <c:v>5184</c:v>
                </c:pt>
                <c:pt idx="1">
                  <c:v>5356.8</c:v>
                </c:pt>
                <c:pt idx="2">
                  <c:v>5184</c:v>
                </c:pt>
                <c:pt idx="3">
                  <c:v>5356.8</c:v>
                </c:pt>
                <c:pt idx="4">
                  <c:v>5356.8</c:v>
                </c:pt>
                <c:pt idx="5">
                  <c:v>5184</c:v>
                </c:pt>
                <c:pt idx="6">
                  <c:v>5356.8</c:v>
                </c:pt>
                <c:pt idx="7">
                  <c:v>5184</c:v>
                </c:pt>
                <c:pt idx="8">
                  <c:v>5356.8</c:v>
                </c:pt>
                <c:pt idx="9">
                  <c:v>5356.8</c:v>
                </c:pt>
              </c:numCache>
            </c:numRef>
          </c:val>
        </c:ser>
        <c:gapWidth val="150"/>
        <c:overlap val="-5"/>
        <c:axId val="54077720"/>
        <c:axId val="58169087"/>
      </c:barChart>
      <c:catAx>
        <c:axId val="54077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69087"/>
        <c:crosses val="autoZero"/>
        <c:auto val="1"/>
        <c:lblAlgn val="ctr"/>
        <c:lblOffset val="100"/>
        <c:noMultiLvlLbl val="0"/>
      </c:catAx>
      <c:valAx>
        <c:axId val="581690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777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FID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FID_Plan!$BW$3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FID_Plan!$BX$3:$CG$3</c:f>
              <c:numCache>
                <c:formatCode>#,##0</c:formatCode>
                <c:ptCount val="10"/>
                <c:pt idx="0">
                  <c:v>56</c:v>
                </c:pt>
                <c:pt idx="1">
                  <c:v>544</c:v>
                </c:pt>
                <c:pt idx="2">
                  <c:v>670</c:v>
                </c:pt>
                <c:pt idx="3">
                  <c:v>492</c:v>
                </c:pt>
                <c:pt idx="4">
                  <c:v>1038</c:v>
                </c:pt>
                <c:pt idx="5">
                  <c:v>996</c:v>
                </c:pt>
                <c:pt idx="6">
                  <c:v>1228</c:v>
                </c:pt>
                <c:pt idx="7">
                  <c:v>506</c:v>
                </c:pt>
                <c:pt idx="8">
                  <c:v>410</c:v>
                </c:pt>
                <c:pt idx="9">
                  <c:v>542</c:v>
                </c:pt>
              </c:numCache>
            </c:numRef>
          </c:val>
        </c:ser>
        <c:ser>
          <c:idx val="1"/>
          <c:order val="1"/>
          <c:tx>
            <c:strRef>
              <c:f>FID_Plan!$BW$4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FID_Plan!$BX$4:$CG$4</c:f>
              <c:numCache>
                <c:formatCode>#,##0</c:formatCode>
                <c:ptCount val="10"/>
                <c:pt idx="0">
                  <c:v>6480</c:v>
                </c:pt>
                <c:pt idx="1">
                  <c:v>6696</c:v>
                </c:pt>
                <c:pt idx="2">
                  <c:v>6480</c:v>
                </c:pt>
                <c:pt idx="3">
                  <c:v>6696</c:v>
                </c:pt>
                <c:pt idx="4">
                  <c:v>6696</c:v>
                </c:pt>
                <c:pt idx="5">
                  <c:v>6480</c:v>
                </c:pt>
                <c:pt idx="6">
                  <c:v>6696</c:v>
                </c:pt>
                <c:pt idx="7">
                  <c:v>6480</c:v>
                </c:pt>
                <c:pt idx="8">
                  <c:v>6696</c:v>
                </c:pt>
                <c:pt idx="9">
                  <c:v>6696</c:v>
                </c:pt>
              </c:numCache>
            </c:numRef>
          </c:val>
        </c:ser>
        <c:gapWidth val="150"/>
        <c:overlap val="-5"/>
        <c:axId val="13171565"/>
        <c:axId val="57470585"/>
      </c:barChart>
      <c:catAx>
        <c:axId val="131715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70585"/>
        <c:crosses val="autoZero"/>
        <c:auto val="1"/>
        <c:lblAlgn val="ctr"/>
        <c:lblOffset val="100"/>
        <c:noMultiLvlLbl val="0"/>
      </c:catAx>
      <c:valAx>
        <c:axId val="574705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715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QC — Monthly Load vs Available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QC_Plan!$BW$3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QC_Plan!$BX$3:$CG$3</c:f>
              <c:numCache>
                <c:formatCode>#,##0</c:formatCode>
                <c:ptCount val="10"/>
                <c:pt idx="0">
                  <c:v>66</c:v>
                </c:pt>
                <c:pt idx="1">
                  <c:v>302</c:v>
                </c:pt>
                <c:pt idx="2">
                  <c:v>554</c:v>
                </c:pt>
                <c:pt idx="3">
                  <c:v>156</c:v>
                </c:pt>
                <c:pt idx="4">
                  <c:v>920</c:v>
                </c:pt>
                <c:pt idx="5">
                  <c:v>654</c:v>
                </c:pt>
                <c:pt idx="6">
                  <c:v>1084</c:v>
                </c:pt>
                <c:pt idx="7">
                  <c:v>564</c:v>
                </c:pt>
                <c:pt idx="8">
                  <c:v>258</c:v>
                </c:pt>
                <c:pt idx="9">
                  <c:v>880</c:v>
                </c:pt>
              </c:numCache>
            </c:numRef>
          </c:val>
        </c:ser>
        <c:ser>
          <c:idx val="1"/>
          <c:order val="1"/>
          <c:tx>
            <c:strRef>
              <c:f>QC_Plan!$BW$4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QC_Plan!$BX$4:$CG$4</c:f>
              <c:numCache>
                <c:formatCode>#,##0</c:formatCode>
                <c:ptCount val="10"/>
                <c:pt idx="0">
                  <c:v>3240</c:v>
                </c:pt>
                <c:pt idx="1">
                  <c:v>3348</c:v>
                </c:pt>
                <c:pt idx="2">
                  <c:v>3240</c:v>
                </c:pt>
                <c:pt idx="3">
                  <c:v>3348</c:v>
                </c:pt>
                <c:pt idx="4">
                  <c:v>3348</c:v>
                </c:pt>
                <c:pt idx="5">
                  <c:v>3240</c:v>
                </c:pt>
                <c:pt idx="6">
                  <c:v>3348</c:v>
                </c:pt>
                <c:pt idx="7">
                  <c:v>3240</c:v>
                </c:pt>
                <c:pt idx="8">
                  <c:v>3348</c:v>
                </c:pt>
                <c:pt idx="9">
                  <c:v>3348</c:v>
                </c:pt>
              </c:numCache>
            </c:numRef>
          </c:val>
        </c:ser>
        <c:gapWidth val="150"/>
        <c:overlap val="-5"/>
        <c:axId val="22761824"/>
        <c:axId val="23639187"/>
      </c:barChart>
      <c:catAx>
        <c:axId val="22761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39187"/>
        <c:crosses val="autoZero"/>
        <c:auto val="1"/>
        <c:lblAlgn val="ctr"/>
        <c:lblOffset val="100"/>
        <c:noMultiLvlLbl val="0"/>
      </c:catAx>
      <c:valAx>
        <c:axId val="236391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18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Machine Utilization %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Dashboard!$F$9:$F$16</c:f>
              <c:numCache>
                <c:formatCode>0%</c:formatCode>
                <c:ptCount val="8"/>
                <c:pt idx="0">
                  <c:v>0.131657690005984</c:v>
                </c:pt>
                <c:pt idx="1">
                  <c:v>0.132006782365849</c:v>
                </c:pt>
                <c:pt idx="2">
                  <c:v>0.105425892679035</c:v>
                </c:pt>
                <c:pt idx="3">
                  <c:v>0.0214941153002194</c:v>
                </c:pt>
                <c:pt idx="4">
                  <c:v>0.0496494827733607</c:v>
                </c:pt>
                <c:pt idx="5">
                  <c:v>0.0692137941352484</c:v>
                </c:pt>
                <c:pt idx="6">
                  <c:v>0.0548922800718133</c:v>
                </c:pt>
                <c:pt idx="7">
                  <c:v>0.0966487133453022</c:v>
                </c:pt>
              </c:numCache>
            </c:numRef>
          </c:val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Target 90%</c:v>
                </c:pt>
              </c:strCache>
            </c:strRef>
          </c:tx>
          <c:spPr>
            <a:solidFill>
              <a:srgbClr val="00005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</c:ser>
        <c:gapWidth val="150"/>
        <c:overlap val="0"/>
        <c:axId val="98510486"/>
        <c:axId val="97583393"/>
      </c:barChart>
      <c:catAx>
        <c:axId val="98510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83393"/>
        <c:crosses val="autoZero"/>
        <c:auto val="1"/>
        <c:lblAlgn val="ctr"/>
        <c:lblOffset val="100"/>
        <c:noMultiLvlLbl val="0"/>
      </c:catAx>
      <c:valAx>
        <c:axId val="97583393"/>
        <c:scaling>
          <c:orientation val="minMax"/>
          <c:max val="1.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10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Capacity vs Load by Operation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Total Load (Hrs)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Dashboard!$D$9:$D$16</c:f>
              <c:numCache>
                <c:formatCode>#,##0</c:formatCode>
                <c:ptCount val="8"/>
                <c:pt idx="0">
                  <c:v>7040</c:v>
                </c:pt>
                <c:pt idx="1">
                  <c:v>10588</c:v>
                </c:pt>
                <c:pt idx="2">
                  <c:v>8456</c:v>
                </c:pt>
                <c:pt idx="3">
                  <c:v>8620</c:v>
                </c:pt>
                <c:pt idx="4">
                  <c:v>9292</c:v>
                </c:pt>
                <c:pt idx="5">
                  <c:v>7402</c:v>
                </c:pt>
                <c:pt idx="6">
                  <c:v>7338</c:v>
                </c:pt>
                <c:pt idx="7">
                  <c:v>6460</c:v>
                </c:pt>
              </c:numCache>
            </c:numRef>
          </c:val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Dashboard!$E$9:$E$16</c:f>
              <c:numCache>
                <c:formatCode>#,##0</c:formatCode>
                <c:ptCount val="8"/>
                <c:pt idx="0">
                  <c:v>53472</c:v>
                </c:pt>
                <c:pt idx="1">
                  <c:v>80208</c:v>
                </c:pt>
                <c:pt idx="2">
                  <c:v>80208</c:v>
                </c:pt>
                <c:pt idx="3">
                  <c:v>401040</c:v>
                </c:pt>
                <c:pt idx="4">
                  <c:v>187152</c:v>
                </c:pt>
                <c:pt idx="5">
                  <c:v>106944</c:v>
                </c:pt>
                <c:pt idx="6">
                  <c:v>133680</c:v>
                </c:pt>
                <c:pt idx="7">
                  <c:v>66840</c:v>
                </c:pt>
              </c:numCache>
            </c:numRef>
          </c:val>
        </c:ser>
        <c:gapWidth val="150"/>
        <c:overlap val="-10"/>
        <c:axId val="12824140"/>
        <c:axId val="49369500"/>
      </c:barChart>
      <c:catAx>
        <c:axId val="12824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69500"/>
        <c:crosses val="autoZero"/>
        <c:auto val="1"/>
        <c:lblAlgn val="ctr"/>
        <c:lblOffset val="100"/>
        <c:noMultiLvlLbl val="0"/>
      </c:catAx>
      <c:valAx>
        <c:axId val="493695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241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Current vs Scenario Utilization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WhatIf_Scenario!$H$4</c:f>
              <c:strCache>
                <c:ptCount val="1"/>
                <c:pt idx="0">
                  <c:v>Current Util%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WhatIf_Scenario!$H$5:$H$12</c:f>
              <c:numCache>
                <c:formatCode>0%</c:formatCode>
                <c:ptCount val="8"/>
                <c:pt idx="0">
                  <c:v>0.131657690005984</c:v>
                </c:pt>
                <c:pt idx="1">
                  <c:v>0.132006782365849</c:v>
                </c:pt>
                <c:pt idx="2">
                  <c:v>0.105425892679035</c:v>
                </c:pt>
                <c:pt idx="3">
                  <c:v>0.0214941153002194</c:v>
                </c:pt>
                <c:pt idx="4">
                  <c:v>0.0496494827733607</c:v>
                </c:pt>
                <c:pt idx="5">
                  <c:v>0.0692137941352484</c:v>
                </c:pt>
                <c:pt idx="6">
                  <c:v>0.0548922800718133</c:v>
                </c:pt>
                <c:pt idx="7">
                  <c:v>0.0966487133453022</c:v>
                </c:pt>
              </c:numCache>
            </c:numRef>
          </c:val>
        </c:ser>
        <c:ser>
          <c:idx val="1"/>
          <c:order val="1"/>
          <c:tx>
            <c:strRef>
              <c:f>WhatIf_Scenario!$J$4</c:f>
              <c:strCache>
                <c:ptCount val="1"/>
                <c:pt idx="0">
                  <c:v>Scenario Util%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WhatIf_Scenario!$J$5:$J$12</c:f>
              <c:numCache>
                <c:formatCode>0%</c:formatCode>
                <c:ptCount val="8"/>
                <c:pt idx="0">
                  <c:v>0.146286322228872</c:v>
                </c:pt>
                <c:pt idx="1">
                  <c:v>0.146674202628721</c:v>
                </c:pt>
                <c:pt idx="2">
                  <c:v>0.117139880754483</c:v>
                </c:pt>
                <c:pt idx="3">
                  <c:v>0.0238823503335771</c:v>
                </c:pt>
                <c:pt idx="4">
                  <c:v>0.0551660919704008</c:v>
                </c:pt>
                <c:pt idx="5">
                  <c:v>0.0769042157058315</c:v>
                </c:pt>
                <c:pt idx="6">
                  <c:v>0.0609914223020148</c:v>
                </c:pt>
                <c:pt idx="7">
                  <c:v>0.107387459272558</c:v>
                </c:pt>
              </c:numCache>
            </c:numRef>
          </c:val>
        </c:ser>
        <c:gapWidth val="150"/>
        <c:overlap val="0"/>
        <c:axId val="43640307"/>
        <c:axId val="42614160"/>
      </c:barChart>
      <c:catAx>
        <c:axId val="436403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14160"/>
        <c:crosses val="autoZero"/>
        <c:auto val="1"/>
        <c:lblAlgn val="ctr"/>
        <c:lblOffset val="100"/>
        <c:noMultiLvlLbl val="0"/>
      </c:catAx>
      <c:valAx>
        <c:axId val="42614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40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27000</xdr:colOff>
      <xdr:row>4</xdr:row>
      <xdr:rowOff>125640</xdr:rowOff>
    </xdr:from>
    <xdr:to>
      <xdr:col>84</xdr:col>
      <xdr:colOff>519120</xdr:colOff>
      <xdr:row>14</xdr:row>
      <xdr:rowOff>178200</xdr:rowOff>
    </xdr:to>
    <xdr:graphicFrame>
      <xdr:nvGraphicFramePr>
        <xdr:cNvPr id="0" name="Chart 1"/>
        <xdr:cNvGraphicFramePr/>
      </xdr:nvGraphicFramePr>
      <xdr:xfrm>
        <a:off x="34024320" y="1030680"/>
        <a:ext cx="7264800" cy="36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32760</xdr:colOff>
      <xdr:row>4</xdr:row>
      <xdr:rowOff>174240</xdr:rowOff>
    </xdr:from>
    <xdr:to>
      <xdr:col>85</xdr:col>
      <xdr:colOff>31680</xdr:colOff>
      <xdr:row>14</xdr:row>
      <xdr:rowOff>86040</xdr:rowOff>
    </xdr:to>
    <xdr:graphicFrame>
      <xdr:nvGraphicFramePr>
        <xdr:cNvPr id="1" name="Chart 1"/>
        <xdr:cNvGraphicFramePr/>
      </xdr:nvGraphicFramePr>
      <xdr:xfrm>
        <a:off x="35698320" y="1079280"/>
        <a:ext cx="8607960" cy="353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9000</xdr:colOff>
      <xdr:row>4</xdr:row>
      <xdr:rowOff>98640</xdr:rowOff>
    </xdr:from>
    <xdr:to>
      <xdr:col>84</xdr:col>
      <xdr:colOff>438120</xdr:colOff>
      <xdr:row>12</xdr:row>
      <xdr:rowOff>258840</xdr:rowOff>
    </xdr:to>
    <xdr:graphicFrame>
      <xdr:nvGraphicFramePr>
        <xdr:cNvPr id="2" name="Chart 1"/>
        <xdr:cNvGraphicFramePr/>
      </xdr:nvGraphicFramePr>
      <xdr:xfrm>
        <a:off x="34536960" y="1003680"/>
        <a:ext cx="7531920" cy="305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23040</xdr:colOff>
      <xdr:row>4</xdr:row>
      <xdr:rowOff>114480</xdr:rowOff>
    </xdr:from>
    <xdr:to>
      <xdr:col>84</xdr:col>
      <xdr:colOff>532440</xdr:colOff>
      <xdr:row>11</xdr:row>
      <xdr:rowOff>361440</xdr:rowOff>
    </xdr:to>
    <xdr:graphicFrame>
      <xdr:nvGraphicFramePr>
        <xdr:cNvPr id="3" name="Chart 1"/>
        <xdr:cNvGraphicFramePr/>
      </xdr:nvGraphicFramePr>
      <xdr:xfrm>
        <a:off x="34043760" y="1019520"/>
        <a:ext cx="7321680" cy="278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74</xdr:col>
      <xdr:colOff>816480</xdr:colOff>
      <xdr:row>4</xdr:row>
      <xdr:rowOff>97920</xdr:rowOff>
    </xdr:from>
    <xdr:to>
      <xdr:col>84</xdr:col>
      <xdr:colOff>543240</xdr:colOff>
      <xdr:row>12</xdr:row>
      <xdr:rowOff>249120</xdr:rowOff>
    </xdr:to>
    <xdr:graphicFrame>
      <xdr:nvGraphicFramePr>
        <xdr:cNvPr id="4" name="Chart 1"/>
        <xdr:cNvGraphicFramePr/>
      </xdr:nvGraphicFramePr>
      <xdr:xfrm>
        <a:off x="34240320" y="1002960"/>
        <a:ext cx="7400160" cy="304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27720</xdr:colOff>
      <xdr:row>4</xdr:row>
      <xdr:rowOff>166320</xdr:rowOff>
    </xdr:from>
    <xdr:to>
      <xdr:col>84</xdr:col>
      <xdr:colOff>372960</xdr:colOff>
      <xdr:row>13</xdr:row>
      <xdr:rowOff>303840</xdr:rowOff>
    </xdr:to>
    <xdr:graphicFrame>
      <xdr:nvGraphicFramePr>
        <xdr:cNvPr id="5" name="Chart 1"/>
        <xdr:cNvGraphicFramePr/>
      </xdr:nvGraphicFramePr>
      <xdr:xfrm>
        <a:off x="34203960" y="1071360"/>
        <a:ext cx="7259040" cy="339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21600</xdr:colOff>
      <xdr:row>5</xdr:row>
      <xdr:rowOff>0</xdr:rowOff>
    </xdr:from>
    <xdr:to>
      <xdr:col>85</xdr:col>
      <xdr:colOff>31320</xdr:colOff>
      <xdr:row>12</xdr:row>
      <xdr:rowOff>151200</xdr:rowOff>
    </xdr:to>
    <xdr:graphicFrame>
      <xdr:nvGraphicFramePr>
        <xdr:cNvPr id="6" name="Chart 1"/>
        <xdr:cNvGraphicFramePr/>
      </xdr:nvGraphicFramePr>
      <xdr:xfrm>
        <a:off x="34050600" y="1266840"/>
        <a:ext cx="7329960" cy="26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75</xdr:col>
      <xdr:colOff>43560</xdr:colOff>
      <xdr:row>4</xdr:row>
      <xdr:rowOff>163440</xdr:rowOff>
    </xdr:from>
    <xdr:to>
      <xdr:col>85</xdr:col>
      <xdr:colOff>86040</xdr:colOff>
      <xdr:row>17</xdr:row>
      <xdr:rowOff>10080</xdr:rowOff>
    </xdr:to>
    <xdr:graphicFrame>
      <xdr:nvGraphicFramePr>
        <xdr:cNvPr id="7" name="Chart 1"/>
        <xdr:cNvGraphicFramePr/>
      </xdr:nvGraphicFramePr>
      <xdr:xfrm>
        <a:off x="31887720" y="925560"/>
        <a:ext cx="7301520" cy="232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554040</xdr:colOff>
      <xdr:row>17</xdr:row>
      <xdr:rowOff>124560</xdr:rowOff>
    </xdr:from>
    <xdr:to>
      <xdr:col>16</xdr:col>
      <xdr:colOff>802440</xdr:colOff>
      <xdr:row>33</xdr:row>
      <xdr:rowOff>40320</xdr:rowOff>
    </xdr:to>
    <xdr:graphicFrame>
      <xdr:nvGraphicFramePr>
        <xdr:cNvPr id="8" name="Chart 1"/>
        <xdr:cNvGraphicFramePr/>
      </xdr:nvGraphicFramePr>
      <xdr:xfrm>
        <a:off x="9667080" y="3429720"/>
        <a:ext cx="8494920" cy="281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540360</xdr:colOff>
      <xdr:row>1</xdr:row>
      <xdr:rowOff>69120</xdr:rowOff>
    </xdr:from>
    <xdr:to>
      <xdr:col>16</xdr:col>
      <xdr:colOff>774720</xdr:colOff>
      <xdr:row>16</xdr:row>
      <xdr:rowOff>109440</xdr:rowOff>
    </xdr:to>
    <xdr:graphicFrame>
      <xdr:nvGraphicFramePr>
        <xdr:cNvPr id="9" name="Chart 2"/>
        <xdr:cNvGraphicFramePr/>
      </xdr:nvGraphicFramePr>
      <xdr:xfrm>
        <a:off x="9653400" y="250200"/>
        <a:ext cx="8480880" cy="298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20880</xdr:rowOff>
    </xdr:from>
    <xdr:to>
      <xdr:col>12</xdr:col>
      <xdr:colOff>328680</xdr:colOff>
      <xdr:row>34</xdr:row>
      <xdr:rowOff>140760</xdr:rowOff>
    </xdr:to>
    <xdr:graphicFrame>
      <xdr:nvGraphicFramePr>
        <xdr:cNvPr id="10" name="Chart 1"/>
        <xdr:cNvGraphicFramePr/>
      </xdr:nvGraphicFramePr>
      <xdr:xfrm>
        <a:off x="4878000" y="2621160"/>
        <a:ext cx="7189200" cy="410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.56"/>
    <col collapsed="false" customWidth="true" hidden="false" outlineLevel="0" max="4" min="3" style="1" width="5.56"/>
    <col collapsed="false" customWidth="true" hidden="false" outlineLevel="0" max="5" min="5" style="1" width="12"/>
    <col collapsed="false" customWidth="true" hidden="false" outlineLevel="0" max="6" min="6" style="1" width="7.76"/>
    <col collapsed="false" customWidth="true" hidden="false" outlineLevel="0" max="7" min="7" style="1" width="8.44"/>
    <col collapsed="false" customWidth="true" hidden="false" outlineLevel="0" max="8" min="8" style="1" width="17.76"/>
    <col collapsed="false" customWidth="true" hidden="false" outlineLevel="0" max="9" min="9" style="2" width="13"/>
    <col collapsed="false" customWidth="true" hidden="false" outlineLevel="0" max="10" min="10" style="1" width="13"/>
    <col collapsed="false" customWidth="true" hidden="false" outlineLevel="0" max="11" min="11" style="2" width="8.11"/>
    <col collapsed="false" customWidth="true" hidden="false" outlineLevel="0" max="100" min="12" style="1" width="13"/>
  </cols>
  <sheetData>
    <row r="2" customFormat="false" ht="15" hidden="false" customHeight="true" outlineLevel="0" collapsed="false">
      <c r="H2" s="3" t="s">
        <v>0</v>
      </c>
      <c r="I2" s="2" t="n">
        <v>0.8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tr">
        <f aca="false">B3</f>
        <v>Category</v>
      </c>
      <c r="K3" s="3" t="s">
        <v>8</v>
      </c>
      <c r="L3" s="3" t="s">
        <v>10</v>
      </c>
      <c r="M3" s="3" t="s">
        <v>11</v>
      </c>
    </row>
    <row r="4" customFormat="false" ht="15" hidden="false" customHeight="true" outlineLevel="0" collapsed="false">
      <c r="A4" s="4" t="s">
        <v>12</v>
      </c>
      <c r="B4" s="4" t="str">
        <f aca="false">J$4</f>
        <v>Gen</v>
      </c>
      <c r="C4" s="5" t="n">
        <v>0.291666666666667</v>
      </c>
      <c r="D4" s="5" t="n">
        <v>0.625</v>
      </c>
      <c r="E4" s="4" t="s">
        <v>13</v>
      </c>
      <c r="F4" s="4" t="n">
        <f aca="false">IF(B4="General Workman",40,0)</f>
        <v>0</v>
      </c>
      <c r="G4" s="4" t="n">
        <f aca="false">IF(B4="Contract Workman",60,0)</f>
        <v>0</v>
      </c>
      <c r="H4" s="4" t="n">
        <f aca="false">ROUND((IF(D4&lt;C4,D4+1,D4)-C4)*24,0)</f>
        <v>8</v>
      </c>
      <c r="I4" s="4" t="n">
        <f aca="false">H4-I$2</f>
        <v>7.2</v>
      </c>
      <c r="J4" s="4" t="s">
        <v>14</v>
      </c>
      <c r="K4" s="6" t="n">
        <f aca="false">SUM(I4:I6)</f>
        <v>21.6</v>
      </c>
      <c r="L4" s="4" t="s">
        <v>15</v>
      </c>
      <c r="M4" s="4" t="n">
        <v>9</v>
      </c>
    </row>
    <row r="5" customFormat="false" ht="15" hidden="false" customHeight="true" outlineLevel="0" collapsed="false">
      <c r="A5" s="4" t="s">
        <v>16</v>
      </c>
      <c r="B5" s="4" t="str">
        <f aca="false">J$4</f>
        <v>Gen</v>
      </c>
      <c r="C5" s="5" t="n">
        <v>0.625</v>
      </c>
      <c r="D5" s="5" t="n">
        <v>0.958333333333333</v>
      </c>
      <c r="E5" s="4" t="s">
        <v>17</v>
      </c>
      <c r="F5" s="4" t="n">
        <f aca="false">IF(B5="General Workman",40,0)</f>
        <v>0</v>
      </c>
      <c r="G5" s="4" t="n">
        <f aca="false">IF(B5="Contract Workman",60,0)</f>
        <v>0</v>
      </c>
      <c r="H5" s="4" t="n">
        <f aca="false">ROUND((IF(D5&lt;C5,D5+1,D5)-C5)*24,0)</f>
        <v>8</v>
      </c>
      <c r="I5" s="4" t="n">
        <f aca="false">H5-I$2</f>
        <v>7.2</v>
      </c>
      <c r="J5" s="4" t="s">
        <v>18</v>
      </c>
      <c r="K5" s="6" t="n">
        <f aca="false">SUM(I7:I8)</f>
        <v>22.4</v>
      </c>
      <c r="L5" s="4" t="s">
        <v>19</v>
      </c>
      <c r="M5" s="4" t="n">
        <v>15</v>
      </c>
    </row>
    <row r="6" customFormat="false" ht="15" hidden="false" customHeight="true" outlineLevel="0" collapsed="false">
      <c r="A6" s="4" t="s">
        <v>20</v>
      </c>
      <c r="B6" s="4" t="str">
        <f aca="false">J$4</f>
        <v>Gen</v>
      </c>
      <c r="C6" s="5" t="n">
        <v>0.958333333333333</v>
      </c>
      <c r="D6" s="5" t="n">
        <v>0.291666666666667</v>
      </c>
      <c r="E6" s="4" t="s">
        <v>21</v>
      </c>
      <c r="F6" s="4" t="n">
        <f aca="false">IF(B6="General Workman",40,0)</f>
        <v>0</v>
      </c>
      <c r="G6" s="4" t="n">
        <f aca="false">IF(B6="Contract Workman",60,0)</f>
        <v>0</v>
      </c>
      <c r="H6" s="4" t="n">
        <f aca="false">ROUND((IF(D6&lt;C6,D6+1,D6)-C6)*24,0)</f>
        <v>8</v>
      </c>
      <c r="I6" s="4" t="n">
        <f aca="false">H6-I$2</f>
        <v>7.2</v>
      </c>
      <c r="L6" s="4" t="s">
        <v>22</v>
      </c>
      <c r="M6" s="4" t="n">
        <v>17</v>
      </c>
    </row>
    <row r="7" customFormat="false" ht="15" hidden="false" customHeight="true" outlineLevel="0" collapsed="false">
      <c r="A7" s="4" t="s">
        <v>23</v>
      </c>
      <c r="B7" s="4" t="str">
        <f aca="false">J$5</f>
        <v>Cont</v>
      </c>
      <c r="C7" s="5" t="n">
        <v>0.333333333333333</v>
      </c>
      <c r="D7" s="5" t="n">
        <v>0.833333333333333</v>
      </c>
      <c r="E7" s="4" t="s">
        <v>24</v>
      </c>
      <c r="F7" s="4" t="n">
        <f aca="false">IF(B7="General Workman",40,0)</f>
        <v>0</v>
      </c>
      <c r="G7" s="4" t="n">
        <f aca="false">IF(B7="Contract Workman",60,0)</f>
        <v>0</v>
      </c>
      <c r="H7" s="4" t="n">
        <f aca="false">ROUND((IF(D7&lt;C7,D7+1,D7)-C7)*24,0)</f>
        <v>12</v>
      </c>
      <c r="I7" s="4" t="n">
        <f aca="false">H7-I$2</f>
        <v>11.2</v>
      </c>
      <c r="L7" s="4" t="s">
        <v>25</v>
      </c>
      <c r="M7" s="4" t="n">
        <v>20</v>
      </c>
    </row>
    <row r="8" customFormat="false" ht="15" hidden="false" customHeight="true" outlineLevel="0" collapsed="false">
      <c r="A8" s="4" t="s">
        <v>26</v>
      </c>
      <c r="B8" s="4" t="str">
        <f aca="false">J$5</f>
        <v>Cont</v>
      </c>
      <c r="C8" s="5" t="n">
        <v>0.833333333333333</v>
      </c>
      <c r="D8" s="5" t="n">
        <v>0.333333333333333</v>
      </c>
      <c r="E8" s="4" t="s">
        <v>27</v>
      </c>
      <c r="F8" s="4" t="n">
        <f aca="false">IF(B8="General Workman",40,0)</f>
        <v>0</v>
      </c>
      <c r="G8" s="4" t="n">
        <f aca="false">IF(B8="Contract Workman",60,0)</f>
        <v>0</v>
      </c>
      <c r="H8" s="4" t="n">
        <f aca="false">ROUND((IF(D8&lt;C8,D8+1,D8)-C8)*24,0)</f>
        <v>12</v>
      </c>
      <c r="I8" s="4" t="n">
        <f aca="false">H8-I$2</f>
        <v>11.2</v>
      </c>
      <c r="L8" s="7" t="s">
        <v>28</v>
      </c>
      <c r="M8" s="4" t="n">
        <v>25</v>
      </c>
    </row>
    <row r="9" customFormat="false" ht="15" hidden="false" customHeight="true" outlineLevel="0" collapsed="false">
      <c r="L9" s="7" t="s">
        <v>29</v>
      </c>
      <c r="M9" s="4" t="n">
        <v>28</v>
      </c>
    </row>
    <row r="10" customFormat="false" ht="15" hidden="false" customHeight="true" outlineLevel="0" collapsed="false">
      <c r="L10" s="7" t="s">
        <v>30</v>
      </c>
      <c r="M10" s="4" t="n">
        <v>30</v>
      </c>
    </row>
    <row r="11" customFormat="false" ht="15" hidden="false" customHeight="true" outlineLevel="0" collapsed="false">
      <c r="M11" s="4" t="n">
        <v>34</v>
      </c>
    </row>
    <row r="12" customFormat="false" ht="15" hidden="false" customHeight="true" outlineLevel="0" collapsed="false">
      <c r="M12" s="4" t="n">
        <v>42</v>
      </c>
    </row>
    <row r="13" customFormat="false" ht="15" hidden="false" customHeight="true" outlineLevel="0" collapsed="false">
      <c r="M13" s="4" t="n">
        <v>46</v>
      </c>
    </row>
    <row r="14" customFormat="false" ht="15" hidden="false" customHeight="true" outlineLevel="0" collapsed="false">
      <c r="M14" s="4" t="n">
        <v>50</v>
      </c>
    </row>
    <row r="15" customFormat="false" ht="15" hidden="false" customHeight="true" outlineLevel="0" collapsed="false">
      <c r="M15" s="4" t="n">
        <v>54</v>
      </c>
    </row>
    <row r="16" customFormat="false" ht="15" hidden="false" customHeight="true" outlineLevel="0" collapsed="false">
      <c r="M16" s="4" t="n">
        <v>57</v>
      </c>
    </row>
    <row r="17" customFormat="false" ht="15" hidden="false" customHeight="true" outlineLevel="0" collapsed="false">
      <c r="M17" s="4" t="n">
        <v>63</v>
      </c>
    </row>
    <row r="18" customFormat="false" ht="15" hidden="false" customHeight="true" outlineLevel="0" collapsed="false">
      <c r="M18" s="4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6" min="1" style="1" width="13"/>
    <col collapsed="false" customWidth="true" hidden="false" outlineLevel="0" max="7" min="7" style="1" width="16.67"/>
    <col collapsed="false" customWidth="true" hidden="false" outlineLevel="0" max="8" min="8" style="8" width="11.77"/>
    <col collapsed="false" customWidth="true" hidden="false" outlineLevel="0" max="9" min="9" style="8" width="18.34"/>
    <col collapsed="false" customWidth="true" hidden="false" outlineLevel="0" max="10" min="10" style="9" width="43.33"/>
    <col collapsed="false" customWidth="true" hidden="false" outlineLevel="0" max="100" min="11" style="1" width="13"/>
  </cols>
  <sheetData>
    <row r="3" customFormat="false" ht="30" hidden="false" customHeight="true" outlineLevel="0" collapsed="false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39</v>
      </c>
      <c r="J3" s="11" t="s">
        <v>40</v>
      </c>
    </row>
    <row r="4" customFormat="false" ht="15" hidden="false" customHeight="true" outlineLevel="0" collapsed="false">
      <c r="A4" s="4" t="s">
        <v>41</v>
      </c>
      <c r="B4" s="4" t="s">
        <v>42</v>
      </c>
      <c r="C4" s="12" t="n">
        <v>46133</v>
      </c>
      <c r="D4" s="4" t="n">
        <v>6</v>
      </c>
      <c r="E4" s="4" t="n">
        <v>4</v>
      </c>
      <c r="F4" s="4" t="s">
        <v>43</v>
      </c>
      <c r="G4" s="13" t="s">
        <v>44</v>
      </c>
      <c r="H4" s="8" t="n">
        <v>100</v>
      </c>
      <c r="I4" s="8" t="n">
        <v>1600</v>
      </c>
      <c r="J4" s="9" t="str">
        <f aca="false">IFERROR(LEFT(IF((OPR_2P!$J$4&gt;=H4)*(OPR_2P!$K$4&lt;=I4),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""), LEN(IF((OPR_2P!$J$4&gt;=H4)*(OPR_2P!$K$4&lt;=I4),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""))-2), "None")</f>
        <v>9, 15, 17, 20, 25, 28</v>
      </c>
    </row>
    <row r="5" customFormat="false" ht="15" hidden="false" customHeight="true" outlineLevel="0" collapsed="false">
      <c r="A5" s="4" t="s">
        <v>41</v>
      </c>
      <c r="B5" s="4" t="s">
        <v>45</v>
      </c>
      <c r="C5" s="12" t="n">
        <v>46521</v>
      </c>
      <c r="D5" s="4" t="n">
        <v>6</v>
      </c>
      <c r="E5" s="4" t="n">
        <v>4</v>
      </c>
      <c r="F5" s="4" t="s">
        <v>43</v>
      </c>
      <c r="G5" s="13" t="s">
        <v>44</v>
      </c>
      <c r="H5" s="8" t="n">
        <v>600</v>
      </c>
      <c r="I5" s="8" t="n">
        <v>2500</v>
      </c>
      <c r="J5" s="9" t="str">
        <f aca="false">IFERROR(LEFT(IF((OPR_2P!$J$4&gt;=H5)*(OPR_2P!$K$4&lt;=I5),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""), LEN(IF((OPR_2P!$J$4&gt;=H5)*(OPR_2P!$K$4&lt;=I5),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""))-2), "None")</f>
        <v>20, 25, 28, 30, 34, 42, 46</v>
      </c>
    </row>
    <row r="6" customFormat="false" ht="15" hidden="false" customHeight="true" outlineLevel="0" collapsed="false">
      <c r="A6" s="4" t="s">
        <v>41</v>
      </c>
      <c r="B6" s="4" t="s">
        <v>46</v>
      </c>
      <c r="C6" s="12" t="n">
        <v>46174</v>
      </c>
      <c r="D6" s="4" t="n">
        <v>6</v>
      </c>
      <c r="E6" s="4" t="n">
        <v>4</v>
      </c>
      <c r="F6" s="4" t="s">
        <v>43</v>
      </c>
      <c r="G6" s="13" t="s">
        <v>44</v>
      </c>
      <c r="H6" s="8" t="n">
        <v>800</v>
      </c>
      <c r="I6" s="8" t="n">
        <v>3500</v>
      </c>
      <c r="J6" s="9" t="str">
        <f aca="false">IFERROR(LEFT(IF((OPR_2P!$J$4&gt;=H6)*(OPR_2P!$K$4&lt;=I6),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""), LEN(IF((OPR_2P!$J$4&gt;=H6)*(OPR_2P!$K$4&lt;=I6),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""))-2), "None")</f>
        <v>25, 28, 30, 34, 42, 46, 50, 54, 57, 63, 70</v>
      </c>
    </row>
    <row r="7" customFormat="false" ht="15" hidden="false" customHeight="true" outlineLevel="0" collapsed="false">
      <c r="A7" s="4" t="s">
        <v>41</v>
      </c>
      <c r="B7" s="4" t="s">
        <v>47</v>
      </c>
      <c r="C7" s="12" t="n">
        <v>46517</v>
      </c>
      <c r="D7" s="4" t="n">
        <v>6</v>
      </c>
      <c r="E7" s="4" t="n">
        <v>4</v>
      </c>
      <c r="F7" s="4" t="s">
        <v>43</v>
      </c>
      <c r="G7" s="13" t="s">
        <v>44</v>
      </c>
      <c r="H7" s="8" t="n">
        <v>1000</v>
      </c>
      <c r="I7" s="8" t="n">
        <v>4500</v>
      </c>
      <c r="J7" s="9" t="str">
        <f aca="false">IFERROR(LEFT(IF((OPR_2P!$J$4&gt;=H7)*(OPR_2P!$K$4&lt;=I7),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""), LEN(IF((OPR_2P!$J$4&gt;=H7)*(OPR_2P!$K$4&lt;=I7),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""))-2), "None")</f>
        <v>28, 30, 34, 42, 46, 50, 54, 57, 63, 70</v>
      </c>
    </row>
    <row r="8" customFormat="false" ht="15" hidden="false" customHeight="true" outlineLevel="0" collapsed="false">
      <c r="A8" s="4" t="s">
        <v>48</v>
      </c>
      <c r="B8" s="4" t="s">
        <v>49</v>
      </c>
      <c r="C8" s="12" t="n">
        <v>46285</v>
      </c>
      <c r="D8" s="4" t="n">
        <v>6</v>
      </c>
      <c r="E8" s="4" t="n">
        <v>4</v>
      </c>
      <c r="F8" s="4" t="s">
        <v>43</v>
      </c>
      <c r="G8" s="13" t="s">
        <v>44</v>
      </c>
      <c r="H8" s="8" t="n">
        <v>100</v>
      </c>
      <c r="I8" s="8" t="n">
        <v>3500</v>
      </c>
      <c r="J8" s="9" t="str">
        <f aca="false">IFERROR(LEFT(IF((OPR_2P!$J$4&gt;=H8)*(OPR_2P!$K$4&lt;=I8),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""), LEN(IF((OPR_2P!$J$4&gt;=H8)*(OPR_2P!$K$4&lt;=I8),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""))-2), "None")</f>
        <v>9, 15, 17, 20, 25, 28, 30, 34, 42, 46, 50, 54, 57, 63, 70</v>
      </c>
    </row>
    <row r="9" customFormat="false" ht="15" hidden="false" customHeight="true" outlineLevel="0" collapsed="false">
      <c r="A9" s="4" t="s">
        <v>48</v>
      </c>
      <c r="B9" s="4" t="s">
        <v>50</v>
      </c>
      <c r="C9" s="12" t="n">
        <v>46459</v>
      </c>
      <c r="D9" s="4" t="n">
        <v>6</v>
      </c>
      <c r="E9" s="4" t="n">
        <v>4</v>
      </c>
      <c r="F9" s="4" t="s">
        <v>43</v>
      </c>
      <c r="G9" s="13" t="s">
        <v>44</v>
      </c>
      <c r="H9" s="8" t="n">
        <v>100</v>
      </c>
      <c r="I9" s="8" t="n">
        <v>3500</v>
      </c>
      <c r="J9" s="9" t="str">
        <f aca="false">IFERROR(LEFT(IF((OPR_2P!$J$4&gt;=H9)*(OPR_2P!$K$4&lt;=I9),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""), LEN(IF((OPR_2P!$J$4&gt;=H9)*(OPR_2P!$K$4&lt;=I9),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""))-2), "None")</f>
        <v>9, 15, 17, 20, 25, 28, 30, 34, 42, 46, 50, 54, 57, 63, 70</v>
      </c>
    </row>
    <row r="10" customFormat="false" ht="15" hidden="false" customHeight="true" outlineLevel="0" collapsed="false">
      <c r="A10" s="4" t="s">
        <v>48</v>
      </c>
      <c r="B10" s="4" t="s">
        <v>51</v>
      </c>
      <c r="C10" s="12" t="n">
        <v>46104</v>
      </c>
      <c r="D10" s="4" t="n">
        <v>6</v>
      </c>
      <c r="E10" s="4" t="n">
        <v>4</v>
      </c>
      <c r="F10" s="4" t="s">
        <v>43</v>
      </c>
      <c r="G10" s="13" t="s">
        <v>44</v>
      </c>
      <c r="H10" s="8" t="n">
        <v>100</v>
      </c>
      <c r="I10" s="8" t="n">
        <v>4500</v>
      </c>
      <c r="J10" s="9" t="str">
        <f aca="false">IFERROR(LEFT(IF((OPR_2P!$J$4&gt;=H10)*(OPR_2P!$K$4&lt;=I10),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""), LEN(IF((OPR_2P!$J$4&gt;=H10)*(OPR_2P!$K$4&lt;=I10),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""))-2), "None")</f>
        <v>9, 15, 17, 20, 25, 28, 30, 34, 42, 46, 50, 54, 57, 63, 70</v>
      </c>
    </row>
    <row r="11" customFormat="false" ht="15" hidden="false" customHeight="true" outlineLevel="0" collapsed="false">
      <c r="A11" s="4" t="s">
        <v>48</v>
      </c>
      <c r="B11" s="4" t="s">
        <v>52</v>
      </c>
      <c r="C11" s="12" t="n">
        <v>46197</v>
      </c>
      <c r="D11" s="4" t="n">
        <v>6</v>
      </c>
      <c r="E11" s="4" t="n">
        <v>4</v>
      </c>
      <c r="F11" s="4" t="s">
        <v>43</v>
      </c>
      <c r="G11" s="13" t="s">
        <v>44</v>
      </c>
      <c r="H11" s="8" t="n">
        <v>100</v>
      </c>
      <c r="I11" s="8" t="n">
        <v>4500</v>
      </c>
      <c r="J11" s="9" t="str">
        <f aca="false">IFERROR(LEFT(IF((OPR_2P!$J$4&gt;=H11)*(OPR_2P!$K$4&lt;=I11),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""), LEN(IF((OPR_2P!$J$4&gt;=H11)*(OPR_2P!$K$4&lt;=I11),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""))-2), "None")</f>
        <v>9, 15, 17, 20, 25, 28, 30, 34, 42, 46, 50, 54, 57, 63, 70</v>
      </c>
    </row>
    <row r="12" customFormat="false" ht="15" hidden="false" customHeight="true" outlineLevel="0" collapsed="false">
      <c r="A12" s="4" t="s">
        <v>48</v>
      </c>
      <c r="B12" s="4" t="s">
        <v>53</v>
      </c>
      <c r="C12" s="12" t="n">
        <v>46271</v>
      </c>
      <c r="D12" s="4" t="n">
        <v>6</v>
      </c>
      <c r="E12" s="4" t="n">
        <v>4</v>
      </c>
      <c r="F12" s="4" t="s">
        <v>43</v>
      </c>
      <c r="G12" s="13" t="s">
        <v>44</v>
      </c>
      <c r="H12" s="8" t="n">
        <v>100</v>
      </c>
      <c r="I12" s="8" t="n">
        <v>4500</v>
      </c>
      <c r="J12" s="9" t="str">
        <f aca="false">IFERROR(LEFT(IF((OPR_2P!$J$4&gt;=H12)*(OPR_2P!$K$4&lt;=I12),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""), LEN(IF((OPR_2P!$J$4&gt;=H12)*(OPR_2P!$K$4&lt;=I12),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""))-2), "None")</f>
        <v>9, 15, 17, 20, 25, 28, 30, 34, 42, 46, 50, 54, 57, 63, 70</v>
      </c>
    </row>
    <row r="13" customFormat="false" ht="15" hidden="false" customHeight="true" outlineLevel="0" collapsed="false">
      <c r="A13" s="4" t="s">
        <v>48</v>
      </c>
      <c r="B13" s="4" t="s">
        <v>54</v>
      </c>
      <c r="C13" s="12" t="n">
        <v>46176</v>
      </c>
      <c r="D13" s="4" t="n">
        <v>6</v>
      </c>
      <c r="E13" s="4" t="n">
        <v>4</v>
      </c>
      <c r="F13" s="4" t="s">
        <v>43</v>
      </c>
      <c r="G13" s="13" t="s">
        <v>44</v>
      </c>
      <c r="H13" s="8" t="n">
        <v>100</v>
      </c>
      <c r="I13" s="8" t="n">
        <v>4500</v>
      </c>
      <c r="J13" s="9" t="str">
        <f aca="false">IFERROR(LEFT(IF((OPR_2P!$J$4&gt;=H13)*(OPR_2P!$K$4&lt;=I13),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""), LEN(IF((OPR_2P!$J$4&gt;=H13)*(OPR_2P!$K$4&lt;=I13),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""))-2), "None")</f>
        <v>9, 15, 17, 20, 25, 28, 30, 34, 42, 46, 50, 54, 57, 63, 70</v>
      </c>
    </row>
    <row r="14" customFormat="false" ht="15" hidden="false" customHeight="true" outlineLevel="0" collapsed="false">
      <c r="A14" s="4" t="s">
        <v>55</v>
      </c>
      <c r="B14" s="4" t="s">
        <v>56</v>
      </c>
      <c r="C14" s="12" t="n">
        <v>46418</v>
      </c>
      <c r="D14" s="4" t="n">
        <v>6</v>
      </c>
      <c r="E14" s="4" t="n">
        <v>4</v>
      </c>
      <c r="F14" s="4" t="s">
        <v>43</v>
      </c>
      <c r="G14" s="13" t="s">
        <v>44</v>
      </c>
      <c r="H14" s="8" t="n">
        <v>100</v>
      </c>
      <c r="I14" s="8" t="n">
        <v>4500</v>
      </c>
      <c r="J14" s="9" t="str">
        <f aca="false">IFERROR(LEFT(IF((OPR_2P!$J$4&gt;=H14)*(OPR_2P!$K$4&lt;=I14),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""), LEN(IF((OPR_2P!$J$4&gt;=H14)*(OPR_2P!$K$4&lt;=I14),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""))-2), "None")</f>
        <v>9, 15, 17, 20, 25, 28, 30, 34, 42, 46, 50, 54, 57, 63, 70</v>
      </c>
    </row>
    <row r="15" customFormat="false" ht="15" hidden="false" customHeight="true" outlineLevel="0" collapsed="false">
      <c r="A15" s="4" t="s">
        <v>55</v>
      </c>
      <c r="B15" s="4" t="s">
        <v>57</v>
      </c>
      <c r="C15" s="12" t="n">
        <v>46282</v>
      </c>
      <c r="D15" s="4" t="n">
        <v>6</v>
      </c>
      <c r="E15" s="4" t="n">
        <v>4</v>
      </c>
      <c r="F15" s="4" t="s">
        <v>43</v>
      </c>
      <c r="G15" s="13" t="s">
        <v>44</v>
      </c>
      <c r="H15" s="8" t="n">
        <v>100</v>
      </c>
      <c r="I15" s="8" t="n">
        <v>4500</v>
      </c>
      <c r="J15" s="9" t="str">
        <f aca="false">IFERROR(LEFT(IF((OPR_2P!$J$4&gt;=H15)*(OPR_2P!$K$4&lt;=I15),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""), LEN(IF((OPR_2P!$J$4&gt;=H15)*(OPR_2P!$K$4&lt;=I15),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""))-2), "None")</f>
        <v>9, 15, 17, 20, 25, 28, 30, 34, 42, 46, 50, 54, 57, 63, 70</v>
      </c>
    </row>
    <row r="16" customFormat="false" ht="15" hidden="false" customHeight="true" outlineLevel="0" collapsed="false">
      <c r="A16" s="4" t="s">
        <v>55</v>
      </c>
      <c r="B16" s="4" t="s">
        <v>58</v>
      </c>
      <c r="C16" s="12" t="n">
        <v>46296</v>
      </c>
      <c r="D16" s="4" t="n">
        <v>6</v>
      </c>
      <c r="E16" s="4" t="n">
        <v>4</v>
      </c>
      <c r="F16" s="4" t="s">
        <v>43</v>
      </c>
      <c r="G16" s="13" t="s">
        <v>44</v>
      </c>
      <c r="H16" s="8" t="n">
        <v>100</v>
      </c>
      <c r="I16" s="8" t="n">
        <v>4500</v>
      </c>
      <c r="J16" s="9" t="str">
        <f aca="false">IFERROR(LEFT(IF((OPR_2P!$J$4&gt;=H16)*(OPR_2P!$K$4&lt;=I16),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""), LEN(IF((OPR_2P!$J$4&gt;=H16)*(OPR_2P!$K$4&lt;=I16),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""))-2), "None")</f>
        <v>9, 15, 17, 20, 25, 28, 30, 34, 42, 46, 50, 54, 57, 63, 70</v>
      </c>
    </row>
    <row r="17" customFormat="false" ht="15" hidden="false" customHeight="true" outlineLevel="0" collapsed="false">
      <c r="A17" s="4" t="s">
        <v>55</v>
      </c>
      <c r="B17" s="4" t="s">
        <v>59</v>
      </c>
      <c r="C17" s="12" t="n">
        <v>46237</v>
      </c>
      <c r="D17" s="4" t="n">
        <v>6</v>
      </c>
      <c r="E17" s="4" t="n">
        <v>4</v>
      </c>
      <c r="F17" s="4" t="s">
        <v>43</v>
      </c>
      <c r="G17" s="13" t="s">
        <v>44</v>
      </c>
      <c r="H17" s="8" t="n">
        <v>100</v>
      </c>
      <c r="I17" s="8" t="n">
        <v>4500</v>
      </c>
      <c r="J17" s="9" t="str">
        <f aca="false">IFERROR(LEFT(IF((OPR_2P!$J$4&gt;=H17)*(OPR_2P!$K$4&lt;=I17),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""), LEN(IF((OPR_2P!$J$4&gt;=H17)*(OPR_2P!$K$4&lt;=I17),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""))-2), "None")</f>
        <v>9, 15, 17, 20, 25, 28, 30, 34, 42, 46, 50, 54, 57, 63, 70</v>
      </c>
    </row>
    <row r="18" customFormat="false" ht="15" hidden="false" customHeight="true" outlineLevel="0" collapsed="false">
      <c r="A18" s="4" t="s">
        <v>55</v>
      </c>
      <c r="B18" s="4" t="s">
        <v>60</v>
      </c>
      <c r="C18" s="12" t="n">
        <v>46238</v>
      </c>
      <c r="D18" s="4" t="n">
        <v>6</v>
      </c>
      <c r="E18" s="4" t="n">
        <v>4</v>
      </c>
      <c r="F18" s="4" t="s">
        <v>43</v>
      </c>
      <c r="G18" s="13" t="s">
        <v>44</v>
      </c>
      <c r="H18" s="8" t="n">
        <v>100</v>
      </c>
      <c r="I18" s="8" t="n">
        <v>4500</v>
      </c>
      <c r="J18" s="9" t="str">
        <f aca="false">IFERROR(LEFT(IF((OPR_2P!$J$4&gt;=H18)*(OPR_2P!$K$4&lt;=I18),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""), LEN(IF((OPR_2P!$J$4&gt;=H18)*(OPR_2P!$K$4&lt;=I18),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""))-2), "None")</f>
        <v>9, 15, 17, 20, 25, 28, 30, 34, 42, 46, 50, 54, 57, 63, 70</v>
      </c>
    </row>
    <row r="19" customFormat="false" ht="15" hidden="false" customHeight="true" outlineLevel="0" collapsed="false">
      <c r="A19" s="4" t="s">
        <v>55</v>
      </c>
      <c r="B19" s="4" t="s">
        <v>61</v>
      </c>
      <c r="C19" s="12" t="n">
        <v>46397</v>
      </c>
      <c r="D19" s="4" t="n">
        <v>6</v>
      </c>
      <c r="E19" s="4" t="n">
        <v>4</v>
      </c>
      <c r="F19" s="4" t="s">
        <v>43</v>
      </c>
      <c r="G19" s="13" t="s">
        <v>44</v>
      </c>
      <c r="H19" s="8" t="n">
        <v>100</v>
      </c>
      <c r="I19" s="8" t="n">
        <v>4500</v>
      </c>
      <c r="J19" s="9" t="str">
        <f aca="false">IFERROR(LEFT(IF((OPR_2P!$J$4&gt;=H19)*(OPR_2P!$K$4&lt;=I19),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""), LEN(IF((OPR_2P!$J$4&gt;=H19)*(OPR_2P!$K$4&lt;=I19),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""))-2), "None")</f>
        <v>9, 15, 17, 20, 25, 28, 30, 34, 42, 46, 50, 54, 57, 63, 70</v>
      </c>
    </row>
    <row r="20" customFormat="false" ht="15" hidden="false" customHeight="true" outlineLevel="0" collapsed="false">
      <c r="A20" s="4" t="s">
        <v>62</v>
      </c>
      <c r="B20" s="4" t="s">
        <v>63</v>
      </c>
      <c r="C20" s="12" t="n">
        <v>46092</v>
      </c>
      <c r="D20" s="4" t="n">
        <v>6</v>
      </c>
      <c r="E20" s="4" t="n">
        <v>4</v>
      </c>
      <c r="F20" s="4" t="s">
        <v>43</v>
      </c>
      <c r="G20" s="13" t="s">
        <v>44</v>
      </c>
      <c r="H20" s="8" t="n">
        <v>100</v>
      </c>
      <c r="I20" s="8" t="n">
        <v>1600</v>
      </c>
      <c r="J20" s="9" t="str">
        <f aca="false">IFERROR(LEFT(IF((OPR_2P!$J$4&gt;=H20)*(OPR_2P!$K$4&lt;=I20),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""), LEN(IF((OPR_2P!$J$4&gt;=H20)*(OPR_2P!$K$4&lt;=I20),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""))-2), "None")</f>
        <v>9, 15, 17, 20, 25, 28</v>
      </c>
    </row>
    <row r="21" customFormat="false" ht="15" hidden="false" customHeight="true" outlineLevel="0" collapsed="false">
      <c r="A21" s="4" t="s">
        <v>62</v>
      </c>
      <c r="B21" s="4" t="s">
        <v>64</v>
      </c>
      <c r="C21" s="12" t="n">
        <v>46160</v>
      </c>
      <c r="D21" s="4" t="n">
        <v>6</v>
      </c>
      <c r="E21" s="4" t="n">
        <v>4</v>
      </c>
      <c r="F21" s="4" t="s">
        <v>43</v>
      </c>
      <c r="G21" s="13" t="s">
        <v>44</v>
      </c>
      <c r="H21" s="8" t="n">
        <v>100</v>
      </c>
      <c r="I21" s="8" t="n">
        <v>1600</v>
      </c>
      <c r="J21" s="9" t="str">
        <f aca="false">IFERROR(LEFT(IF((OPR_2P!$J$4&gt;=H21)*(OPR_2P!$K$4&lt;=I21),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""), LEN(IF((OPR_2P!$J$4&gt;=H21)*(OPR_2P!$K$4&lt;=I21),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""))-2), "None")</f>
        <v>9, 15, 17, 20, 25, 28</v>
      </c>
    </row>
    <row r="22" customFormat="false" ht="15" hidden="false" customHeight="true" outlineLevel="0" collapsed="false">
      <c r="A22" s="4" t="s">
        <v>62</v>
      </c>
      <c r="B22" s="4" t="s">
        <v>65</v>
      </c>
      <c r="C22" s="12" t="n">
        <v>46057</v>
      </c>
      <c r="D22" s="4" t="n">
        <v>6</v>
      </c>
      <c r="E22" s="4" t="n">
        <v>4</v>
      </c>
      <c r="F22" s="4" t="s">
        <v>43</v>
      </c>
      <c r="G22" s="13" t="s">
        <v>44</v>
      </c>
      <c r="H22" s="8" t="n">
        <v>100</v>
      </c>
      <c r="I22" s="8" t="n">
        <v>1600</v>
      </c>
      <c r="J22" s="9" t="str">
        <f aca="false">IFERROR(LEFT(IF((OPR_2P!$J$4&gt;=H22)*(OPR_2P!$K$4&lt;=I22),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""), LEN(IF((OPR_2P!$J$4&gt;=H22)*(OPR_2P!$K$4&lt;=I22),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""))-2), "None")</f>
        <v>9, 15, 17, 20, 25, 28</v>
      </c>
    </row>
    <row r="23" customFormat="false" ht="15" hidden="false" customHeight="true" outlineLevel="0" collapsed="false">
      <c r="A23" s="4" t="s">
        <v>62</v>
      </c>
      <c r="B23" s="4" t="s">
        <v>66</v>
      </c>
      <c r="C23" s="12" t="n">
        <v>46111</v>
      </c>
      <c r="D23" s="4" t="n">
        <v>6</v>
      </c>
      <c r="E23" s="4" t="n">
        <v>4</v>
      </c>
      <c r="F23" s="4" t="s">
        <v>43</v>
      </c>
      <c r="G23" s="13" t="s">
        <v>44</v>
      </c>
      <c r="H23" s="8" t="n">
        <v>100</v>
      </c>
      <c r="I23" s="8" t="n">
        <v>1600</v>
      </c>
      <c r="J23" s="9" t="str">
        <f aca="false">IFERROR(LEFT(IF((OPR_2P!$J$4&gt;=H23)*(OPR_2P!$K$4&lt;=I23),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""), LEN(IF((OPR_2P!$J$4&gt;=H23)*(OPR_2P!$K$4&lt;=I23),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""))-2), "None")</f>
        <v>9, 15, 17, 20, 25, 28</v>
      </c>
    </row>
    <row r="24" customFormat="false" ht="15" hidden="false" customHeight="true" outlineLevel="0" collapsed="false">
      <c r="A24" s="4" t="s">
        <v>62</v>
      </c>
      <c r="B24" s="4" t="s">
        <v>67</v>
      </c>
      <c r="C24" s="12" t="n">
        <v>46225</v>
      </c>
      <c r="D24" s="4" t="n">
        <v>6</v>
      </c>
      <c r="E24" s="4" t="n">
        <v>4</v>
      </c>
      <c r="F24" s="4" t="s">
        <v>43</v>
      </c>
      <c r="G24" s="13" t="s">
        <v>44</v>
      </c>
      <c r="H24" s="8" t="n">
        <v>100</v>
      </c>
      <c r="I24" s="8" t="n">
        <v>1600</v>
      </c>
      <c r="J24" s="9" t="str">
        <f aca="false">IFERROR(LEFT(IF((OPR_2P!$J$4&gt;=H24)*(OPR_2P!$K$4&lt;=I24),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""), LEN(IF((OPR_2P!$J$4&gt;=H24)*(OPR_2P!$K$4&lt;=I24),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""))-2), "None")</f>
        <v>9, 15, 17, 20, 25, 28</v>
      </c>
    </row>
    <row r="25" customFormat="false" ht="15" hidden="false" customHeight="true" outlineLevel="0" collapsed="false">
      <c r="A25" s="4" t="s">
        <v>62</v>
      </c>
      <c r="B25" s="4" t="s">
        <v>68</v>
      </c>
      <c r="C25" s="12" t="n">
        <v>46330</v>
      </c>
      <c r="D25" s="4" t="n">
        <v>6</v>
      </c>
      <c r="E25" s="4" t="n">
        <v>4</v>
      </c>
      <c r="F25" s="4" t="s">
        <v>43</v>
      </c>
      <c r="G25" s="13" t="s">
        <v>44</v>
      </c>
      <c r="H25" s="8" t="n">
        <v>100</v>
      </c>
      <c r="I25" s="8" t="n">
        <v>1600</v>
      </c>
      <c r="J25" s="9" t="str">
        <f aca="false">IFERROR(LEFT(IF((OPR_2P!$J$4&gt;=H25)*(OPR_2P!$K$4&lt;=I25),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""), LEN(IF((OPR_2P!$J$4&gt;=H25)*(OPR_2P!$K$4&lt;=I25),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""))-2), "None")</f>
        <v>9, 15, 17, 20, 25, 28</v>
      </c>
    </row>
    <row r="26" customFormat="false" ht="15" hidden="false" customHeight="true" outlineLevel="0" collapsed="false">
      <c r="A26" s="4" t="s">
        <v>62</v>
      </c>
      <c r="B26" s="4" t="s">
        <v>69</v>
      </c>
      <c r="C26" s="12" t="n">
        <v>46208</v>
      </c>
      <c r="D26" s="4" t="n">
        <v>6</v>
      </c>
      <c r="E26" s="4" t="n">
        <v>4</v>
      </c>
      <c r="F26" s="4" t="s">
        <v>43</v>
      </c>
      <c r="G26" s="13" t="s">
        <v>44</v>
      </c>
      <c r="H26" s="8" t="n">
        <v>100</v>
      </c>
      <c r="I26" s="8" t="n">
        <v>1600</v>
      </c>
      <c r="J26" s="9" t="str">
        <f aca="false">IFERROR(LEFT(IF((OPR_2P!$J$4&gt;=H26)*(OPR_2P!$K$4&lt;=I26),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""), LEN(IF((OPR_2P!$J$4&gt;=H26)*(OPR_2P!$K$4&lt;=I26),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""))-2), "None")</f>
        <v>9, 15, 17, 20, 25, 28</v>
      </c>
    </row>
    <row r="27" customFormat="false" ht="15" hidden="false" customHeight="true" outlineLevel="0" collapsed="false">
      <c r="A27" s="4" t="s">
        <v>62</v>
      </c>
      <c r="B27" s="4" t="s">
        <v>70</v>
      </c>
      <c r="C27" s="12" t="n">
        <v>46291</v>
      </c>
      <c r="D27" s="4" t="n">
        <v>6</v>
      </c>
      <c r="E27" s="4" t="n">
        <v>4</v>
      </c>
      <c r="F27" s="4" t="s">
        <v>43</v>
      </c>
      <c r="G27" s="13" t="s">
        <v>44</v>
      </c>
      <c r="H27" s="8" t="n">
        <v>100</v>
      </c>
      <c r="I27" s="8" t="n">
        <v>1600</v>
      </c>
      <c r="J27" s="9" t="str">
        <f aca="false">IFERROR(LEFT(IF((OPR_2P!$J$4&gt;=H27)*(OPR_2P!$K$4&lt;=I27),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""), LEN(IF((OPR_2P!$J$4&gt;=H27)*(OPR_2P!$K$4&lt;=I27),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""))-2), "None")</f>
        <v>9, 15, 17, 20, 25, 28</v>
      </c>
    </row>
    <row r="28" customFormat="false" ht="15" hidden="false" customHeight="true" outlineLevel="0" collapsed="false">
      <c r="A28" s="4" t="s">
        <v>62</v>
      </c>
      <c r="B28" s="4" t="s">
        <v>71</v>
      </c>
      <c r="C28" s="12" t="n">
        <v>46237</v>
      </c>
      <c r="D28" s="4" t="n">
        <v>6</v>
      </c>
      <c r="E28" s="4" t="n">
        <v>4</v>
      </c>
      <c r="F28" s="4" t="s">
        <v>43</v>
      </c>
      <c r="G28" s="13" t="s">
        <v>44</v>
      </c>
      <c r="H28" s="8" t="n">
        <v>300</v>
      </c>
      <c r="I28" s="8" t="n">
        <v>2500</v>
      </c>
      <c r="J28" s="9" t="str">
        <f aca="false">IFERROR(LEFT(IF((OPR_2P!$J$4&gt;=H28)*(OPR_2P!$K$4&lt;=I28),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""), LEN(IF((OPR_2P!$J$4&gt;=H28)*(OPR_2P!$K$4&lt;=I28),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""))-2), "None")</f>
        <v>15, 17, 20, 25, 28, 30, 34, 42, 46</v>
      </c>
    </row>
    <row r="29" customFormat="false" ht="15" hidden="false" customHeight="true" outlineLevel="0" collapsed="false">
      <c r="A29" s="4" t="s">
        <v>62</v>
      </c>
      <c r="B29" s="4" t="s">
        <v>72</v>
      </c>
      <c r="C29" s="12" t="n">
        <v>46503</v>
      </c>
      <c r="D29" s="4" t="n">
        <v>6</v>
      </c>
      <c r="E29" s="4" t="n">
        <v>4</v>
      </c>
      <c r="F29" s="4" t="s">
        <v>43</v>
      </c>
      <c r="G29" s="13" t="s">
        <v>44</v>
      </c>
      <c r="H29" s="8" t="n">
        <v>300</v>
      </c>
      <c r="I29" s="8" t="n">
        <v>2500</v>
      </c>
      <c r="J29" s="9" t="str">
        <f aca="false">IFERROR(LEFT(IF((OPR_2P!$J$4&gt;=H29)*(OPR_2P!$K$4&lt;=I29),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""), LEN(IF((OPR_2P!$J$4&gt;=H29)*(OPR_2P!$K$4&lt;=I29),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""))-2), "None")</f>
        <v>15, 17, 20, 25, 28, 30, 34, 42, 46</v>
      </c>
    </row>
    <row r="30" customFormat="false" ht="15" hidden="false" customHeight="true" outlineLevel="0" collapsed="false">
      <c r="A30" s="4" t="s">
        <v>62</v>
      </c>
      <c r="B30" s="4" t="s">
        <v>73</v>
      </c>
      <c r="C30" s="12" t="n">
        <v>46098</v>
      </c>
      <c r="D30" s="4" t="n">
        <v>6</v>
      </c>
      <c r="E30" s="4" t="n">
        <v>4</v>
      </c>
      <c r="F30" s="4" t="s">
        <v>43</v>
      </c>
      <c r="G30" s="13" t="s">
        <v>44</v>
      </c>
      <c r="H30" s="8" t="n">
        <v>300</v>
      </c>
      <c r="I30" s="8" t="n">
        <v>2500</v>
      </c>
      <c r="J30" s="9" t="str">
        <f aca="false">IFERROR(LEFT(IF((OPR_2P!$J$4&gt;=H30)*(OPR_2P!$K$4&lt;=I30),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""), LEN(IF((OPR_2P!$J$4&gt;=H30)*(OPR_2P!$K$4&lt;=I30),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""))-2), "None")</f>
        <v>15, 17, 20, 25, 28, 30, 34, 42, 46</v>
      </c>
    </row>
    <row r="31" customFormat="false" ht="15" hidden="false" customHeight="true" outlineLevel="0" collapsed="false">
      <c r="A31" s="4" t="s">
        <v>62</v>
      </c>
      <c r="B31" s="4" t="s">
        <v>74</v>
      </c>
      <c r="C31" s="12" t="n">
        <v>46337</v>
      </c>
      <c r="D31" s="4" t="n">
        <v>6</v>
      </c>
      <c r="E31" s="4" t="n">
        <v>4</v>
      </c>
      <c r="F31" s="4" t="s">
        <v>43</v>
      </c>
      <c r="G31" s="13" t="s">
        <v>44</v>
      </c>
      <c r="H31" s="8" t="n">
        <v>300</v>
      </c>
      <c r="I31" s="8" t="n">
        <v>2500</v>
      </c>
      <c r="J31" s="9" t="str">
        <f aca="false">IFERROR(LEFT(IF((OPR_2P!$J$4&gt;=H31)*(OPR_2P!$K$4&lt;=I31),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""), LEN(IF((OPR_2P!$J$4&gt;=H31)*(OPR_2P!$K$4&lt;=I31),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""))-2), "None")</f>
        <v>15, 17, 20, 25, 28, 30, 34, 42, 46</v>
      </c>
    </row>
    <row r="32" customFormat="false" ht="15" hidden="false" customHeight="true" outlineLevel="0" collapsed="false">
      <c r="A32" s="4" t="s">
        <v>62</v>
      </c>
      <c r="B32" s="4" t="s">
        <v>75</v>
      </c>
      <c r="C32" s="12" t="n">
        <v>46212</v>
      </c>
      <c r="D32" s="4" t="n">
        <v>6</v>
      </c>
      <c r="E32" s="4" t="n">
        <v>4</v>
      </c>
      <c r="F32" s="4" t="s">
        <v>43</v>
      </c>
      <c r="G32" s="13" t="s">
        <v>44</v>
      </c>
      <c r="H32" s="8" t="n">
        <v>300</v>
      </c>
      <c r="I32" s="8" t="n">
        <v>2500</v>
      </c>
      <c r="J32" s="9" t="str">
        <f aca="false">IFERROR(LEFT(IF((OPR_2P!$J$4&gt;=H32)*(OPR_2P!$K$4&lt;=I32),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""), LEN(IF((OPR_2P!$J$4&gt;=H32)*(OPR_2P!$K$4&lt;=I32),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""))-2), "None")</f>
        <v>15, 17, 20, 25, 28, 30, 34, 42, 46</v>
      </c>
    </row>
    <row r="33" customFormat="false" ht="15" hidden="false" customHeight="true" outlineLevel="0" collapsed="false">
      <c r="A33" s="4" t="s">
        <v>62</v>
      </c>
      <c r="B33" s="4" t="s">
        <v>76</v>
      </c>
      <c r="C33" s="12" t="n">
        <v>46447</v>
      </c>
      <c r="D33" s="4" t="n">
        <v>6</v>
      </c>
      <c r="E33" s="4" t="n">
        <v>4</v>
      </c>
      <c r="F33" s="4" t="s">
        <v>43</v>
      </c>
      <c r="G33" s="13" t="s">
        <v>44</v>
      </c>
      <c r="H33" s="8" t="n">
        <v>300</v>
      </c>
      <c r="I33" s="8" t="n">
        <v>2500</v>
      </c>
      <c r="J33" s="9" t="str">
        <f aca="false">IFERROR(LEFT(IF((OPR_2P!$J$4&gt;=H33)*(OPR_2P!$K$4&lt;=I33),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""), LEN(IF((OPR_2P!$J$4&gt;=H33)*(OPR_2P!$K$4&lt;=I33),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""))-2), "None")</f>
        <v>15, 17, 20, 25, 28, 30, 34, 42, 46</v>
      </c>
    </row>
    <row r="34" customFormat="false" ht="15" hidden="false" customHeight="true" outlineLevel="0" collapsed="false">
      <c r="A34" s="4" t="s">
        <v>62</v>
      </c>
      <c r="B34" s="4" t="s">
        <v>77</v>
      </c>
      <c r="C34" s="12" t="n">
        <v>46357</v>
      </c>
      <c r="D34" s="4" t="n">
        <v>6</v>
      </c>
      <c r="E34" s="4" t="n">
        <v>4</v>
      </c>
      <c r="F34" s="4" t="s">
        <v>43</v>
      </c>
      <c r="G34" s="13" t="s">
        <v>44</v>
      </c>
      <c r="H34" s="8" t="n">
        <v>300</v>
      </c>
      <c r="I34" s="8" t="n">
        <v>2500</v>
      </c>
      <c r="J34" s="9" t="str">
        <f aca="false">IFERROR(LEFT(IF((OPR_2P!$J$4&gt;=H34)*(OPR_2P!$K$4&lt;=I34),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""), LEN(IF((OPR_2P!$J$4&gt;=H34)*(OPR_2P!$K$4&lt;=I34),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""))-2), "None")</f>
        <v>15, 17, 20, 25, 28, 30, 34, 42, 46</v>
      </c>
    </row>
    <row r="35" customFormat="false" ht="15" hidden="false" customHeight="true" outlineLevel="0" collapsed="false">
      <c r="A35" s="4" t="s">
        <v>62</v>
      </c>
      <c r="B35" s="4" t="s">
        <v>78</v>
      </c>
      <c r="C35" s="12" t="n">
        <v>46105</v>
      </c>
      <c r="D35" s="4" t="n">
        <v>6</v>
      </c>
      <c r="E35" s="4" t="n">
        <v>4</v>
      </c>
      <c r="F35" s="4" t="s">
        <v>43</v>
      </c>
      <c r="G35" s="13" t="s">
        <v>44</v>
      </c>
      <c r="H35" s="8" t="n">
        <v>800</v>
      </c>
      <c r="I35" s="8" t="n">
        <v>3500</v>
      </c>
      <c r="J35" s="9" t="str">
        <f aca="false">IFERROR(LEFT(IF((OPR_2P!$J$4&gt;=H35)*(OPR_2P!$K$4&lt;=I35),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""), LEN(IF((OPR_2P!$J$4&gt;=H35)*(OPR_2P!$K$4&lt;=I35),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""))-2), "None")</f>
        <v>25, 28, 30, 34, 42, 46, 50, 54, 57, 63, 70</v>
      </c>
    </row>
    <row r="36" customFormat="false" ht="15" hidden="false" customHeight="true" outlineLevel="0" collapsed="false">
      <c r="A36" s="4" t="s">
        <v>62</v>
      </c>
      <c r="B36" s="4" t="s">
        <v>79</v>
      </c>
      <c r="C36" s="12" t="n">
        <v>46504</v>
      </c>
      <c r="D36" s="4" t="n">
        <v>6</v>
      </c>
      <c r="E36" s="4" t="n">
        <v>4</v>
      </c>
      <c r="F36" s="4" t="s">
        <v>43</v>
      </c>
      <c r="G36" s="13" t="s">
        <v>44</v>
      </c>
      <c r="H36" s="8" t="n">
        <v>800</v>
      </c>
      <c r="I36" s="8" t="n">
        <v>3500</v>
      </c>
      <c r="J36" s="9" t="str">
        <f aca="false">IFERROR(LEFT(IF((OPR_2P!$J$4&gt;=H36)*(OPR_2P!$K$4&lt;=I36),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""), LEN(IF((OPR_2P!$J$4&gt;=H36)*(OPR_2P!$K$4&lt;=I36),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""))-2), "None")</f>
        <v>25, 28, 30, 34, 42, 46, 50, 54, 57, 63, 70</v>
      </c>
    </row>
    <row r="37" customFormat="false" ht="15" hidden="false" customHeight="true" outlineLevel="0" collapsed="false">
      <c r="A37" s="4" t="s">
        <v>62</v>
      </c>
      <c r="B37" s="4" t="s">
        <v>80</v>
      </c>
      <c r="C37" s="12" t="n">
        <v>46225</v>
      </c>
      <c r="D37" s="4" t="n">
        <v>6</v>
      </c>
      <c r="E37" s="4" t="n">
        <v>4</v>
      </c>
      <c r="F37" s="4" t="s">
        <v>43</v>
      </c>
      <c r="G37" s="13" t="s">
        <v>44</v>
      </c>
      <c r="H37" s="8" t="n">
        <v>800</v>
      </c>
      <c r="I37" s="8" t="n">
        <v>3500</v>
      </c>
      <c r="J37" s="9" t="str">
        <f aca="false">IFERROR(LEFT(IF((OPR_2P!$J$4&gt;=H37)*(OPR_2P!$K$4&lt;=I37),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""), LEN(IF((OPR_2P!$J$4&gt;=H37)*(OPR_2P!$K$4&lt;=I37),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""))-2), "None")</f>
        <v>25, 28, 30, 34, 42, 46, 50, 54, 57, 63, 70</v>
      </c>
    </row>
    <row r="38" customFormat="false" ht="15" hidden="false" customHeight="true" outlineLevel="0" collapsed="false">
      <c r="A38" s="4" t="s">
        <v>62</v>
      </c>
      <c r="B38" s="4" t="s">
        <v>81</v>
      </c>
      <c r="C38" s="12" t="n">
        <v>46263</v>
      </c>
      <c r="D38" s="4" t="n">
        <v>6</v>
      </c>
      <c r="E38" s="4" t="n">
        <v>4</v>
      </c>
      <c r="F38" s="4" t="s">
        <v>43</v>
      </c>
      <c r="G38" s="13" t="s">
        <v>44</v>
      </c>
      <c r="H38" s="8" t="n">
        <v>800</v>
      </c>
      <c r="I38" s="8" t="n">
        <v>3500</v>
      </c>
      <c r="J38" s="9" t="str">
        <f aca="false">IFERROR(LEFT(IF((OPR_2P!$J$4&gt;=H38)*(OPR_2P!$K$4&lt;=I38),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""), LEN(IF((OPR_2P!$J$4&gt;=H38)*(OPR_2P!$K$4&lt;=I38),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""))-2), "None")</f>
        <v>25, 28, 30, 34, 42, 46, 50, 54, 57, 63, 70</v>
      </c>
    </row>
    <row r="39" customFormat="false" ht="15" hidden="false" customHeight="true" outlineLevel="0" collapsed="false">
      <c r="A39" s="4" t="s">
        <v>62</v>
      </c>
      <c r="B39" s="4" t="s">
        <v>82</v>
      </c>
      <c r="C39" s="12" t="n">
        <v>46040</v>
      </c>
      <c r="D39" s="4" t="n">
        <v>6</v>
      </c>
      <c r="E39" s="4" t="n">
        <v>4</v>
      </c>
      <c r="F39" s="4" t="s">
        <v>43</v>
      </c>
      <c r="G39" s="13" t="s">
        <v>44</v>
      </c>
      <c r="H39" s="8" t="n">
        <v>800</v>
      </c>
      <c r="I39" s="8" t="n">
        <v>3500</v>
      </c>
      <c r="J39" s="9" t="str">
        <f aca="false">IFERROR(LEFT(IF((OPR_2P!$J$4&gt;=H39)*(OPR_2P!$K$4&lt;=I39),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""), LEN(IF((OPR_2P!$J$4&gt;=H39)*(OPR_2P!$K$4&lt;=I39),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""))-2), "None")</f>
        <v>25, 28, 30, 34, 42, 46, 50, 54, 57, 63, 70</v>
      </c>
    </row>
    <row r="40" customFormat="false" ht="15" hidden="false" customHeight="true" outlineLevel="0" collapsed="false">
      <c r="A40" s="4" t="s">
        <v>62</v>
      </c>
      <c r="B40" s="4" t="s">
        <v>83</v>
      </c>
      <c r="C40" s="12" t="n">
        <v>46476</v>
      </c>
      <c r="D40" s="4" t="n">
        <v>6</v>
      </c>
      <c r="E40" s="4" t="n">
        <v>4</v>
      </c>
      <c r="F40" s="4" t="s">
        <v>43</v>
      </c>
      <c r="G40" s="13" t="s">
        <v>44</v>
      </c>
      <c r="H40" s="8" t="n">
        <v>800</v>
      </c>
      <c r="I40" s="8" t="n">
        <v>3500</v>
      </c>
      <c r="J40" s="9" t="str">
        <f aca="false">IFERROR(LEFT(IF((OPR_2P!$J$4&gt;=H40)*(OPR_2P!$K$4&lt;=I40),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""), LEN(IF((OPR_2P!$J$4&gt;=H40)*(OPR_2P!$K$4&lt;=I40),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""))-2), "None")</f>
        <v>25, 28, 30, 34, 42, 46, 50, 54, 57, 63, 70</v>
      </c>
    </row>
    <row r="41" customFormat="false" ht="15" hidden="false" customHeight="true" outlineLevel="0" collapsed="false">
      <c r="A41" s="4" t="s">
        <v>62</v>
      </c>
      <c r="B41" s="4" t="s">
        <v>84</v>
      </c>
      <c r="C41" s="12" t="n">
        <v>46239</v>
      </c>
      <c r="D41" s="4" t="n">
        <v>6</v>
      </c>
      <c r="E41" s="4" t="n">
        <v>4</v>
      </c>
      <c r="F41" s="4" t="s">
        <v>43</v>
      </c>
      <c r="G41" s="13" t="s">
        <v>44</v>
      </c>
      <c r="H41" s="8" t="n">
        <v>800</v>
      </c>
      <c r="I41" s="8" t="n">
        <v>3500</v>
      </c>
      <c r="J41" s="9" t="str">
        <f aca="false">IFERROR(LEFT(IF((OPR_2P!$J$4&gt;=H41)*(OPR_2P!$K$4&lt;=I41),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""), LEN(IF((OPR_2P!$J$4&gt;=H41)*(OPR_2P!$K$4&lt;=I41),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""))-2), "None")</f>
        <v>25, 28, 30, 34, 42, 46, 50, 54, 57, 63, 70</v>
      </c>
    </row>
    <row r="42" customFormat="false" ht="15" hidden="false" customHeight="true" outlineLevel="0" collapsed="false">
      <c r="A42" s="4" t="s">
        <v>62</v>
      </c>
      <c r="B42" s="4" t="s">
        <v>85</v>
      </c>
      <c r="C42" s="12" t="n">
        <v>46324</v>
      </c>
      <c r="D42" s="4" t="n">
        <v>6</v>
      </c>
      <c r="E42" s="4" t="n">
        <v>4</v>
      </c>
      <c r="F42" s="4" t="s">
        <v>43</v>
      </c>
      <c r="G42" s="13" t="s">
        <v>44</v>
      </c>
      <c r="H42" s="8" t="n">
        <v>1000</v>
      </c>
      <c r="I42" s="8" t="n">
        <v>4500</v>
      </c>
      <c r="J42" s="9" t="str">
        <f aca="false">IFERROR(LEFT(IF((OPR_2P!$J$4&gt;=H42)*(OPR_2P!$K$4&lt;=I42),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""), LEN(IF((OPR_2P!$J$4&gt;=H42)*(OPR_2P!$K$4&lt;=I42),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""))-2), "None")</f>
        <v>28, 30, 34, 42, 46, 50, 54, 57, 63, 70</v>
      </c>
    </row>
    <row r="43" customFormat="false" ht="15" hidden="false" customHeight="true" outlineLevel="0" collapsed="false">
      <c r="A43" s="4" t="s">
        <v>62</v>
      </c>
      <c r="B43" s="4" t="s">
        <v>86</v>
      </c>
      <c r="C43" s="12" t="n">
        <v>46097</v>
      </c>
      <c r="D43" s="4" t="n">
        <v>6</v>
      </c>
      <c r="E43" s="4" t="n">
        <v>4</v>
      </c>
      <c r="F43" s="4" t="s">
        <v>43</v>
      </c>
      <c r="G43" s="13" t="s">
        <v>44</v>
      </c>
      <c r="H43" s="8" t="n">
        <v>1000</v>
      </c>
      <c r="I43" s="8" t="n">
        <v>4500</v>
      </c>
      <c r="J43" s="9" t="str">
        <f aca="false">IFERROR(LEFT(IF((OPR_2P!$J$4&gt;=H43)*(OPR_2P!$K$4&lt;=I43),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""), LEN(IF((OPR_2P!$J$4&gt;=H43)*(OPR_2P!$K$4&lt;=I43),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""))-2), "None")</f>
        <v>28, 30, 34, 42, 46, 50, 54, 57, 63, 70</v>
      </c>
    </row>
    <row r="44" customFormat="false" ht="15" hidden="false" customHeight="true" outlineLevel="0" collapsed="false">
      <c r="A44" s="4" t="s">
        <v>62</v>
      </c>
      <c r="B44" s="4" t="s">
        <v>87</v>
      </c>
      <c r="C44" s="12" t="n">
        <v>46098</v>
      </c>
      <c r="D44" s="4" t="n">
        <v>6</v>
      </c>
      <c r="E44" s="4" t="n">
        <v>4</v>
      </c>
      <c r="F44" s="4" t="s">
        <v>43</v>
      </c>
      <c r="G44" s="13" t="s">
        <v>44</v>
      </c>
      <c r="H44" s="8" t="n">
        <v>1000</v>
      </c>
      <c r="I44" s="8" t="n">
        <v>4500</v>
      </c>
      <c r="J44" s="9" t="str">
        <f aca="false">IFERROR(LEFT(IF((OPR_2P!$J$4&gt;=H44)*(OPR_2P!$K$4&lt;=I44),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""), LEN(IF((OPR_2P!$J$4&gt;=H44)*(OPR_2P!$K$4&lt;=I44),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""))-2), "None")</f>
        <v>28, 30, 34, 42, 46, 50, 54, 57, 63, 70</v>
      </c>
    </row>
    <row r="45" customFormat="false" ht="15" hidden="false" customHeight="true" outlineLevel="0" collapsed="false">
      <c r="A45" s="4" t="s">
        <v>62</v>
      </c>
      <c r="B45" s="4" t="s">
        <v>88</v>
      </c>
      <c r="C45" s="12" t="n">
        <v>46202</v>
      </c>
      <c r="D45" s="4" t="n">
        <v>6</v>
      </c>
      <c r="E45" s="4" t="n">
        <v>4</v>
      </c>
      <c r="F45" s="4" t="s">
        <v>43</v>
      </c>
      <c r="G45" s="13" t="s">
        <v>44</v>
      </c>
      <c r="H45" s="8" t="n">
        <v>1000</v>
      </c>
      <c r="I45" s="8" t="n">
        <v>4500</v>
      </c>
      <c r="J45" s="9" t="str">
        <f aca="false">IFERROR(LEFT(IF((OPR_2P!$J$4&gt;=H45)*(OPR_2P!$K$4&lt;=I45),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""), LEN(IF((OPR_2P!$J$4&gt;=H45)*(OPR_2P!$K$4&lt;=I45),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""))-2), "None")</f>
        <v>28, 30, 34, 42, 46, 50, 54, 57, 63, 70</v>
      </c>
    </row>
    <row r="46" customFormat="false" ht="15" hidden="false" customHeight="true" outlineLevel="0" collapsed="false">
      <c r="A46" s="4" t="s">
        <v>62</v>
      </c>
      <c r="B46" s="4" t="s">
        <v>89</v>
      </c>
      <c r="C46" s="12" t="n">
        <v>46188</v>
      </c>
      <c r="D46" s="4" t="n">
        <v>6</v>
      </c>
      <c r="E46" s="4" t="n">
        <v>4</v>
      </c>
      <c r="F46" s="4" t="s">
        <v>43</v>
      </c>
      <c r="G46" s="13" t="s">
        <v>44</v>
      </c>
      <c r="H46" s="8" t="n">
        <v>1000</v>
      </c>
      <c r="I46" s="8" t="n">
        <v>4500</v>
      </c>
      <c r="J46" s="9" t="str">
        <f aca="false">IFERROR(LEFT(IF((OPR_2P!$J$4&gt;=H46)*(OPR_2P!$K$4&lt;=I46),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""), LEN(IF((OPR_2P!$J$4&gt;=H46)*(OPR_2P!$K$4&lt;=I46),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""))-2), "None")</f>
        <v>28, 30, 34, 42, 46, 50, 54, 57, 63, 70</v>
      </c>
    </row>
    <row r="47" customFormat="false" ht="15" hidden="false" customHeight="true" outlineLevel="0" collapsed="false">
      <c r="A47" s="4" t="s">
        <v>62</v>
      </c>
      <c r="B47" s="4" t="s">
        <v>90</v>
      </c>
      <c r="C47" s="12" t="n">
        <v>46182</v>
      </c>
      <c r="D47" s="4" t="n">
        <v>6</v>
      </c>
      <c r="E47" s="4" t="n">
        <v>4</v>
      </c>
      <c r="F47" s="4" t="s">
        <v>43</v>
      </c>
      <c r="G47" s="13" t="s">
        <v>44</v>
      </c>
      <c r="H47" s="8" t="n">
        <v>1000</v>
      </c>
      <c r="I47" s="8" t="n">
        <v>4500</v>
      </c>
      <c r="J47" s="9" t="str">
        <f aca="false">IFERROR(LEFT(IF((OPR_2P!$J$4&gt;=H47)*(OPR_2P!$K$4&lt;=I47),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""), LEN(IF((OPR_2P!$J$4&gt;=H47)*(OPR_2P!$K$4&lt;=I47),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""))-2), "None")</f>
        <v>28, 30, 34, 42, 46, 50, 54, 57, 63, 70</v>
      </c>
    </row>
    <row r="48" customFormat="false" ht="15" hidden="false" customHeight="true" outlineLevel="0" collapsed="false">
      <c r="A48" s="4" t="s">
        <v>62</v>
      </c>
      <c r="B48" s="4" t="s">
        <v>91</v>
      </c>
      <c r="C48" s="12" t="n">
        <v>46493</v>
      </c>
      <c r="D48" s="4" t="n">
        <v>6</v>
      </c>
      <c r="E48" s="4" t="n">
        <v>4</v>
      </c>
      <c r="F48" s="4" t="s">
        <v>43</v>
      </c>
      <c r="G48" s="13" t="s">
        <v>44</v>
      </c>
      <c r="H48" s="8" t="n">
        <v>1000</v>
      </c>
      <c r="I48" s="8" t="n">
        <v>4500</v>
      </c>
      <c r="J48" s="9" t="str">
        <f aca="false">IFERROR(LEFT(IF((OPR_2P!$J$4&gt;=H48)*(OPR_2P!$K$4&lt;=I48),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""), LEN(IF((OPR_2P!$J$4&gt;=H48)*(OPR_2P!$K$4&lt;=I48),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""))-2), "None")</f>
        <v>28, 30, 34, 42, 46, 50, 54, 57, 63, 70</v>
      </c>
    </row>
    <row r="49" customFormat="false" ht="15" hidden="false" customHeight="true" outlineLevel="0" collapsed="false">
      <c r="A49" s="4" t="s">
        <v>62</v>
      </c>
      <c r="B49" s="4" t="s">
        <v>92</v>
      </c>
      <c r="C49" s="12" t="n">
        <v>46106</v>
      </c>
      <c r="D49" s="4" t="n">
        <v>6</v>
      </c>
      <c r="E49" s="4" t="n">
        <v>4</v>
      </c>
      <c r="F49" s="4" t="s">
        <v>43</v>
      </c>
      <c r="G49" s="13" t="s">
        <v>44</v>
      </c>
      <c r="H49" s="8" t="n">
        <v>1000</v>
      </c>
      <c r="I49" s="8" t="n">
        <v>4500</v>
      </c>
      <c r="J49" s="9" t="str">
        <f aca="false">IFERROR(LEFT(IF((OPR_2P!$J$4&gt;=H49)*(OPR_2P!$K$4&lt;=I49),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""), LEN(IF((OPR_2P!$J$4&gt;=H49)*(OPR_2P!$K$4&lt;=I49),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""))-2), "None")</f>
        <v>28, 30, 34, 42, 46, 50, 54, 57, 63, 70</v>
      </c>
    </row>
    <row r="50" customFormat="false" ht="15" hidden="false" customHeight="true" outlineLevel="0" collapsed="false">
      <c r="A50" s="4" t="s">
        <v>93</v>
      </c>
      <c r="B50" s="4" t="s">
        <v>94</v>
      </c>
      <c r="C50" s="12" t="n">
        <v>46090</v>
      </c>
      <c r="D50" s="4" t="n">
        <v>6</v>
      </c>
      <c r="E50" s="4" t="n">
        <v>4</v>
      </c>
      <c r="F50" s="4" t="s">
        <v>43</v>
      </c>
      <c r="G50" s="13" t="s">
        <v>44</v>
      </c>
      <c r="H50" s="8" t="n">
        <v>100</v>
      </c>
      <c r="I50" s="8" t="n">
        <v>2000</v>
      </c>
      <c r="J50" s="9" t="str">
        <f aca="false">IFERROR(LEFT(IF((OPR_2P!$J$4&gt;=H50)*(OPR_2P!$K$4&lt;=I50),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""), LEN(IF((OPR_2P!$J$4&gt;=H50)*(OPR_2P!$K$4&lt;=I50),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""))-2), "None")</f>
        <v>9, 15, 17, 20, 25, 28, 30, 34</v>
      </c>
    </row>
    <row r="51" customFormat="false" ht="15" hidden="false" customHeight="true" outlineLevel="0" collapsed="false">
      <c r="A51" s="4" t="s">
        <v>93</v>
      </c>
      <c r="B51" s="4" t="s">
        <v>95</v>
      </c>
      <c r="C51" s="12" t="n">
        <v>46230</v>
      </c>
      <c r="D51" s="4" t="n">
        <v>6</v>
      </c>
      <c r="E51" s="4" t="n">
        <v>4</v>
      </c>
      <c r="F51" s="4" t="s">
        <v>43</v>
      </c>
      <c r="G51" s="13" t="s">
        <v>44</v>
      </c>
      <c r="H51" s="8" t="n">
        <v>100</v>
      </c>
      <c r="I51" s="8" t="n">
        <v>2000</v>
      </c>
      <c r="J51" s="9" t="str">
        <f aca="false">IFERROR(LEFT(IF((OPR_2P!$J$4&gt;=H51)*(OPR_2P!$K$4&lt;=I51),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""), LEN(IF((OPR_2P!$J$4&gt;=H51)*(OPR_2P!$K$4&lt;=I51),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""))-2), "None")</f>
        <v>9, 15, 17, 20, 25, 28, 30, 34</v>
      </c>
    </row>
    <row r="52" customFormat="false" ht="15" hidden="false" customHeight="true" outlineLevel="0" collapsed="false">
      <c r="A52" s="4" t="s">
        <v>93</v>
      </c>
      <c r="B52" s="4" t="s">
        <v>96</v>
      </c>
      <c r="C52" s="12" t="n">
        <v>46433</v>
      </c>
      <c r="D52" s="4" t="n">
        <v>6</v>
      </c>
      <c r="E52" s="4" t="n">
        <v>4</v>
      </c>
      <c r="F52" s="4" t="s">
        <v>43</v>
      </c>
      <c r="G52" s="13" t="s">
        <v>44</v>
      </c>
      <c r="H52" s="8" t="n">
        <v>100</v>
      </c>
      <c r="I52" s="8" t="n">
        <v>2200</v>
      </c>
      <c r="J52" s="9" t="str">
        <f aca="false">IFERROR(LEFT(IF((OPR_2P!$J$4&gt;=H52)*(OPR_2P!$K$4&lt;=I52),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""), LEN(IF((OPR_2P!$J$4&gt;=H52)*(OPR_2P!$K$4&lt;=I52),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""))-2), "None")</f>
        <v>9, 15, 17, 20, 25, 28, 30, 34, 42</v>
      </c>
    </row>
    <row r="53" customFormat="false" ht="15" hidden="false" customHeight="true" outlineLevel="0" collapsed="false">
      <c r="A53" s="4" t="s">
        <v>93</v>
      </c>
      <c r="B53" s="4" t="s">
        <v>97</v>
      </c>
      <c r="C53" s="12" t="n">
        <v>46450</v>
      </c>
      <c r="D53" s="4" t="n">
        <v>6</v>
      </c>
      <c r="E53" s="4" t="n">
        <v>4</v>
      </c>
      <c r="F53" s="4" t="s">
        <v>43</v>
      </c>
      <c r="G53" s="13" t="s">
        <v>44</v>
      </c>
      <c r="H53" s="8" t="n">
        <v>100</v>
      </c>
      <c r="I53" s="8" t="n">
        <v>2200</v>
      </c>
      <c r="J53" s="9" t="str">
        <f aca="false">IFERROR(LEFT(IF((OPR_2P!$J$4&gt;=H53)*(OPR_2P!$K$4&lt;=I53),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""), LEN(IF((OPR_2P!$J$4&gt;=H53)*(OPR_2P!$K$4&lt;=I53),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""))-2), "None")</f>
        <v>9, 15, 17, 20, 25, 28, 30, 34, 42</v>
      </c>
    </row>
    <row r="54" customFormat="false" ht="15" hidden="false" customHeight="true" outlineLevel="0" collapsed="false">
      <c r="A54" s="4" t="s">
        <v>93</v>
      </c>
      <c r="B54" s="4" t="s">
        <v>98</v>
      </c>
      <c r="C54" s="12" t="n">
        <v>46049</v>
      </c>
      <c r="D54" s="4" t="n">
        <v>6</v>
      </c>
      <c r="E54" s="4" t="n">
        <v>4</v>
      </c>
      <c r="F54" s="4" t="s">
        <v>43</v>
      </c>
      <c r="G54" s="13" t="s">
        <v>44</v>
      </c>
      <c r="H54" s="8" t="n">
        <v>100</v>
      </c>
      <c r="I54" s="8" t="n">
        <v>2000</v>
      </c>
      <c r="J54" s="9" t="str">
        <f aca="false">IFERROR(LEFT(IF((OPR_2P!$J$4&gt;=H54)*(OPR_2P!$K$4&lt;=I54),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""), LEN(IF((OPR_2P!$J$4&gt;=H54)*(OPR_2P!$K$4&lt;=I54),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""))-2), "None")</f>
        <v>9, 15, 17, 20, 25, 28, 30, 34</v>
      </c>
    </row>
    <row r="55" customFormat="false" ht="15" hidden="false" customHeight="true" outlineLevel="0" collapsed="false">
      <c r="A55" s="4" t="s">
        <v>93</v>
      </c>
      <c r="B55" s="4" t="s">
        <v>99</v>
      </c>
      <c r="C55" s="12" t="n">
        <v>46074</v>
      </c>
      <c r="D55" s="4" t="n">
        <v>6</v>
      </c>
      <c r="E55" s="4" t="n">
        <v>4</v>
      </c>
      <c r="F55" s="4" t="s">
        <v>43</v>
      </c>
      <c r="G55" s="13" t="s">
        <v>44</v>
      </c>
      <c r="H55" s="8" t="n">
        <v>600</v>
      </c>
      <c r="I55" s="8" t="n">
        <v>3200</v>
      </c>
      <c r="J55" s="9" t="str">
        <f aca="false">IFERROR(LEFT(IF((OPR_2P!$J$4&gt;=H55)*(OPR_2P!$K$4&lt;=I55),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""), LEN(IF((OPR_2P!$J$4&gt;=H55)*(OPR_2P!$K$4&lt;=I55),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""))-2), "None")</f>
        <v>20, 25, 28, 30, 34, 42, 46, 50, 54, 57, 63</v>
      </c>
    </row>
    <row r="56" customFormat="false" ht="15" hidden="false" customHeight="true" outlineLevel="0" collapsed="false">
      <c r="A56" s="4" t="s">
        <v>93</v>
      </c>
      <c r="B56" s="4" t="s">
        <v>100</v>
      </c>
      <c r="C56" s="12" t="n">
        <v>46272</v>
      </c>
      <c r="D56" s="4" t="n">
        <v>6</v>
      </c>
      <c r="E56" s="4" t="n">
        <v>4</v>
      </c>
      <c r="F56" s="4" t="s">
        <v>43</v>
      </c>
      <c r="G56" s="13" t="s">
        <v>44</v>
      </c>
      <c r="H56" s="8" t="n">
        <v>600</v>
      </c>
      <c r="I56" s="8" t="n">
        <v>3200</v>
      </c>
      <c r="J56" s="9" t="str">
        <f aca="false">IFERROR(LEFT(IF((OPR_2P!$J$4&gt;=H56)*(OPR_2P!$K$4&lt;=I56),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""), LEN(IF((OPR_2P!$J$4&gt;=H56)*(OPR_2P!$K$4&lt;=I56),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""))-2), "None")</f>
        <v>20, 25, 28, 30, 34, 42, 46, 50, 54, 57, 63</v>
      </c>
    </row>
    <row r="57" customFormat="false" ht="15" hidden="false" customHeight="true" outlineLevel="0" collapsed="false">
      <c r="A57" s="4" t="s">
        <v>93</v>
      </c>
      <c r="B57" s="4" t="s">
        <v>101</v>
      </c>
      <c r="C57" s="12" t="n">
        <v>46383</v>
      </c>
      <c r="D57" s="4" t="n">
        <v>6</v>
      </c>
      <c r="E57" s="4" t="n">
        <v>4</v>
      </c>
      <c r="F57" s="4" t="s">
        <v>43</v>
      </c>
      <c r="G57" s="13" t="s">
        <v>44</v>
      </c>
      <c r="H57" s="8" t="n">
        <v>600</v>
      </c>
      <c r="I57" s="8" t="n">
        <v>3200</v>
      </c>
      <c r="J57" s="9" t="str">
        <f aca="false">IFERROR(LEFT(IF((OPR_2P!$J$4&gt;=H57)*(OPR_2P!$K$4&lt;=I57),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""), LEN(IF((OPR_2P!$J$4&gt;=H57)*(OPR_2P!$K$4&lt;=I57),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""))-2), "None")</f>
        <v>20, 25, 28, 30, 34, 42, 46, 50, 54, 57, 63</v>
      </c>
    </row>
    <row r="58" customFormat="false" ht="15" hidden="false" customHeight="true" outlineLevel="0" collapsed="false">
      <c r="A58" s="4" t="s">
        <v>93</v>
      </c>
      <c r="B58" s="4" t="s">
        <v>102</v>
      </c>
      <c r="C58" s="12" t="n">
        <v>46471</v>
      </c>
      <c r="D58" s="4" t="n">
        <v>6</v>
      </c>
      <c r="E58" s="4" t="n">
        <v>4</v>
      </c>
      <c r="F58" s="4" t="s">
        <v>43</v>
      </c>
      <c r="G58" s="13" t="s">
        <v>44</v>
      </c>
      <c r="H58" s="8" t="n">
        <v>600</v>
      </c>
      <c r="I58" s="8" t="n">
        <v>3000</v>
      </c>
      <c r="J58" s="9" t="str">
        <f aca="false">IFERROR(LEFT(IF((OPR_2P!$J$4&gt;=H58)*(OPR_2P!$K$4&lt;=I58),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""), LEN(IF((OPR_2P!$J$4&gt;=H58)*(OPR_2P!$K$4&lt;=I58),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""))-2), "None")</f>
        <v>20, 25, 28, 30, 34, 42, 46, 50, 54, 57</v>
      </c>
    </row>
    <row r="59" customFormat="false" ht="15" hidden="false" customHeight="true" outlineLevel="0" collapsed="false">
      <c r="A59" s="4" t="s">
        <v>93</v>
      </c>
      <c r="B59" s="4" t="s">
        <v>103</v>
      </c>
      <c r="C59" s="12" t="n">
        <v>46377</v>
      </c>
      <c r="D59" s="4" t="n">
        <v>6</v>
      </c>
      <c r="E59" s="4" t="n">
        <v>4</v>
      </c>
      <c r="F59" s="4" t="s">
        <v>43</v>
      </c>
      <c r="G59" s="13" t="s">
        <v>44</v>
      </c>
      <c r="H59" s="8" t="n">
        <v>600</v>
      </c>
      <c r="I59" s="8" t="n">
        <v>3000</v>
      </c>
      <c r="J59" s="9" t="str">
        <f aca="false">IFERROR(LEFT(IF((OPR_2P!$J$4&gt;=H59)*(OPR_2P!$K$4&lt;=I59),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""), LEN(IF((OPR_2P!$J$4&gt;=H59)*(OPR_2P!$K$4&lt;=I59),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""))-2), "None")</f>
        <v>20, 25, 28, 30, 34, 42, 46, 50, 54, 57</v>
      </c>
    </row>
    <row r="60" customFormat="false" ht="15" hidden="false" customHeight="true" outlineLevel="0" collapsed="false">
      <c r="A60" s="4" t="s">
        <v>93</v>
      </c>
      <c r="B60" s="4" t="s">
        <v>104</v>
      </c>
      <c r="C60" s="12" t="n">
        <v>46517</v>
      </c>
      <c r="D60" s="4" t="n">
        <v>6</v>
      </c>
      <c r="E60" s="4" t="n">
        <v>4</v>
      </c>
      <c r="F60" s="4" t="s">
        <v>43</v>
      </c>
      <c r="G60" s="13" t="s">
        <v>44</v>
      </c>
      <c r="H60" s="8" t="n">
        <v>600</v>
      </c>
      <c r="I60" s="8" t="n">
        <v>3000</v>
      </c>
      <c r="J60" s="9" t="str">
        <f aca="false">IFERROR(LEFT(IF((OPR_2P!$J$4&gt;=H60)*(OPR_2P!$K$4&lt;=I60),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""), LEN(IF((OPR_2P!$J$4&gt;=H60)*(OPR_2P!$K$4&lt;=I60),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""))-2), "None")</f>
        <v>20, 25, 28, 30, 34, 42, 46, 50, 54, 57</v>
      </c>
    </row>
    <row r="61" customFormat="false" ht="15" hidden="false" customHeight="true" outlineLevel="0" collapsed="false">
      <c r="A61" s="4" t="s">
        <v>93</v>
      </c>
      <c r="B61" s="4" t="s">
        <v>105</v>
      </c>
      <c r="C61" s="12" t="n">
        <v>46454</v>
      </c>
      <c r="D61" s="4" t="n">
        <v>6</v>
      </c>
      <c r="E61" s="4" t="n">
        <v>4</v>
      </c>
      <c r="F61" s="4" t="s">
        <v>43</v>
      </c>
      <c r="G61" s="13" t="s">
        <v>44</v>
      </c>
      <c r="H61" s="8" t="n">
        <v>600</v>
      </c>
      <c r="I61" s="8" t="n">
        <v>4000</v>
      </c>
      <c r="J61" s="9" t="str">
        <f aca="false">IFERROR(LEFT(IF((OPR_2P!$J$4&gt;=H61)*(OPR_2P!$K$4&lt;=I61),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""), LEN(IF((OPR_2P!$J$4&gt;=H61)*(OPR_2P!$K$4&lt;=I61),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""))-2), "None")</f>
        <v>20, 25, 28, 30, 34, 42, 46, 50, 54, 57, 63, 70</v>
      </c>
    </row>
    <row r="62" customFormat="false" ht="15" hidden="false" customHeight="true" outlineLevel="0" collapsed="false">
      <c r="A62" s="4" t="s">
        <v>93</v>
      </c>
      <c r="B62" s="4" t="s">
        <v>106</v>
      </c>
      <c r="C62" s="12" t="n">
        <v>46371</v>
      </c>
      <c r="D62" s="4" t="n">
        <v>6</v>
      </c>
      <c r="E62" s="4" t="n">
        <v>4</v>
      </c>
      <c r="F62" s="4" t="s">
        <v>43</v>
      </c>
      <c r="G62" s="13" t="s">
        <v>44</v>
      </c>
      <c r="H62" s="8" t="n">
        <v>600</v>
      </c>
      <c r="I62" s="8" t="n">
        <v>4000</v>
      </c>
      <c r="J62" s="9" t="str">
        <f aca="false">IFERROR(LEFT(IF((OPR_2P!$J$4&gt;=H62)*(OPR_2P!$K$4&lt;=I62),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""), LEN(IF((OPR_2P!$J$4&gt;=H62)*(OPR_2P!$K$4&lt;=I62),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""))-2), "None")</f>
        <v>20, 25, 28, 30, 34, 42, 46, 50, 54, 57, 63, 70</v>
      </c>
    </row>
    <row r="63" customFormat="false" ht="15" hidden="false" customHeight="true" outlineLevel="0" collapsed="false">
      <c r="A63" s="4" t="s">
        <v>93</v>
      </c>
      <c r="B63" s="4" t="s">
        <v>107</v>
      </c>
      <c r="C63" s="12" t="n">
        <v>46219</v>
      </c>
      <c r="D63" s="4" t="n">
        <v>6</v>
      </c>
      <c r="E63" s="4" t="n">
        <v>4</v>
      </c>
      <c r="F63" s="4" t="s">
        <v>43</v>
      </c>
      <c r="G63" s="13" t="s">
        <v>44</v>
      </c>
      <c r="H63" s="8" t="n">
        <v>600</v>
      </c>
      <c r="I63" s="8" t="n">
        <v>4000</v>
      </c>
      <c r="J63" s="9" t="str">
        <f aca="false">IFERROR(LEFT(IF((OPR_2P!$J$4&gt;=H63)*(OPR_2P!$K$4&lt;=I63),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""), LEN(IF((OPR_2P!$J$4&gt;=H63)*(OPR_2P!$K$4&lt;=I63),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""))-2), "None")</f>
        <v>20, 25, 28, 30, 34, 42, 46, 50, 54, 57, 63, 70</v>
      </c>
    </row>
    <row r="64" customFormat="false" ht="15" hidden="false" customHeight="true" outlineLevel="0" collapsed="false">
      <c r="A64" s="4" t="s">
        <v>108</v>
      </c>
      <c r="B64" s="4" t="s">
        <v>109</v>
      </c>
      <c r="C64" s="12" t="n">
        <v>46230</v>
      </c>
      <c r="D64" s="4" t="n">
        <v>6</v>
      </c>
      <c r="E64" s="4" t="n">
        <v>4</v>
      </c>
      <c r="F64" s="4" t="s">
        <v>43</v>
      </c>
      <c r="G64" s="13" t="s">
        <v>110</v>
      </c>
      <c r="H64" s="8" t="n">
        <v>100</v>
      </c>
      <c r="I64" s="8" t="n">
        <v>1600</v>
      </c>
      <c r="J64" s="9" t="str">
        <f aca="false">IFERROR(LEFT(IF((OPR_2P!$J$4&gt;=H64)*(OPR_2P!$K$4&lt;=I64),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""), LEN(IF((OPR_2P!$J$4&gt;=H64)*(OPR_2P!$K$4&lt;=I64),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""))-2), "None")</f>
        <v>9, 15, 17, 20, 25, 28</v>
      </c>
    </row>
    <row r="65" customFormat="false" ht="15" hidden="false" customHeight="true" outlineLevel="0" collapsed="false">
      <c r="A65" s="4" t="s">
        <v>108</v>
      </c>
      <c r="B65" s="4" t="s">
        <v>111</v>
      </c>
      <c r="C65" s="12" t="n">
        <v>46191</v>
      </c>
      <c r="D65" s="4" t="n">
        <v>6</v>
      </c>
      <c r="E65" s="4" t="n">
        <v>4</v>
      </c>
      <c r="F65" s="4" t="s">
        <v>43</v>
      </c>
      <c r="G65" s="13" t="s">
        <v>110</v>
      </c>
      <c r="H65" s="8" t="n">
        <v>100</v>
      </c>
      <c r="I65" s="8" t="n">
        <v>1600</v>
      </c>
      <c r="J65" s="9" t="str">
        <f aca="false">IFERROR(LEFT(IF((OPR_2P!$J$4&gt;=H65)*(OPR_2P!$K$4&lt;=I65),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""), LEN(IF((OPR_2P!$J$4&gt;=H65)*(OPR_2P!$K$4&lt;=I65),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""))-2), "None")</f>
        <v>9, 15, 17, 20, 25, 28</v>
      </c>
    </row>
    <row r="66" customFormat="false" ht="15" hidden="false" customHeight="true" outlineLevel="0" collapsed="false">
      <c r="A66" s="4" t="s">
        <v>108</v>
      </c>
      <c r="B66" s="4" t="s">
        <v>112</v>
      </c>
      <c r="C66" s="12" t="n">
        <v>46054</v>
      </c>
      <c r="D66" s="4" t="n">
        <v>6</v>
      </c>
      <c r="E66" s="4" t="n">
        <v>4</v>
      </c>
      <c r="F66" s="4" t="s">
        <v>43</v>
      </c>
      <c r="G66" s="13" t="s">
        <v>110</v>
      </c>
      <c r="H66" s="8" t="n">
        <v>100</v>
      </c>
      <c r="I66" s="8" t="n">
        <v>1600</v>
      </c>
      <c r="J66" s="9" t="str">
        <f aca="false">IFERROR(LEFT(IF((OPR_2P!$J$4&gt;=H66)*(OPR_2P!$K$4&lt;=I66),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""), LEN(IF((OPR_2P!$J$4&gt;=H66)*(OPR_2P!$K$4&lt;=I66),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""))-2), "None")</f>
        <v>9, 15, 17, 20, 25, 28</v>
      </c>
    </row>
    <row r="67" customFormat="false" ht="15" hidden="false" customHeight="true" outlineLevel="0" collapsed="false">
      <c r="A67" s="4" t="s">
        <v>108</v>
      </c>
      <c r="B67" s="4" t="s">
        <v>113</v>
      </c>
      <c r="C67" s="12" t="n">
        <v>46255</v>
      </c>
      <c r="D67" s="4" t="n">
        <v>6</v>
      </c>
      <c r="E67" s="4" t="n">
        <v>4</v>
      </c>
      <c r="F67" s="4" t="s">
        <v>43</v>
      </c>
      <c r="G67" s="13" t="s">
        <v>110</v>
      </c>
      <c r="H67" s="8" t="n">
        <v>300</v>
      </c>
      <c r="I67" s="8" t="n">
        <v>3500</v>
      </c>
      <c r="J67" s="9" t="str">
        <f aca="false">IFERROR(LEFT(IF((OPR_2P!$J$4&gt;=H67)*(OPR_2P!$K$4&lt;=I67),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""), LEN(IF((OPR_2P!$J$4&gt;=H67)*(OPR_2P!$K$4&lt;=I67),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""))-2), "None")</f>
        <v>15, 17, 20, 25, 28, 30, 34, 42, 46, 50, 54, 57, 63, 70</v>
      </c>
    </row>
    <row r="68" customFormat="false" ht="15" hidden="false" customHeight="true" outlineLevel="0" collapsed="false">
      <c r="A68" s="4" t="s">
        <v>108</v>
      </c>
      <c r="B68" s="4" t="s">
        <v>114</v>
      </c>
      <c r="C68" s="12" t="n">
        <v>46394</v>
      </c>
      <c r="D68" s="4" t="n">
        <v>6</v>
      </c>
      <c r="E68" s="4" t="n">
        <v>4</v>
      </c>
      <c r="F68" s="4" t="s">
        <v>43</v>
      </c>
      <c r="G68" s="13" t="s">
        <v>110</v>
      </c>
      <c r="H68" s="8" t="n">
        <v>300</v>
      </c>
      <c r="I68" s="8" t="n">
        <v>3500</v>
      </c>
      <c r="J68" s="9" t="str">
        <f aca="false">IFERROR(LEFT(IF((OPR_2P!$J$4&gt;=H68)*(OPR_2P!$K$4&lt;=I68),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""), LEN(IF((OPR_2P!$J$4&gt;=H68)*(OPR_2P!$K$4&lt;=I68),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""))-2), "None")</f>
        <v>15, 17, 20, 25, 28, 30, 34, 42, 46, 50, 54, 57, 63, 70</v>
      </c>
    </row>
    <row r="69" customFormat="false" ht="15" hidden="false" customHeight="true" outlineLevel="0" collapsed="false">
      <c r="A69" s="4" t="s">
        <v>108</v>
      </c>
      <c r="B69" s="4" t="s">
        <v>115</v>
      </c>
      <c r="C69" s="12" t="n">
        <v>46347</v>
      </c>
      <c r="D69" s="4" t="n">
        <v>6</v>
      </c>
      <c r="E69" s="4" t="n">
        <v>4</v>
      </c>
      <c r="F69" s="4" t="s">
        <v>43</v>
      </c>
      <c r="G69" s="13" t="s">
        <v>110</v>
      </c>
      <c r="H69" s="8" t="n">
        <v>300</v>
      </c>
      <c r="I69" s="8" t="n">
        <v>3500</v>
      </c>
      <c r="J69" s="9" t="str">
        <f aca="false">IFERROR(LEFT(IF((OPR_2P!$J$4&gt;=H69)*(OPR_2P!$K$4&lt;=I69),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""), LEN(IF((OPR_2P!$J$4&gt;=H69)*(OPR_2P!$K$4&lt;=I69),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""))-2), "None")</f>
        <v>15, 17, 20, 25, 28, 30, 34, 42, 46, 50, 54, 57, 63, 70</v>
      </c>
    </row>
    <row r="70" customFormat="false" ht="15" hidden="false" customHeight="true" outlineLevel="0" collapsed="false">
      <c r="A70" s="4" t="s">
        <v>108</v>
      </c>
      <c r="B70" s="4" t="s">
        <v>116</v>
      </c>
      <c r="C70" s="12" t="n">
        <v>46234</v>
      </c>
      <c r="D70" s="4" t="n">
        <v>6</v>
      </c>
      <c r="E70" s="4" t="n">
        <v>4</v>
      </c>
      <c r="F70" s="4" t="s">
        <v>43</v>
      </c>
      <c r="G70" s="13" t="s">
        <v>110</v>
      </c>
      <c r="H70" s="8" t="n">
        <v>500</v>
      </c>
      <c r="I70" s="8" t="n">
        <v>4000</v>
      </c>
      <c r="J70" s="9" t="str">
        <f aca="false">IFERROR(LEFT(IF((OPR_2P!$J$4&gt;=H70)*(OPR_2P!$K$4&lt;=I70),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""), LEN(IF((OPR_2P!$J$4&gt;=H70)*(OPR_2P!$K$4&lt;=I70),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""))-2), "None")</f>
        <v>17, 20, 25, 28, 30, 34, 42, 46, 50, 54, 57, 63, 70</v>
      </c>
    </row>
    <row r="71" customFormat="false" ht="15" hidden="false" customHeight="true" outlineLevel="0" collapsed="false">
      <c r="A71" s="4" t="s">
        <v>108</v>
      </c>
      <c r="B71" s="4" t="s">
        <v>117</v>
      </c>
      <c r="C71" s="12" t="n">
        <v>46138</v>
      </c>
      <c r="D71" s="4" t="n">
        <v>6</v>
      </c>
      <c r="E71" s="4" t="n">
        <v>4</v>
      </c>
      <c r="F71" s="4" t="s">
        <v>43</v>
      </c>
      <c r="G71" s="13" t="s">
        <v>110</v>
      </c>
      <c r="H71" s="8" t="n">
        <v>500</v>
      </c>
      <c r="I71" s="8" t="n">
        <v>4000</v>
      </c>
      <c r="J71" s="9" t="str">
        <f aca="false">IFERROR(LEFT(IF((OPR_2P!$J$4&gt;=H71)*(OPR_2P!$K$4&lt;=I71),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""), LEN(IF((OPR_2P!$J$4&gt;=H71)*(OPR_2P!$K$4&lt;=I71),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""))-2), "None")</f>
        <v>17, 20, 25, 28, 30, 34, 42, 46, 50, 54, 57, 63, 70</v>
      </c>
    </row>
    <row r="72" customFormat="false" ht="15" hidden="false" customHeight="true" outlineLevel="0" collapsed="false">
      <c r="A72" s="4" t="s">
        <v>118</v>
      </c>
      <c r="B72" s="4" t="s">
        <v>119</v>
      </c>
      <c r="C72" s="12" t="n">
        <v>46106</v>
      </c>
      <c r="D72" s="4" t="n">
        <v>6</v>
      </c>
      <c r="E72" s="4" t="n">
        <v>4</v>
      </c>
      <c r="F72" s="4" t="s">
        <v>43</v>
      </c>
      <c r="G72" s="13" t="s">
        <v>110</v>
      </c>
      <c r="H72" s="8" t="n">
        <v>100</v>
      </c>
      <c r="I72" s="8" t="n">
        <v>4500</v>
      </c>
      <c r="J72" s="9" t="str">
        <f aca="false">IFERROR(LEFT(IF((OPR_2P!$J$4&gt;=H72)*(OPR_2P!$K$4&lt;=I72),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""), LEN(IF((OPR_2P!$J$4&gt;=H72)*(OPR_2P!$K$4&lt;=I72),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""))-2), "None")</f>
        <v>9, 15, 17, 20, 25, 28, 30, 34, 42, 46, 50, 54, 57, 63, 70</v>
      </c>
    </row>
    <row r="73" customFormat="false" ht="15" hidden="false" customHeight="true" outlineLevel="0" collapsed="false">
      <c r="A73" s="4" t="s">
        <v>118</v>
      </c>
      <c r="B73" s="4" t="s">
        <v>120</v>
      </c>
      <c r="C73" s="12" t="n">
        <v>46142</v>
      </c>
      <c r="D73" s="4" t="n">
        <v>6</v>
      </c>
      <c r="E73" s="4" t="n">
        <v>4</v>
      </c>
      <c r="F73" s="4" t="s">
        <v>43</v>
      </c>
      <c r="G73" s="13" t="s">
        <v>110</v>
      </c>
      <c r="H73" s="8" t="n">
        <v>100</v>
      </c>
      <c r="I73" s="8" t="n">
        <v>4500</v>
      </c>
      <c r="J73" s="9" t="str">
        <f aca="false">IFERROR(LEFT(IF((OPR_2P!$J$4&gt;=H73)*(OPR_2P!$K$4&lt;=I73),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""), LEN(IF((OPR_2P!$J$4&gt;=H73)*(OPR_2P!$K$4&lt;=I73),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""))-2), "None")</f>
        <v>9, 15, 17, 20, 25, 28, 30, 34, 42, 46, 50, 54, 57, 63, 70</v>
      </c>
    </row>
    <row r="74" customFormat="false" ht="15" hidden="false" customHeight="true" outlineLevel="0" collapsed="false">
      <c r="A74" s="4" t="s">
        <v>118</v>
      </c>
      <c r="B74" s="4" t="s">
        <v>121</v>
      </c>
      <c r="C74" s="12" t="n">
        <v>46483</v>
      </c>
      <c r="D74" s="4" t="n">
        <v>6</v>
      </c>
      <c r="E74" s="4" t="n">
        <v>4</v>
      </c>
      <c r="F74" s="4" t="s">
        <v>43</v>
      </c>
      <c r="G74" s="13" t="s">
        <v>110</v>
      </c>
      <c r="H74" s="8" t="n">
        <v>100</v>
      </c>
      <c r="I74" s="8" t="n">
        <v>4500</v>
      </c>
      <c r="J74" s="9" t="str">
        <f aca="false">IFERROR(LEFT(IF((OPR_2P!$J$4&gt;=H74)*(OPR_2P!$K$4&lt;=I74),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""), LEN(IF((OPR_2P!$J$4&gt;=H74)*(OPR_2P!$K$4&lt;=I74),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""))-2), "None")</f>
        <v>9, 15, 17, 20, 25, 28, 30, 34, 42, 46, 50, 54, 57, 63, 70</v>
      </c>
    </row>
    <row r="75" customFormat="false" ht="15" hidden="false" customHeight="true" outlineLevel="0" collapsed="false">
      <c r="A75" s="4" t="s">
        <v>118</v>
      </c>
      <c r="B75" s="4" t="s">
        <v>122</v>
      </c>
      <c r="C75" s="12" t="n">
        <v>46318</v>
      </c>
      <c r="D75" s="4" t="n">
        <v>6</v>
      </c>
      <c r="E75" s="4" t="n">
        <v>4</v>
      </c>
      <c r="F75" s="4" t="s">
        <v>43</v>
      </c>
      <c r="G75" s="13" t="s">
        <v>110</v>
      </c>
      <c r="H75" s="8" t="n">
        <v>100</v>
      </c>
      <c r="I75" s="8" t="n">
        <v>4500</v>
      </c>
      <c r="J75" s="9" t="str">
        <f aca="false">IFERROR(LEFT(IF((OPR_2P!$J$4&gt;=H75)*(OPR_2P!$K$4&lt;=I75),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""), LEN(IF((OPR_2P!$J$4&gt;=H75)*(OPR_2P!$K$4&lt;=I75),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""))-2), "None")</f>
        <v>9, 15, 17, 20, 25, 28, 30, 34, 42, 46, 50, 54, 57, 63, 70</v>
      </c>
    </row>
    <row r="76" customFormat="false" ht="15" hidden="false" customHeight="true" outlineLevel="0" collapsed="false">
      <c r="A76" s="4" t="s">
        <v>118</v>
      </c>
      <c r="B76" s="4" t="s">
        <v>123</v>
      </c>
      <c r="C76" s="12" t="n">
        <v>46431</v>
      </c>
      <c r="D76" s="4" t="n">
        <v>6</v>
      </c>
      <c r="E76" s="4" t="n">
        <v>4</v>
      </c>
      <c r="F76" s="4" t="s">
        <v>43</v>
      </c>
      <c r="G76" s="13" t="s">
        <v>110</v>
      </c>
      <c r="H76" s="8" t="n">
        <v>100</v>
      </c>
      <c r="I76" s="8" t="n">
        <v>4500</v>
      </c>
      <c r="J76" s="9" t="str">
        <f aca="false">IFERROR(LEFT(IF((OPR_2P!$J$4&gt;=H76)*(OPR_2P!$K$4&lt;=I76),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""), LEN(IF((OPR_2P!$J$4&gt;=H76)*(OPR_2P!$K$4&lt;=I76),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""))-2), "None")</f>
        <v>9, 15, 17, 20, 25, 28, 30, 34, 42, 46, 50, 54, 57, 63, 70</v>
      </c>
    </row>
    <row r="77" customFormat="false" ht="15" hidden="false" customHeight="true" outlineLevel="0" collapsed="false">
      <c r="A77" s="4" t="s">
        <v>118</v>
      </c>
      <c r="B77" s="4" t="s">
        <v>124</v>
      </c>
      <c r="C77" s="12" t="n">
        <v>46088</v>
      </c>
      <c r="D77" s="4" t="n">
        <v>6</v>
      </c>
      <c r="E77" s="4" t="n">
        <v>4</v>
      </c>
      <c r="F77" s="4" t="s">
        <v>43</v>
      </c>
      <c r="G77" s="13" t="s">
        <v>110</v>
      </c>
      <c r="H77" s="8" t="n">
        <v>100</v>
      </c>
      <c r="I77" s="8" t="n">
        <v>4500</v>
      </c>
      <c r="J77" s="9" t="str">
        <f aca="false">IFERROR(LEFT(IF((OPR_2P!$J$4&gt;=H77)*(OPR_2P!$K$4&lt;=I77),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""), LEN(IF((OPR_2P!$J$4&gt;=H77)*(OPR_2P!$K$4&lt;=I77),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""))-2), "None")</f>
        <v>9, 15, 17, 20, 25, 28, 30, 34, 42, 46, 50, 54, 57, 63, 70</v>
      </c>
    </row>
    <row r="78" customFormat="false" ht="15" hidden="false" customHeight="true" outlineLevel="0" collapsed="false">
      <c r="A78" s="4" t="s">
        <v>118</v>
      </c>
      <c r="B78" s="4" t="s">
        <v>125</v>
      </c>
      <c r="C78" s="12" t="n">
        <v>46402</v>
      </c>
      <c r="D78" s="4" t="n">
        <v>6</v>
      </c>
      <c r="E78" s="4" t="n">
        <v>4</v>
      </c>
      <c r="F78" s="4" t="s">
        <v>43</v>
      </c>
      <c r="G78" s="13" t="s">
        <v>110</v>
      </c>
      <c r="H78" s="8" t="n">
        <v>100</v>
      </c>
      <c r="I78" s="8" t="n">
        <v>4500</v>
      </c>
      <c r="J78" s="9" t="str">
        <f aca="false">IFERROR(LEFT(IF((OPR_2P!$J$4&gt;=H78)*(OPR_2P!$K$4&lt;=I78),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""), LEN(IF((OPR_2P!$J$4&gt;=H78)*(OPR_2P!$K$4&lt;=I78),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""))-2), "None")</f>
        <v>9, 15, 17, 20, 25, 28, 30, 34, 42, 46, 50, 54, 57, 63, 70</v>
      </c>
    </row>
    <row r="79" customFormat="false" ht="15" hidden="false" customHeight="true" outlineLevel="0" collapsed="false">
      <c r="A79" s="4" t="s">
        <v>118</v>
      </c>
      <c r="B79" s="4" t="s">
        <v>126</v>
      </c>
      <c r="C79" s="12" t="n">
        <v>46328</v>
      </c>
      <c r="D79" s="4" t="n">
        <v>6</v>
      </c>
      <c r="E79" s="4" t="n">
        <v>4</v>
      </c>
      <c r="F79" s="4" t="s">
        <v>43</v>
      </c>
      <c r="G79" s="13" t="s">
        <v>110</v>
      </c>
      <c r="H79" s="8" t="n">
        <v>100</v>
      </c>
      <c r="I79" s="8" t="n">
        <v>4500</v>
      </c>
      <c r="J79" s="9" t="str">
        <f aca="false">IFERROR(LEFT(IF((OPR_2P!$J$4&gt;=H79)*(OPR_2P!$K$4&lt;=I79),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""), LEN(IF((OPR_2P!$J$4&gt;=H79)*(OPR_2P!$K$4&lt;=I79),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""))-2), "None")</f>
        <v>9, 15, 17, 20, 25, 28, 30, 34, 42, 46, 50, 54, 57, 63, 70</v>
      </c>
    </row>
    <row r="80" customFormat="false" ht="15" hidden="false" customHeight="true" outlineLevel="0" collapsed="false">
      <c r="A80" s="4" t="s">
        <v>118</v>
      </c>
      <c r="B80" s="4" t="s">
        <v>127</v>
      </c>
      <c r="C80" s="12" t="n">
        <v>46165</v>
      </c>
      <c r="D80" s="4" t="n">
        <v>6</v>
      </c>
      <c r="E80" s="4" t="n">
        <v>4</v>
      </c>
      <c r="F80" s="4" t="s">
        <v>43</v>
      </c>
      <c r="G80" s="13" t="s">
        <v>110</v>
      </c>
      <c r="H80" s="8" t="n">
        <v>100</v>
      </c>
      <c r="I80" s="8" t="n">
        <v>4500</v>
      </c>
      <c r="J80" s="9" t="str">
        <f aca="false">IFERROR(LEFT(IF((OPR_2P!$J$4&gt;=H80)*(OPR_2P!$K$4&lt;=I80),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""), LEN(IF((OPR_2P!$J$4&gt;=H80)*(OPR_2P!$K$4&lt;=I80),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""))-2), "None")</f>
        <v>9, 15, 17, 20, 25, 28, 30, 34, 42, 46, 50, 54, 57, 63, 70</v>
      </c>
    </row>
    <row r="81" customFormat="false" ht="15" hidden="false" customHeight="true" outlineLevel="0" collapsed="false">
      <c r="A81" s="4" t="s">
        <v>118</v>
      </c>
      <c r="B81" s="4" t="s">
        <v>128</v>
      </c>
      <c r="C81" s="12" t="n">
        <v>46483</v>
      </c>
      <c r="D81" s="4" t="n">
        <v>6</v>
      </c>
      <c r="E81" s="4" t="n">
        <v>4</v>
      </c>
      <c r="F81" s="4" t="s">
        <v>43</v>
      </c>
      <c r="G81" s="13" t="s">
        <v>110</v>
      </c>
      <c r="H81" s="8" t="n">
        <v>100</v>
      </c>
      <c r="I81" s="8" t="n">
        <v>4500</v>
      </c>
      <c r="J81" s="9" t="str">
        <f aca="false">IFERROR(LEFT(IF((OPR_2P!$J$4&gt;=H81)*(OPR_2P!$K$4&lt;=I81),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""), LEN(IF((OPR_2P!$J$4&gt;=H81)*(OPR_2P!$K$4&lt;=I81),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""))-2), "None")</f>
        <v>9, 15, 17, 20, 25, 28, 30, 34, 42, 46, 50, 54, 57, 63, 70</v>
      </c>
    </row>
    <row r="82" customFormat="false" ht="15" hidden="false" customHeight="true" outlineLevel="0" collapsed="false">
      <c r="A82" s="4" t="s">
        <v>129</v>
      </c>
      <c r="B82" s="4" t="s">
        <v>130</v>
      </c>
      <c r="C82" s="12" t="n">
        <v>46518</v>
      </c>
      <c r="D82" s="4" t="n">
        <v>6</v>
      </c>
      <c r="E82" s="4" t="n">
        <v>4</v>
      </c>
      <c r="F82" s="4" t="s">
        <v>43</v>
      </c>
      <c r="G82" s="13" t="s">
        <v>44</v>
      </c>
      <c r="H82" s="8" t="n">
        <v>100</v>
      </c>
      <c r="I82" s="8" t="n">
        <v>4500</v>
      </c>
      <c r="J82" s="9" t="str">
        <f aca="false">IFERROR(LEFT(IF((OPR_2P!$J$4&gt;=H82)*(OPR_2P!$K$4&lt;=I82),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""), LEN(IF((OPR_2P!$J$4&gt;=H82)*(OPR_2P!$K$4&lt;=I82),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""))-2), "None")</f>
        <v>9, 15, 17, 20, 25, 28, 30, 34, 42, 46, 50, 54, 57, 63, 70</v>
      </c>
    </row>
    <row r="83" customFormat="false" ht="15" hidden="false" customHeight="true" outlineLevel="0" collapsed="false">
      <c r="A83" s="4" t="s">
        <v>129</v>
      </c>
      <c r="B83" s="4" t="s">
        <v>131</v>
      </c>
      <c r="C83" s="12" t="n">
        <v>46115</v>
      </c>
      <c r="D83" s="4" t="n">
        <v>6</v>
      </c>
      <c r="E83" s="4" t="n">
        <v>4</v>
      </c>
      <c r="F83" s="4" t="s">
        <v>43</v>
      </c>
      <c r="G83" s="13" t="s">
        <v>44</v>
      </c>
      <c r="H83" s="8" t="n">
        <v>100</v>
      </c>
      <c r="I83" s="8" t="n">
        <v>4500</v>
      </c>
      <c r="J83" s="9" t="str">
        <f aca="false">IFERROR(LEFT(IF((OPR_2P!$J$4&gt;=H83)*(OPR_2P!$K$4&lt;=I83),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""), LEN(IF((OPR_2P!$J$4&gt;=H83)*(OPR_2P!$K$4&lt;=I83),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""))-2), "None")</f>
        <v>9, 15, 17, 20, 25, 28, 30, 34, 42, 46, 50, 54, 57, 63, 70</v>
      </c>
    </row>
    <row r="84" customFormat="false" ht="15" hidden="false" customHeight="true" outlineLevel="0" collapsed="false">
      <c r="A84" s="4" t="s">
        <v>129</v>
      </c>
      <c r="B84" s="4" t="s">
        <v>132</v>
      </c>
      <c r="C84" s="12" t="n">
        <v>46172</v>
      </c>
      <c r="D84" s="4" t="n">
        <v>6</v>
      </c>
      <c r="E84" s="4" t="n">
        <v>4</v>
      </c>
      <c r="F84" s="4" t="s">
        <v>43</v>
      </c>
      <c r="G84" s="13" t="s">
        <v>44</v>
      </c>
      <c r="H84" s="8" t="n">
        <v>100</v>
      </c>
      <c r="I84" s="8" t="n">
        <v>4500</v>
      </c>
      <c r="J84" s="9" t="str">
        <f aca="false">IFERROR(LEFT(IF((OPR_2P!$J$4&gt;=H84)*(OPR_2P!$K$4&lt;=I84),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""), LEN(IF((OPR_2P!$J$4&gt;=H84)*(OPR_2P!$K$4&lt;=I84),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""))-2), "None")</f>
        <v>9, 15, 17, 20, 25, 28, 30, 34, 42, 46, 50, 54, 57, 63, 70</v>
      </c>
    </row>
    <row r="85" customFormat="false" ht="15" hidden="false" customHeight="true" outlineLevel="0" collapsed="false">
      <c r="A85" s="4" t="s">
        <v>129</v>
      </c>
      <c r="B85" s="4" t="s">
        <v>133</v>
      </c>
      <c r="C85" s="12" t="n">
        <v>46195</v>
      </c>
      <c r="D85" s="4" t="n">
        <v>6</v>
      </c>
      <c r="E85" s="4" t="n">
        <v>4</v>
      </c>
      <c r="F85" s="4" t="s">
        <v>43</v>
      </c>
      <c r="G85" s="13" t="s">
        <v>44</v>
      </c>
      <c r="H85" s="8" t="n">
        <v>100</v>
      </c>
      <c r="I85" s="8" t="n">
        <v>4500</v>
      </c>
      <c r="J85" s="9" t="str">
        <f aca="false">IFERROR(LEFT(IF((OPR_2P!$J$4&gt;=H85)*(OPR_2P!$K$4&lt;=I85),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""), LEN(IF((OPR_2P!$J$4&gt;=H85)*(OPR_2P!$K$4&lt;=I85),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""))-2), "None")</f>
        <v>9, 15, 17, 20, 25, 28, 30, 34, 42, 46, 50, 54, 57, 63, 70</v>
      </c>
    </row>
    <row r="86" customFormat="false" ht="15" hidden="false" customHeight="true" outlineLevel="0" collapsed="false">
      <c r="A86" s="4" t="s">
        <v>129</v>
      </c>
      <c r="B86" s="4" t="s">
        <v>134</v>
      </c>
      <c r="C86" s="12" t="n">
        <v>46373</v>
      </c>
      <c r="D86" s="4" t="n">
        <v>6</v>
      </c>
      <c r="E86" s="4" t="n">
        <v>4</v>
      </c>
      <c r="F86" s="4" t="s">
        <v>43</v>
      </c>
      <c r="G86" s="13" t="s">
        <v>44</v>
      </c>
      <c r="H86" s="8" t="n">
        <v>100</v>
      </c>
      <c r="I86" s="8" t="n">
        <v>4500</v>
      </c>
      <c r="J86" s="9" t="str">
        <f aca="false">IFERROR(LEFT(IF((OPR_2P!$J$4&gt;=H86)*(OPR_2P!$K$4&lt;=I86),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""), LEN(IF((OPR_2P!$J$4&gt;=H86)*(OPR_2P!$K$4&lt;=I86),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""))-2), "None")</f>
        <v>9, 15, 17, 20, 25, 28, 30, 34, 42, 46, 50, 54, 57, 63, 70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J4" activeCellId="0" sqref="J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2" width="15.56"/>
    <col collapsed="false" customWidth="true" hidden="false" outlineLevel="0" max="2" min="2" style="2" width="13.22"/>
    <col collapsed="false" customWidth="true" hidden="false" outlineLevel="0" max="3" min="3" style="2" width="8.76"/>
    <col collapsed="false" customWidth="true" hidden="false" outlineLevel="0" max="4" min="4" style="9" width="11.33"/>
    <col collapsed="false" customWidth="true" hidden="false" outlineLevel="0" max="6" min="5" style="9" width="15"/>
    <col collapsed="false" customWidth="true" hidden="false" outlineLevel="0" max="7" min="7" style="9" width="8"/>
    <col collapsed="false" customWidth="true" hidden="false" outlineLevel="0" max="8" min="8" style="9" width="10.33"/>
    <col collapsed="false" customWidth="true" hidden="false" outlineLevel="0" max="9" min="9" style="9" width="9.11"/>
    <col collapsed="false" customWidth="true" hidden="false" outlineLevel="0" max="10" min="10" style="9" width="19.44"/>
    <col collapsed="false" customWidth="true" hidden="false" outlineLevel="0" max="11" min="11" style="9" width="10.33"/>
    <col collapsed="false" customWidth="true" hidden="false" outlineLevel="0" max="100" min="12" style="1" width="13"/>
  </cols>
  <sheetData>
    <row r="2" customFormat="false" ht="15" hidden="false" customHeight="true" outlineLevel="0" collapsed="false">
      <c r="A2" s="3" t="s">
        <v>135</v>
      </c>
      <c r="B2" s="14" t="n">
        <v>46113.2916666667</v>
      </c>
      <c r="J2" s="15" t="s">
        <v>136</v>
      </c>
    </row>
    <row r="3" customFormat="false" ht="15" hidden="false" customHeight="true" outlineLevel="0" collapsed="false">
      <c r="A3" s="3" t="s">
        <v>137</v>
      </c>
      <c r="B3" s="3" t="s">
        <v>11</v>
      </c>
      <c r="C3" s="3" t="s">
        <v>10</v>
      </c>
      <c r="D3" s="16" t="s">
        <v>138</v>
      </c>
      <c r="E3" s="17" t="s">
        <v>139</v>
      </c>
      <c r="F3" s="17" t="s">
        <v>140</v>
      </c>
      <c r="G3" s="18" t="s">
        <v>141</v>
      </c>
      <c r="H3" s="17" t="s">
        <v>142</v>
      </c>
      <c r="I3" s="19" t="s">
        <v>36</v>
      </c>
      <c r="J3" s="20" t="s">
        <v>143</v>
      </c>
      <c r="K3" s="19" t="s">
        <v>144</v>
      </c>
      <c r="L3" s="21" t="n">
        <v>46113</v>
      </c>
      <c r="M3" s="21" t="n">
        <v>46114</v>
      </c>
      <c r="N3" s="21" t="n">
        <v>46115</v>
      </c>
      <c r="O3" s="21" t="n">
        <v>46116</v>
      </c>
      <c r="P3" s="21" t="n">
        <v>46117</v>
      </c>
      <c r="Q3" s="21" t="n">
        <v>46118</v>
      </c>
      <c r="R3" s="21" t="n">
        <v>46119</v>
      </c>
      <c r="S3" s="21" t="n">
        <v>46120</v>
      </c>
      <c r="T3" s="21" t="n">
        <v>46121</v>
      </c>
      <c r="U3" s="21" t="n">
        <v>46122</v>
      </c>
      <c r="V3" s="21" t="n">
        <v>46123</v>
      </c>
      <c r="W3" s="21" t="n">
        <v>46124</v>
      </c>
      <c r="X3" s="21" t="n">
        <v>46125</v>
      </c>
      <c r="Y3" s="21" t="n">
        <v>46126</v>
      </c>
      <c r="Z3" s="21" t="n">
        <v>46127</v>
      </c>
      <c r="AA3" s="21" t="n">
        <v>46128</v>
      </c>
      <c r="AB3" s="21" t="n">
        <v>46129</v>
      </c>
      <c r="AC3" s="21" t="n">
        <v>46130</v>
      </c>
      <c r="AD3" s="21" t="n">
        <v>46131</v>
      </c>
      <c r="AE3" s="21" t="n">
        <v>46132</v>
      </c>
      <c r="AF3" s="21" t="n">
        <v>46133</v>
      </c>
      <c r="AG3" s="21" t="n">
        <v>46134</v>
      </c>
      <c r="AH3" s="21" t="n">
        <v>46135</v>
      </c>
      <c r="AI3" s="21" t="n">
        <v>46136</v>
      </c>
      <c r="AJ3" s="21" t="n">
        <v>46137</v>
      </c>
      <c r="AK3" s="21" t="n">
        <v>46138</v>
      </c>
      <c r="AL3" s="21" t="n">
        <v>46139</v>
      </c>
      <c r="AM3" s="21" t="n">
        <v>46140</v>
      </c>
      <c r="AN3" s="21" t="n">
        <v>46141</v>
      </c>
      <c r="AO3" s="21" t="n">
        <v>46142</v>
      </c>
      <c r="AP3" s="21" t="n">
        <v>46143</v>
      </c>
      <c r="AQ3" s="21" t="n">
        <v>46144</v>
      </c>
      <c r="AR3" s="21" t="n">
        <v>46145</v>
      </c>
      <c r="AS3" s="21" t="n">
        <v>46146</v>
      </c>
      <c r="AT3" s="21" t="n">
        <v>46147</v>
      </c>
      <c r="AU3" s="21" t="n">
        <v>46148</v>
      </c>
      <c r="AV3" s="21" t="n">
        <v>46149</v>
      </c>
      <c r="AW3" s="21" t="n">
        <v>46150</v>
      </c>
      <c r="AX3" s="21" t="n">
        <v>46151</v>
      </c>
      <c r="AY3" s="21" t="n">
        <v>46152</v>
      </c>
      <c r="AZ3" s="21" t="n">
        <v>46153</v>
      </c>
      <c r="BA3" s="21" t="n">
        <v>46154</v>
      </c>
      <c r="BB3" s="21" t="n">
        <v>46155</v>
      </c>
      <c r="BC3" s="21" t="n">
        <v>46156</v>
      </c>
      <c r="BD3" s="21" t="n">
        <v>46157</v>
      </c>
      <c r="BE3" s="21" t="n">
        <v>46158</v>
      </c>
      <c r="BF3" s="21" t="n">
        <v>46159</v>
      </c>
      <c r="BG3" s="21" t="n">
        <v>46160</v>
      </c>
      <c r="BH3" s="21" t="n">
        <v>46161</v>
      </c>
      <c r="BI3" s="21" t="n">
        <v>46162</v>
      </c>
      <c r="BJ3" s="21" t="n">
        <v>46163</v>
      </c>
      <c r="BK3" s="21" t="n">
        <v>46164</v>
      </c>
      <c r="BL3" s="21" t="n">
        <v>46165</v>
      </c>
      <c r="BM3" s="21" t="n">
        <v>46166</v>
      </c>
      <c r="BN3" s="21" t="n">
        <v>46167</v>
      </c>
      <c r="BO3" s="21" t="n">
        <v>46168</v>
      </c>
      <c r="BP3" s="21" t="n">
        <v>46169</v>
      </c>
      <c r="BQ3" s="21" t="n">
        <v>46170</v>
      </c>
      <c r="BR3" s="21" t="n">
        <v>46171</v>
      </c>
    </row>
    <row r="4" customFormat="false" ht="15" hidden="false" customHeight="true" outlineLevel="0" collapsed="false">
      <c r="A4" s="4" t="s">
        <v>145</v>
      </c>
      <c r="B4" s="22" t="n">
        <v>28</v>
      </c>
      <c r="C4" s="23" t="s">
        <v>15</v>
      </c>
      <c r="D4" s="24" t="n">
        <f aca="false">IF($A4="","",IFERROR(CHOOSE(MATCH($C4,Settings!$L$4:$L$10,0),OPR_2P!$B$2,SEG_6P!$B$2,SOL_4P!$B$2,RW_2P!$B$2,RW2_4P!$B$2,FLAP_4P!$B$2,TUBE_4P!$B$2),2))</f>
        <v>2</v>
      </c>
      <c r="E4" s="25" t="n">
        <f aca="false">IF($A4="","",VTL_Plan!$J4)</f>
        <v>46113.2916666667</v>
      </c>
      <c r="F4" s="25" t="n">
        <f aca="false">IF($A4="","",QC_Plan!$M4)</f>
        <v>46132.3392857143</v>
      </c>
      <c r="G4" s="26" t="s">
        <v>146</v>
      </c>
      <c r="H4" s="9" t="str">
        <f aca="false">IF($A4="","",TEXT(QC_Plan!M4,"MMM-YYYY"))</f>
        <v>Apr-2026</v>
      </c>
      <c r="I4" s="26" t="s">
        <v>147</v>
      </c>
      <c r="J4" s="27" t="n">
        <f aca="false">IF($A4="","",F4+30)</f>
        <v>46162.3392857143</v>
      </c>
      <c r="K4" s="9" t="s">
        <v>148</v>
      </c>
    </row>
    <row r="5" customFormat="false" ht="15" hidden="false" customHeight="true" outlineLevel="0" collapsed="false">
      <c r="A5" s="4" t="s">
        <v>149</v>
      </c>
      <c r="B5" s="22" t="n">
        <v>42</v>
      </c>
      <c r="C5" s="23" t="s">
        <v>22</v>
      </c>
      <c r="D5" s="24" t="n">
        <f aca="false">IF($A5="","",IFERROR(CHOOSE(MATCH($C5,Settings!$L$4:$L$10,0),OPR_2P!$B$2,SEG_6P!$B$2,SOL_4P!$B$2,RW_2P!$B$2,RW2_4P!$B$2,FLAP_4P!$B$2,TUBE_4P!$B$2),2))</f>
        <v>4</v>
      </c>
      <c r="E5" s="25" t="n">
        <f aca="false">IF($A5="","",VTL_Plan!$J5)</f>
        <v>46113.2916666667</v>
      </c>
      <c r="F5" s="25" t="n">
        <f aca="false">IF($A5="","",QC_Plan!$M5)</f>
        <v>46170.3683862434</v>
      </c>
      <c r="G5" s="26" t="s">
        <v>146</v>
      </c>
      <c r="H5" s="9" t="str">
        <f aca="false">IF($A5="","",TEXT(QC_Plan!M5,"MMM-YYYY"))</f>
        <v>May-2026</v>
      </c>
      <c r="I5" s="26" t="s">
        <v>150</v>
      </c>
      <c r="J5" s="27" t="n">
        <f aca="false">IF($A5="","",F5+30)</f>
        <v>46200.3683862434</v>
      </c>
      <c r="K5" s="9" t="s">
        <v>151</v>
      </c>
    </row>
    <row r="6" customFormat="false" ht="15" hidden="false" customHeight="true" outlineLevel="0" collapsed="false">
      <c r="A6" s="4" t="s">
        <v>152</v>
      </c>
      <c r="B6" s="22" t="n">
        <v>28</v>
      </c>
      <c r="C6" s="23" t="s">
        <v>25</v>
      </c>
      <c r="D6" s="24" t="n">
        <f aca="false">IF($A6="","",IFERROR(CHOOSE(MATCH($C6,Settings!$L$4:$L$10,0),OPR_2P!$B$2,SEG_6P!$B$2,SOL_4P!$B$2,RW_2P!$B$2,RW2_4P!$B$2,FLAP_4P!$B$2,TUBE_4P!$B$2),2))</f>
        <v>2</v>
      </c>
      <c r="E6" s="25" t="n">
        <f aca="false">IF($A6="","",VTL_Plan!$J6)</f>
        <v>46115.8842592593</v>
      </c>
      <c r="F6" s="25" t="n">
        <f aca="false">IF($A6="","",QC_Plan!$M6)</f>
        <v>46173.5165343915</v>
      </c>
      <c r="G6" s="26" t="s">
        <v>146</v>
      </c>
      <c r="H6" s="9" t="str">
        <f aca="false">IF($A6="","",TEXT(QC_Plan!M6,"MMM-YYYY"))</f>
        <v>May-2026</v>
      </c>
      <c r="I6" s="26" t="s">
        <v>147</v>
      </c>
      <c r="J6" s="27" t="n">
        <f aca="false">IF($A6="","",F6+30)</f>
        <v>46203.5165343915</v>
      </c>
      <c r="K6" s="9" t="s">
        <v>148</v>
      </c>
    </row>
    <row r="7" customFormat="false" ht="15" hidden="false" customHeight="true" outlineLevel="0" collapsed="false">
      <c r="A7" s="4" t="s">
        <v>153</v>
      </c>
      <c r="B7" s="22" t="n">
        <v>25</v>
      </c>
      <c r="C7" s="23" t="s">
        <v>19</v>
      </c>
      <c r="D7" s="24" t="n">
        <f aca="false">IF($A7="","",IFERROR(CHOOSE(MATCH($C7,Settings!$L$4:$L$10,0),OPR_2P!$B$2,SEG_6P!$B$2,SOL_4P!$B$2,RW_2P!$B$2,RW2_4P!$B$2,FLAP_4P!$B$2,TUBE_4P!$B$2),2))</f>
        <v>6</v>
      </c>
      <c r="E7" s="25" t="n">
        <f aca="false">IF($A7="","",VTL_Plan!$J7)</f>
        <v>46118.4768518519</v>
      </c>
      <c r="F7" s="25" t="n">
        <f aca="false">IF($A7="","",QC_Plan!$M7)</f>
        <v>46184.5185185185</v>
      </c>
      <c r="G7" s="26" t="s">
        <v>154</v>
      </c>
      <c r="H7" s="9" t="str">
        <f aca="false">IF($A7="","",TEXT(QC_Plan!M7,"MMM-YYYY"))</f>
        <v>Jun-2026</v>
      </c>
      <c r="I7" s="26" t="s">
        <v>147</v>
      </c>
      <c r="J7" s="27" t="n">
        <f aca="false">IF($A7="","",F7+30)</f>
        <v>46214.5185185185</v>
      </c>
      <c r="K7" s="9" t="s">
        <v>155</v>
      </c>
    </row>
    <row r="8" customFormat="false" ht="15" hidden="false" customHeight="true" outlineLevel="0" collapsed="false">
      <c r="A8" s="4" t="s">
        <v>156</v>
      </c>
      <c r="B8" s="22" t="n">
        <v>34</v>
      </c>
      <c r="C8" s="23" t="s">
        <v>19</v>
      </c>
      <c r="D8" s="24" t="n">
        <f aca="false">IF($A8="","",IFERROR(CHOOSE(MATCH($C8,Settings!$L$4:$L$10,0),OPR_2P!$B$2,SEG_6P!$B$2,SOL_4P!$B$2,RW_2P!$B$2,RW2_4P!$B$2,FLAP_4P!$B$2,TUBE_4P!$B$2),2))</f>
        <v>6</v>
      </c>
      <c r="E8" s="25" t="n">
        <f aca="false">IF($A8="","",VTL_Plan!$J8)</f>
        <v>46121.0694444444</v>
      </c>
      <c r="F8" s="25" t="n">
        <f aca="false">IF($A8="","",QC_Plan!$M8)</f>
        <v>46208.9431216931</v>
      </c>
      <c r="G8" s="26" t="s">
        <v>146</v>
      </c>
      <c r="H8" s="9" t="str">
        <f aca="false">IF($A8="","",TEXT(QC_Plan!M8,"MMM-YYYY"))</f>
        <v>Jul-2026</v>
      </c>
      <c r="I8" s="26" t="s">
        <v>157</v>
      </c>
      <c r="J8" s="27" t="n">
        <f aca="false">IF($A8="","",F8+30)</f>
        <v>46238.9431216931</v>
      </c>
      <c r="K8" s="9" t="s">
        <v>151</v>
      </c>
    </row>
    <row r="9" customFormat="false" ht="15" hidden="false" customHeight="true" outlineLevel="0" collapsed="false">
      <c r="A9" s="4" t="s">
        <v>158</v>
      </c>
      <c r="B9" s="22" t="n">
        <v>20</v>
      </c>
      <c r="C9" s="23" t="s">
        <v>25</v>
      </c>
      <c r="D9" s="24" t="n">
        <f aca="false">IF($A9="","",IFERROR(CHOOSE(MATCH($C9,Settings!$L$4:$L$10,0),OPR_2P!$B$2,SEG_6P!$B$2,SOL_4P!$B$2,RW_2P!$B$2,RW2_4P!$B$2,FLAP_4P!$B$2,TUBE_4P!$B$2),2))</f>
        <v>2</v>
      </c>
      <c r="E9" s="25" t="n">
        <f aca="false">IF($A9="","",VTL_Plan!$J9)</f>
        <v>46125.4212962963</v>
      </c>
      <c r="F9" s="25" t="n">
        <f aca="false">IF($A9="","",QC_Plan!$M9)</f>
        <v>46210.7023809524</v>
      </c>
      <c r="G9" s="26" t="s">
        <v>154</v>
      </c>
      <c r="H9" s="9" t="str">
        <f aca="false">IF($A9="","",TEXT(QC_Plan!M9,"MMM-YYYY"))</f>
        <v>Jul-2026</v>
      </c>
      <c r="I9" s="26" t="s">
        <v>147</v>
      </c>
      <c r="J9" s="27" t="n">
        <f aca="false">IF($A9="","",F9+30)</f>
        <v>46240.7023809524</v>
      </c>
      <c r="K9" s="9" t="s">
        <v>159</v>
      </c>
    </row>
    <row r="10" customFormat="false" ht="15" hidden="false" customHeight="true" outlineLevel="0" collapsed="false">
      <c r="A10" s="4" t="s">
        <v>160</v>
      </c>
      <c r="B10" s="22" t="n">
        <v>70</v>
      </c>
      <c r="C10" s="23" t="s">
        <v>25</v>
      </c>
      <c r="D10" s="24" t="n">
        <f aca="false">IF($A10="","",IFERROR(CHOOSE(MATCH($C10,Settings!$L$4:$L$10,0),OPR_2P!$B$2,SEG_6P!$B$2,SOL_4P!$B$2,RW_2P!$B$2,RW2_4P!$B$2,FLAP_4P!$B$2,TUBE_4P!$B$2),2))</f>
        <v>2</v>
      </c>
      <c r="E10" s="25" t="n">
        <f aca="false">IF($A10="","",VTL_Plan!$J10)</f>
        <v>46113.2916666667</v>
      </c>
      <c r="F10" s="25" t="n">
        <f aca="false">IF($A10="","",QC_Plan!$M10)</f>
        <v>46219.5912698413</v>
      </c>
      <c r="G10" s="26" t="s">
        <v>161</v>
      </c>
      <c r="H10" s="9" t="str">
        <f aca="false">IF($A10="","",TEXT(QC_Plan!M10,"MMM-YYYY"))</f>
        <v>Jul-2026</v>
      </c>
      <c r="I10" s="26" t="s">
        <v>147</v>
      </c>
      <c r="J10" s="27" t="n">
        <f aca="false">IF($A10="","",F10+30)</f>
        <v>46249.5912698413</v>
      </c>
      <c r="K10" s="9" t="s">
        <v>148</v>
      </c>
    </row>
    <row r="11" customFormat="false" ht="15" hidden="false" customHeight="true" outlineLevel="0" collapsed="false">
      <c r="A11" s="4" t="s">
        <v>162</v>
      </c>
      <c r="B11" s="22" t="n">
        <v>15</v>
      </c>
      <c r="C11" s="23" t="s">
        <v>25</v>
      </c>
      <c r="D11" s="24" t="n">
        <f aca="false">IF($A11="","",IFERROR(CHOOSE(MATCH($C11,Settings!$L$4:$L$10,0),OPR_2P!$B$2,SEG_6P!$B$2,SOL_4P!$B$2,RW_2P!$B$2,RW2_4P!$B$2,FLAP_4P!$B$2,TUBE_4P!$B$2),2))</f>
        <v>2</v>
      </c>
      <c r="E11" s="25" t="n">
        <f aca="false">IF($A11="","",VTL_Plan!$J11)</f>
        <v>46127.2731481481</v>
      </c>
      <c r="F11" s="25" t="n">
        <f aca="false">IF($A11="","",QC_Plan!$M11)</f>
        <v>46220.2394179894</v>
      </c>
      <c r="G11" s="26" t="s">
        <v>154</v>
      </c>
      <c r="H11" s="9" t="str">
        <f aca="false">IF($A11="","",TEXT(QC_Plan!M11,"MMM-YYYY"))</f>
        <v>Jul-2026</v>
      </c>
      <c r="I11" s="26" t="s">
        <v>150</v>
      </c>
      <c r="J11" s="27" t="n">
        <f aca="false">IF($A11="","",F11+30)</f>
        <v>46250.2394179894</v>
      </c>
      <c r="K11" s="9" t="s">
        <v>155</v>
      </c>
    </row>
    <row r="12" customFormat="false" ht="15" hidden="false" customHeight="true" outlineLevel="0" collapsed="false">
      <c r="A12" s="4" t="s">
        <v>163</v>
      </c>
      <c r="B12" s="22" t="n">
        <v>30</v>
      </c>
      <c r="C12" s="23" t="s">
        <v>25</v>
      </c>
      <c r="D12" s="24" t="n">
        <f aca="false">IF($A12="","",IFERROR(CHOOSE(MATCH($C12,Settings!$L$4:$L$10,0),OPR_2P!$B$2,SEG_6P!$B$2,SOL_4P!$B$2,RW_2P!$B$2,RW2_4P!$B$2,FLAP_4P!$B$2,TUBE_4P!$B$2),2))</f>
        <v>2</v>
      </c>
      <c r="E12" s="25" t="n">
        <f aca="false">IF($A12="","",VTL_Plan!$J12)</f>
        <v>46130.5138888889</v>
      </c>
      <c r="F12" s="25" t="n">
        <f aca="false">IF($A12="","",QC_Plan!$M12)</f>
        <v>46223.4801587302</v>
      </c>
      <c r="G12" s="26" t="s">
        <v>146</v>
      </c>
      <c r="H12" s="9" t="str">
        <f aca="false">IF($A12="","",TEXT(QC_Plan!M12,"MMM-YYYY"))</f>
        <v>Jul-2026</v>
      </c>
      <c r="I12" s="26" t="s">
        <v>147</v>
      </c>
      <c r="J12" s="27" t="n">
        <f aca="false">IF($A12="","",F12+30)</f>
        <v>46253.4801587302</v>
      </c>
      <c r="K12" s="9" t="s">
        <v>151</v>
      </c>
    </row>
    <row r="13" customFormat="false" ht="15" hidden="false" customHeight="true" outlineLevel="0" collapsed="false">
      <c r="A13" s="4" t="s">
        <v>164</v>
      </c>
      <c r="B13" s="22" t="n">
        <v>17</v>
      </c>
      <c r="C13" s="23" t="s">
        <v>15</v>
      </c>
      <c r="D13" s="24" t="n">
        <f aca="false">IF($A13="","",IFERROR(CHOOSE(MATCH($C13,Settings!$L$4:$L$10,0),OPR_2P!$B$2,SEG_6P!$B$2,SOL_4P!$B$2,RW_2P!$B$2,RW2_4P!$B$2,FLAP_4P!$B$2,TUBE_4P!$B$2),2))</f>
        <v>2</v>
      </c>
      <c r="E13" s="25" t="n">
        <f aca="false">IF($A13="","",VTL_Plan!$J13)</f>
        <v>46128.662037037</v>
      </c>
      <c r="F13" s="25" t="n">
        <f aca="false">IF($A13="","",QC_Plan!$M13)</f>
        <v>46224.6838624339</v>
      </c>
      <c r="G13" s="26" t="s">
        <v>154</v>
      </c>
      <c r="H13" s="9" t="str">
        <f aca="false">IF($A13="","",TEXT(QC_Plan!M13,"MMM-YYYY"))</f>
        <v>Jul-2026</v>
      </c>
      <c r="I13" s="26" t="s">
        <v>147</v>
      </c>
      <c r="J13" s="27" t="n">
        <f aca="false">IF($A13="","",F13+30)</f>
        <v>46254.6838624339</v>
      </c>
      <c r="K13" s="9" t="s">
        <v>159</v>
      </c>
    </row>
    <row r="14" customFormat="false" ht="15" hidden="false" customHeight="true" outlineLevel="0" collapsed="false">
      <c r="A14" s="4" t="s">
        <v>165</v>
      </c>
      <c r="B14" s="22" t="n">
        <v>25</v>
      </c>
      <c r="C14" s="23" t="s">
        <v>25</v>
      </c>
      <c r="D14" s="24" t="n">
        <f aca="false">IF($A14="","",IFERROR(CHOOSE(MATCH($C14,Settings!$L$4:$L$10,0),OPR_2P!$B$2,SEG_6P!$B$2,SOL_4P!$B$2,RW_2P!$B$2,RW2_4P!$B$2,FLAP_4P!$B$2,TUBE_4P!$B$2),2))</f>
        <v>2</v>
      </c>
      <c r="E14" s="25" t="n">
        <f aca="false">IF($A14="","",VTL_Plan!$J14)</f>
        <v>46130.2361111111</v>
      </c>
      <c r="F14" s="25" t="n">
        <f aca="false">IF($A14="","",QC_Plan!$M14)</f>
        <v>46226.1653439153</v>
      </c>
      <c r="G14" s="26" t="s">
        <v>154</v>
      </c>
      <c r="H14" s="9" t="str">
        <f aca="false">IF($A14="","",TEXT(QC_Plan!M14,"MMM-YYYY"))</f>
        <v>Jul-2026</v>
      </c>
      <c r="I14" s="26" t="s">
        <v>147</v>
      </c>
      <c r="J14" s="27" t="n">
        <f aca="false">IF($A14="","",F14+30)</f>
        <v>46256.1653439153</v>
      </c>
      <c r="K14" s="9" t="s">
        <v>148</v>
      </c>
    </row>
    <row r="15" customFormat="false" ht="15" hidden="false" customHeight="true" outlineLevel="0" collapsed="false">
      <c r="A15" s="4" t="s">
        <v>166</v>
      </c>
      <c r="B15" s="22" t="n">
        <v>20</v>
      </c>
      <c r="C15" s="23" t="s">
        <v>19</v>
      </c>
      <c r="D15" s="24" t="n">
        <f aca="false">IF($A15="","",IFERROR(CHOOSE(MATCH($C15,Settings!$L$4:$L$10,0),OPR_2P!$B$2,SEG_6P!$B$2,SOL_4P!$B$2,RW_2P!$B$2,RW2_4P!$B$2,FLAP_4P!$B$2,TUBE_4P!$B$2),2))</f>
        <v>6</v>
      </c>
      <c r="E15" s="25" t="n">
        <f aca="false">IF($A15="","",VTL_Plan!$J15)</f>
        <v>46132.5509259259</v>
      </c>
      <c r="F15" s="25" t="n">
        <f aca="false">IF($A15="","",QC_Plan!$M15)</f>
        <v>46232.2764550265</v>
      </c>
      <c r="G15" s="26" t="s">
        <v>154</v>
      </c>
      <c r="H15" s="9" t="str">
        <f aca="false">IF($A15="","",TEXT(QC_Plan!M15,"MMM-YYYY"))</f>
        <v>Jul-2026</v>
      </c>
      <c r="I15" s="26" t="s">
        <v>150</v>
      </c>
      <c r="J15" s="27" t="n">
        <f aca="false">IF($A15="","",F15+30)</f>
        <v>46262.2764550265</v>
      </c>
      <c r="K15" s="9" t="s">
        <v>151</v>
      </c>
    </row>
    <row r="16" customFormat="false" ht="15" hidden="false" customHeight="true" outlineLevel="0" collapsed="false">
      <c r="A16" s="4" t="s">
        <v>167</v>
      </c>
      <c r="B16" s="22" t="n">
        <v>17</v>
      </c>
      <c r="C16" s="23" t="s">
        <v>15</v>
      </c>
      <c r="D16" s="24" t="n">
        <f aca="false">IF($A16="","",IFERROR(CHOOSE(MATCH($C16,Settings!$L$4:$L$10,0),OPR_2P!$B$2,SEG_6P!$B$2,SOL_4P!$B$2,RW_2P!$B$2,RW2_4P!$B$2,FLAP_4P!$B$2,TUBE_4P!$B$2),2))</f>
        <v>2</v>
      </c>
      <c r="E16" s="25" t="n">
        <f aca="false">IF($A16="","",VTL_Plan!$J16)</f>
        <v>46138.3842592593</v>
      </c>
      <c r="F16" s="25" t="n">
        <f aca="false">IF($A16="","",QC_Plan!$M16)</f>
        <v>46233.4801587302</v>
      </c>
      <c r="G16" s="26" t="s">
        <v>154</v>
      </c>
      <c r="H16" s="9" t="str">
        <f aca="false">IF($A16="","",TEXT(QC_Plan!M16,"MMM-YYYY"))</f>
        <v>Jul-2026</v>
      </c>
      <c r="I16" s="26" t="s">
        <v>147</v>
      </c>
      <c r="J16" s="27" t="n">
        <f aca="false">IF($A16="","",F16+30)</f>
        <v>46263.4801587302</v>
      </c>
      <c r="K16" s="9" t="s">
        <v>148</v>
      </c>
    </row>
    <row r="17" customFormat="false" ht="15" hidden="false" customHeight="true" outlineLevel="0" collapsed="false">
      <c r="A17" s="4" t="s">
        <v>168</v>
      </c>
      <c r="B17" s="22" t="n">
        <v>50</v>
      </c>
      <c r="C17" s="23" t="s">
        <v>19</v>
      </c>
      <c r="D17" s="24" t="n">
        <f aca="false">IF($A17="","",IFERROR(CHOOSE(MATCH($C17,Settings!$L$4:$L$10,0),OPR_2P!$B$2,SEG_6P!$B$2,SOL_4P!$B$2,RW_2P!$B$2,RW2_4P!$B$2,FLAP_4P!$B$2,TUBE_4P!$B$2),2))</f>
        <v>6</v>
      </c>
      <c r="E17" s="25" t="n">
        <f aca="false">IF($A17="","",VTL_Plan!$J17)</f>
        <v>46119.7731481481</v>
      </c>
      <c r="F17" s="25" t="n">
        <f aca="false">IF($A17="","",QC_Plan!$M17)</f>
        <v>46287.6335978836</v>
      </c>
      <c r="G17" s="26" t="s">
        <v>161</v>
      </c>
      <c r="H17" s="9" t="str">
        <f aca="false">IF($A17="","",TEXT(QC_Plan!M17,"MMM-YYYY"))</f>
        <v>Sep-2026</v>
      </c>
      <c r="I17" s="26" t="s">
        <v>147</v>
      </c>
      <c r="J17" s="27" t="n">
        <f aca="false">IF($A17="","",F17+30)</f>
        <v>46317.6335978836</v>
      </c>
      <c r="K17" s="9" t="s">
        <v>155</v>
      </c>
    </row>
    <row r="18" customFormat="false" ht="15" hidden="false" customHeight="true" outlineLevel="0" collapsed="false">
      <c r="A18" s="4" t="s">
        <v>169</v>
      </c>
      <c r="B18" s="22" t="n">
        <v>46</v>
      </c>
      <c r="C18" s="23" t="s">
        <v>15</v>
      </c>
      <c r="D18" s="24" t="n">
        <f aca="false">IF($A18="","",IFERROR(CHOOSE(MATCH($C18,Settings!$L$4:$L$10,0),OPR_2P!$B$2,SEG_6P!$B$2,SOL_4P!$B$2,RW_2P!$B$2,RW2_4P!$B$2,FLAP_4P!$B$2,TUBE_4P!$B$2),2))</f>
        <v>2</v>
      </c>
      <c r="E18" s="25" t="n">
        <f aca="false">IF($A18="","",VTL_Plan!$J18)</f>
        <v>46133.2916666667</v>
      </c>
      <c r="F18" s="25" t="n">
        <f aca="false">IF($A18="","",QC_Plan!$M18)</f>
        <v>46290.8743386243</v>
      </c>
      <c r="G18" s="26" t="s">
        <v>161</v>
      </c>
      <c r="H18" s="9" t="str">
        <f aca="false">IF($A18="","",TEXT(QC_Plan!M18,"MMM-YYYY"))</f>
        <v>Sep-2026</v>
      </c>
      <c r="I18" s="26" t="s">
        <v>157</v>
      </c>
      <c r="J18" s="27" t="n">
        <f aca="false">IF($A18="","",F18+30)</f>
        <v>46320.8743386243</v>
      </c>
      <c r="K18" s="9" t="s">
        <v>151</v>
      </c>
    </row>
    <row r="19" customFormat="false" ht="15" hidden="false" customHeight="true" outlineLevel="0" collapsed="false">
      <c r="A19" s="4" t="s">
        <v>170</v>
      </c>
      <c r="B19" s="22" t="n">
        <v>54</v>
      </c>
      <c r="C19" s="23" t="s">
        <v>15</v>
      </c>
      <c r="D19" s="24" t="n">
        <f aca="false">IF($A19="","",IFERROR(CHOOSE(MATCH($C19,Settings!$L$4:$L$10,0),OPR_2P!$B$2,SEG_6P!$B$2,SOL_4P!$B$2,RW_2P!$B$2,RW2_4P!$B$2,FLAP_4P!$B$2,TUBE_4P!$B$2),2))</f>
        <v>2</v>
      </c>
      <c r="E19" s="25" t="n">
        <f aca="false">IF($A19="","",VTL_Plan!$J19)</f>
        <v>46133.662037037</v>
      </c>
      <c r="F19" s="25" t="n">
        <f aca="false">IF($A19="","",QC_Plan!$M19)</f>
        <v>46297.078042328</v>
      </c>
      <c r="G19" s="26" t="s">
        <v>161</v>
      </c>
      <c r="H19" s="9" t="str">
        <f aca="false">IF($A19="","",TEXT(QC_Plan!M19,"MMM-YYYY"))</f>
        <v>Oct-2026</v>
      </c>
      <c r="I19" s="26" t="s">
        <v>147</v>
      </c>
      <c r="J19" s="27" t="n">
        <f aca="false">IF($A19="","",F19+30)</f>
        <v>46327.078042328</v>
      </c>
      <c r="K19" s="9" t="s">
        <v>159</v>
      </c>
    </row>
    <row r="20" customFormat="false" ht="15" hidden="false" customHeight="true" outlineLevel="0" collapsed="false">
      <c r="A20" s="4" t="s">
        <v>171</v>
      </c>
      <c r="B20" s="22" t="n">
        <v>28</v>
      </c>
      <c r="C20" s="23" t="s">
        <v>22</v>
      </c>
      <c r="D20" s="24" t="n">
        <f aca="false">IF($A20="","",IFERROR(CHOOSE(MATCH($C20,Settings!$L$4:$L$10,0),OPR_2P!$B$2,SEG_6P!$B$2,SOL_4P!$B$2,RW_2P!$B$2,RW2_4P!$B$2,FLAP_4P!$B$2,TUBE_4P!$B$2),2))</f>
        <v>4</v>
      </c>
      <c r="E20" s="25" t="n">
        <f aca="false">IF($A20="","",VTL_Plan!$J20)</f>
        <v>46139.9583333333</v>
      </c>
      <c r="F20" s="25" t="n">
        <f aca="false">IF($A20="","",QC_Plan!$M20)</f>
        <v>46302.2632275132</v>
      </c>
      <c r="G20" s="26" t="s">
        <v>146</v>
      </c>
      <c r="H20" s="9" t="str">
        <f aca="false">IF($A20="","",TEXT(QC_Plan!M20,"MMM-YYYY"))</f>
        <v>Oct-2026</v>
      </c>
      <c r="I20" s="26" t="s">
        <v>147</v>
      </c>
      <c r="J20" s="27" t="n">
        <f aca="false">IF($A20="","",F20+30)</f>
        <v>46332.2632275132</v>
      </c>
      <c r="K20" s="9" t="s">
        <v>148</v>
      </c>
    </row>
    <row r="21" customFormat="false" ht="15" hidden="false" customHeight="true" outlineLevel="0" collapsed="false">
      <c r="A21" s="4" t="s">
        <v>172</v>
      </c>
      <c r="B21" s="22" t="n">
        <v>63</v>
      </c>
      <c r="C21" s="23" t="s">
        <v>22</v>
      </c>
      <c r="D21" s="24" t="n">
        <f aca="false">IF($A21="","",IFERROR(CHOOSE(MATCH($C21,Settings!$L$4:$L$10,0),OPR_2P!$B$2,SEG_6P!$B$2,SOL_4P!$B$2,RW_2P!$B$2,RW2_4P!$B$2,FLAP_4P!$B$2,TUBE_4P!$B$2),2))</f>
        <v>4</v>
      </c>
      <c r="E21" s="25" t="n">
        <f aca="false">IF($A21="","",VTL_Plan!$J21)</f>
        <v>46138.662037037</v>
      </c>
      <c r="F21" s="25" t="n">
        <f aca="false">IF($A21="","",QC_Plan!$M21)</f>
        <v>46329.7665343915</v>
      </c>
      <c r="G21" s="26" t="s">
        <v>161</v>
      </c>
      <c r="H21" s="9" t="str">
        <f aca="false">IF($A21="","",TEXT(QC_Plan!M21,"MMM-YYYY"))</f>
        <v>Nov-2026</v>
      </c>
      <c r="I21" s="26" t="s">
        <v>150</v>
      </c>
      <c r="J21" s="27" t="n">
        <f aca="false">IF($A21="","",F21+30)</f>
        <v>46359.7665343915</v>
      </c>
      <c r="K21" s="9" t="s">
        <v>155</v>
      </c>
    </row>
    <row r="22" customFormat="false" ht="15" hidden="false" customHeight="true" outlineLevel="0" collapsed="false">
      <c r="A22" s="4" t="s">
        <v>173</v>
      </c>
      <c r="B22" s="22" t="n">
        <v>46</v>
      </c>
      <c r="C22" s="23" t="s">
        <v>15</v>
      </c>
      <c r="D22" s="24" t="n">
        <f aca="false">IF($A22="","",IFERROR(CHOOSE(MATCH($C22,Settings!$L$4:$L$10,0),OPR_2P!$B$2,SEG_6P!$B$2,SOL_4P!$B$2,RW_2P!$B$2,RW2_4P!$B$2,FLAP_4P!$B$2,TUBE_4P!$B$2),2))</f>
        <v>2</v>
      </c>
      <c r="E22" s="25" t="n">
        <f aca="false">IF($A22="","",VTL_Plan!$J22)</f>
        <v>46137.5509259259</v>
      </c>
      <c r="F22" s="25" t="n">
        <f aca="false">IF($A22="","",QC_Plan!$M22)</f>
        <v>46333.0072751323</v>
      </c>
      <c r="G22" s="26" t="s">
        <v>161</v>
      </c>
      <c r="H22" s="9" t="str">
        <f aca="false">IF($A22="","",TEXT(QC_Plan!M22,"MMM-YYYY"))</f>
        <v>Nov-2026</v>
      </c>
      <c r="I22" s="26" t="s">
        <v>147</v>
      </c>
      <c r="J22" s="27" t="n">
        <f aca="false">IF($A22="","",F22+30)</f>
        <v>46363.0072751323</v>
      </c>
      <c r="K22" s="9" t="s">
        <v>151</v>
      </c>
    </row>
    <row r="23" customFormat="false" ht="15" hidden="false" customHeight="true" outlineLevel="0" collapsed="false">
      <c r="A23" s="4" t="s">
        <v>174</v>
      </c>
      <c r="B23" s="22" t="n">
        <v>9</v>
      </c>
      <c r="C23" s="23" t="s">
        <v>19</v>
      </c>
      <c r="D23" s="24" t="n">
        <f aca="false">IF($A23="","",IFERROR(CHOOSE(MATCH($C23,Settings!$L$4:$L$10,0),OPR_2P!$B$2,SEG_6P!$B$2,SOL_4P!$B$2,RW_2P!$B$2,RW2_4P!$B$2,FLAP_4P!$B$2,TUBE_4P!$B$2),2))</f>
        <v>6</v>
      </c>
      <c r="E23" s="25" t="n">
        <f aca="false">IF($A23="","",VTL_Plan!$J23)</f>
        <v>46145.1435185185</v>
      </c>
      <c r="F23" s="25" t="n">
        <f aca="false">IF($A23="","",QC_Plan!$M23)</f>
        <v>46333.5628306878</v>
      </c>
      <c r="G23" s="26" t="s">
        <v>154</v>
      </c>
      <c r="H23" s="9" t="str">
        <f aca="false">IF($A23="","",TEXT(QC_Plan!M23,"MMM-YYYY"))</f>
        <v>Nov-2026</v>
      </c>
      <c r="I23" s="26" t="s">
        <v>147</v>
      </c>
      <c r="J23" s="27" t="n">
        <f aca="false">IF($A23="","",F23+30)</f>
        <v>46363.5628306878</v>
      </c>
      <c r="K23" s="9" t="s">
        <v>159</v>
      </c>
    </row>
    <row r="24" customFormat="false" ht="15" hidden="false" customHeight="true" outlineLevel="0" collapsed="false">
      <c r="A24" s="4" t="s">
        <v>175</v>
      </c>
      <c r="B24" s="22" t="n">
        <v>57</v>
      </c>
      <c r="C24" s="23" t="s">
        <v>25</v>
      </c>
      <c r="D24" s="24" t="n">
        <f aca="false">IF($A24="","",IFERROR(CHOOSE(MATCH($C24,Settings!$L$4:$L$10,0),OPR_2P!$B$2,SEG_6P!$B$2,SOL_4P!$B$2,RW_2P!$B$2,RW2_4P!$B$2,FLAP_4P!$B$2,TUBE_4P!$B$2),2))</f>
        <v>2</v>
      </c>
      <c r="E24" s="25" t="n">
        <f aca="false">IF($A24="","",VTL_Plan!$J24)</f>
        <v>46150.3287037037</v>
      </c>
      <c r="F24" s="25" t="n">
        <f aca="false">IF($A24="","",QC_Plan!$M24)</f>
        <v>46340.6924603175</v>
      </c>
      <c r="G24" s="26" t="s">
        <v>161</v>
      </c>
      <c r="H24" s="9" t="str">
        <f aca="false">IF($A24="","",TEXT(QC_Plan!M24,"MMM-YYYY"))</f>
        <v>Nov-2026</v>
      </c>
      <c r="I24" s="26" t="s">
        <v>147</v>
      </c>
      <c r="J24" s="27" t="n">
        <f aca="false">IF($A24="","",F24+30)</f>
        <v>46370.6924603175</v>
      </c>
      <c r="K24" s="9" t="s">
        <v>148</v>
      </c>
    </row>
    <row r="25" customFormat="false" ht="15" hidden="false" customHeight="true" outlineLevel="0" collapsed="false">
      <c r="A25" s="4" t="s">
        <v>176</v>
      </c>
      <c r="B25" s="22" t="n">
        <v>46</v>
      </c>
      <c r="C25" s="23" t="s">
        <v>25</v>
      </c>
      <c r="D25" s="24" t="n">
        <f aca="false">IF($A25="","",IFERROR(CHOOSE(MATCH($C25,Settings!$L$4:$L$10,0),OPR_2P!$B$2,SEG_6P!$B$2,SOL_4P!$B$2,RW_2P!$B$2,RW2_4P!$B$2,FLAP_4P!$B$2,TUBE_4P!$B$2),2))</f>
        <v>2</v>
      </c>
      <c r="E25" s="25" t="n">
        <f aca="false">IF($A25="","",VTL_Plan!$J25)</f>
        <v>46141.8101851852</v>
      </c>
      <c r="F25" s="25" t="n">
        <f aca="false">IF($A25="","",QC_Plan!$M25)</f>
        <v>46345.1369047619</v>
      </c>
      <c r="G25" s="26" t="s">
        <v>161</v>
      </c>
      <c r="H25" s="9" t="str">
        <f aca="false">IF($A25="","",TEXT(QC_Plan!M25,"MMM-YYYY"))</f>
        <v>Nov-2026</v>
      </c>
      <c r="I25" s="26" t="s">
        <v>150</v>
      </c>
      <c r="J25" s="27" t="n">
        <f aca="false">IF($A25="","",F25+30)</f>
        <v>46375.1369047619</v>
      </c>
      <c r="K25" s="9" t="s">
        <v>151</v>
      </c>
    </row>
    <row r="26" customFormat="false" ht="15" hidden="false" customHeight="true" outlineLevel="0" collapsed="false">
      <c r="A26" s="4" t="s">
        <v>177</v>
      </c>
      <c r="B26" s="22" t="n">
        <v>15</v>
      </c>
      <c r="C26" s="23" t="s">
        <v>25</v>
      </c>
      <c r="D26" s="24" t="n">
        <f aca="false">IF($A26="","",IFERROR(CHOOSE(MATCH($C26,Settings!$L$4:$L$10,0),OPR_2P!$B$2,SEG_6P!$B$2,SOL_4P!$B$2,RW_2P!$B$2,RW2_4P!$B$2,FLAP_4P!$B$2,TUBE_4P!$B$2),2))</f>
        <v>2</v>
      </c>
      <c r="E26" s="25" t="n">
        <f aca="false">IF($A26="","",VTL_Plan!$J26)</f>
        <v>46147.6435185185</v>
      </c>
      <c r="F26" s="25" t="n">
        <f aca="false">IF($A26="","",QC_Plan!$M26)</f>
        <v>46345.7850529101</v>
      </c>
      <c r="G26" s="26" t="s">
        <v>154</v>
      </c>
      <c r="H26" s="9" t="str">
        <f aca="false">IF($A26="","",TEXT(QC_Plan!M26,"MMM-YYYY"))</f>
        <v>Nov-2026</v>
      </c>
      <c r="I26" s="26" t="s">
        <v>147</v>
      </c>
      <c r="J26" s="27" t="n">
        <f aca="false">IF($A26="","",F26+30)</f>
        <v>46375.7850529101</v>
      </c>
      <c r="K26" s="9" t="s">
        <v>148</v>
      </c>
    </row>
    <row r="27" customFormat="false" ht="15" hidden="false" customHeight="true" outlineLevel="0" collapsed="false">
      <c r="A27" s="4" t="s">
        <v>178</v>
      </c>
      <c r="B27" s="22" t="n">
        <v>54</v>
      </c>
      <c r="C27" s="23" t="s">
        <v>22</v>
      </c>
      <c r="D27" s="24" t="n">
        <f aca="false">IF($A27="","",IFERROR(CHOOSE(MATCH($C27,Settings!$L$4:$L$10,0),OPR_2P!$B$2,SEG_6P!$B$2,SOL_4P!$B$2,RW_2P!$B$2,RW2_4P!$B$2,FLAP_4P!$B$2,TUBE_4P!$B$2),2))</f>
        <v>4</v>
      </c>
      <c r="E27" s="25" t="n">
        <f aca="false">IF($A27="","",VTL_Plan!$J27)</f>
        <v>46155.6064814815</v>
      </c>
      <c r="F27" s="25" t="n">
        <f aca="false">IF($A27="","",QC_Plan!$M27)</f>
        <v>46360.9371693122</v>
      </c>
      <c r="G27" s="26" t="s">
        <v>161</v>
      </c>
      <c r="H27" s="9" t="str">
        <f aca="false">IF($A27="","",TEXT(QC_Plan!M27,"MMM-YYYY"))</f>
        <v>Dec-2026</v>
      </c>
      <c r="I27" s="26" t="s">
        <v>147</v>
      </c>
      <c r="J27" s="27" t="n">
        <f aca="false">IF($A27="","",F27+30)</f>
        <v>46390.9371693122</v>
      </c>
      <c r="K27" s="9" t="s">
        <v>155</v>
      </c>
    </row>
    <row r="28" customFormat="false" ht="15" hidden="false" customHeight="true" outlineLevel="0" collapsed="false">
      <c r="A28" s="4" t="s">
        <v>179</v>
      </c>
      <c r="B28" s="22" t="n">
        <v>42</v>
      </c>
      <c r="C28" s="23" t="s">
        <v>15</v>
      </c>
      <c r="D28" s="24" t="n">
        <f aca="false">IF($A28="","",IFERROR(CHOOSE(MATCH($C28,Settings!$L$4:$L$10,0),OPR_2P!$B$2,SEG_6P!$B$2,SOL_4P!$B$2,RW_2P!$B$2,RW2_4P!$B$2,FLAP_4P!$B$2,TUBE_4P!$B$2),2))</f>
        <v>2</v>
      </c>
      <c r="E28" s="25" t="n">
        <f aca="false">IF($A28="","",VTL_Plan!$J28)</f>
        <v>46146.0694444444</v>
      </c>
      <c r="F28" s="25" t="n">
        <f aca="false">IF($A28="","",QC_Plan!$M28)</f>
        <v>46365.289021164</v>
      </c>
      <c r="G28" s="26" t="s">
        <v>146</v>
      </c>
      <c r="H28" s="9" t="str">
        <f aca="false">IF($A28="","",TEXT(QC_Plan!M28,"MMM-YYYY"))</f>
        <v>Dec-2026</v>
      </c>
      <c r="I28" s="26" t="s">
        <v>157</v>
      </c>
      <c r="J28" s="27" t="n">
        <f aca="false">IF($A28="","",F28+30)</f>
        <v>46395.289021164</v>
      </c>
      <c r="K28" s="9" t="s">
        <v>151</v>
      </c>
    </row>
    <row r="29" customFormat="false" ht="15" hidden="false" customHeight="true" outlineLevel="0" collapsed="false">
      <c r="A29" s="4" t="s">
        <v>180</v>
      </c>
      <c r="B29" s="22" t="n">
        <v>42</v>
      </c>
      <c r="C29" s="23" t="s">
        <v>15</v>
      </c>
      <c r="D29" s="24" t="n">
        <f aca="false">IF($A29="","",IFERROR(CHOOSE(MATCH($C29,Settings!$L$4:$L$10,0),OPR_2P!$B$2,SEG_6P!$B$2,SOL_4P!$B$2,RW_2P!$B$2,RW2_4P!$B$2,FLAP_4P!$B$2,TUBE_4P!$B$2),2))</f>
        <v>2</v>
      </c>
      <c r="E29" s="25" t="n">
        <f aca="false">IF($A29="","",VTL_Plan!$J29)</f>
        <v>46149.9583333333</v>
      </c>
      <c r="F29" s="25" t="n">
        <f aca="false">IF($A29="","",QC_Plan!$M29)</f>
        <v>46369.6408730159</v>
      </c>
      <c r="G29" s="26" t="s">
        <v>146</v>
      </c>
      <c r="H29" s="9" t="str">
        <f aca="false">IF($A29="","",TEXT(QC_Plan!M29,"MMM-YYYY"))</f>
        <v>Dec-2026</v>
      </c>
      <c r="I29" s="26" t="s">
        <v>147</v>
      </c>
      <c r="J29" s="27" t="n">
        <f aca="false">IF($A29="","",F29+30)</f>
        <v>46399.6408730159</v>
      </c>
      <c r="K29" s="9" t="s">
        <v>159</v>
      </c>
    </row>
    <row r="30" customFormat="false" ht="15" hidden="false" customHeight="true" outlineLevel="0" collapsed="false">
      <c r="A30" s="4" t="s">
        <v>181</v>
      </c>
      <c r="B30" s="22" t="n">
        <v>15</v>
      </c>
      <c r="C30" s="23" t="s">
        <v>25</v>
      </c>
      <c r="D30" s="24" t="n">
        <f aca="false">IF($A30="","",IFERROR(CHOOSE(MATCH($C30,Settings!$L$4:$L$10,0),OPR_2P!$B$2,SEG_6P!$B$2,SOL_4P!$B$2,RW_2P!$B$2,RW2_4P!$B$2,FLAP_4P!$B$2,TUBE_4P!$B$2),2))</f>
        <v>2</v>
      </c>
      <c r="E30" s="25" t="n">
        <f aca="false">IF($A30="","",VTL_Plan!$J30)</f>
        <v>46149.0324074074</v>
      </c>
      <c r="F30" s="25" t="n">
        <f aca="false">IF($A30="","",QC_Plan!$M30)</f>
        <v>46370.289021164</v>
      </c>
      <c r="G30" s="26" t="s">
        <v>154</v>
      </c>
      <c r="H30" s="9" t="str">
        <f aca="false">IF($A30="","",TEXT(QC_Plan!M30,"MMM-YYYY"))</f>
        <v>Dec-2026</v>
      </c>
      <c r="I30" s="26" t="s">
        <v>147</v>
      </c>
      <c r="J30" s="27" t="n">
        <f aca="false">IF($A30="","",F30+30)</f>
        <v>46400.289021164</v>
      </c>
      <c r="K30" s="9" t="s">
        <v>148</v>
      </c>
    </row>
    <row r="31" customFormat="false" ht="15" hidden="false" customHeight="true" outlineLevel="0" collapsed="false">
      <c r="A31" s="4" t="s">
        <v>182</v>
      </c>
      <c r="B31" s="22" t="n">
        <v>46</v>
      </c>
      <c r="C31" s="23" t="s">
        <v>15</v>
      </c>
      <c r="D31" s="24" t="n">
        <f aca="false">IF($A31="","",IFERROR(CHOOSE(MATCH($C31,Settings!$L$4:$L$10,0),OPR_2P!$B$2,SEG_6P!$B$2,SOL_4P!$B$2,RW_2P!$B$2,RW2_4P!$B$2,FLAP_4P!$B$2,TUBE_4P!$B$2),2))</f>
        <v>2</v>
      </c>
      <c r="E31" s="25" t="n">
        <f aca="false">IF($A31="","",VTL_Plan!$J31)</f>
        <v>46153.8472222222</v>
      </c>
      <c r="F31" s="25" t="n">
        <f aca="false">IF($A31="","",QC_Plan!$M31)</f>
        <v>46373.5297619048</v>
      </c>
      <c r="G31" s="26" t="s">
        <v>161</v>
      </c>
      <c r="H31" s="9" t="str">
        <f aca="false">IF($A31="","",TEXT(QC_Plan!M31,"MMM-YYYY"))</f>
        <v>Dec-2026</v>
      </c>
      <c r="I31" s="26" t="s">
        <v>150</v>
      </c>
      <c r="J31" s="27" t="n">
        <f aca="false">IF($A31="","",F31+30)</f>
        <v>46403.5297619048</v>
      </c>
      <c r="K31" s="9" t="s">
        <v>155</v>
      </c>
    </row>
    <row r="32" customFormat="false" ht="15" hidden="false" customHeight="true" outlineLevel="0" collapsed="false">
      <c r="A32" s="4" t="s">
        <v>183</v>
      </c>
      <c r="B32" s="22" t="n">
        <v>25</v>
      </c>
      <c r="C32" s="23" t="s">
        <v>19</v>
      </c>
      <c r="D32" s="24" t="n">
        <f aca="false">IF($A32="","",IFERROR(CHOOSE(MATCH($C32,Settings!$L$4:$L$10,0),OPR_2P!$B$2,SEG_6P!$B$2,SOL_4P!$B$2,RW_2P!$B$2,RW2_4P!$B$2,FLAP_4P!$B$2,TUBE_4P!$B$2),2))</f>
        <v>6</v>
      </c>
      <c r="E32" s="25" t="n">
        <f aca="false">IF($A32="","",VTL_Plan!$J32)</f>
        <v>46150.4212962963</v>
      </c>
      <c r="F32" s="25" t="n">
        <f aca="false">IF($A32="","",QC_Plan!$M32)</f>
        <v>46379.9186507937</v>
      </c>
      <c r="G32" s="26" t="s">
        <v>154</v>
      </c>
      <c r="H32" s="9" t="str">
        <f aca="false">IF($A32="","",TEXT(QC_Plan!M32,"MMM-YYYY"))</f>
        <v>Dec-2026</v>
      </c>
      <c r="I32" s="26" t="s">
        <v>147</v>
      </c>
      <c r="J32" s="27" t="n">
        <f aca="false">IF($A32="","",F32+30)</f>
        <v>46409.9186507937</v>
      </c>
      <c r="K32" s="9" t="s">
        <v>151</v>
      </c>
    </row>
    <row r="33" customFormat="false" ht="15" hidden="false" customHeight="true" outlineLevel="0" collapsed="false">
      <c r="A33" s="4" t="s">
        <v>184</v>
      </c>
      <c r="B33" s="22" t="n">
        <v>9</v>
      </c>
      <c r="C33" s="23" t="s">
        <v>25</v>
      </c>
      <c r="D33" s="24" t="n">
        <f aca="false">IF($A33="","",IFERROR(CHOOSE(MATCH($C33,Settings!$L$4:$L$10,0),OPR_2P!$B$2,SEG_6P!$B$2,SOL_4P!$B$2,RW_2P!$B$2,RW2_4P!$B$2,FLAP_4P!$B$2,TUBE_4P!$B$2),2))</f>
        <v>2</v>
      </c>
      <c r="E33" s="25" t="n">
        <f aca="false">IF($A33="","",VTL_Plan!$J33)</f>
        <v>46157.3657407407</v>
      </c>
      <c r="F33" s="25" t="n">
        <f aca="false">IF($A33="","",QC_Plan!$M33)</f>
        <v>46380.3816137566</v>
      </c>
      <c r="G33" s="26" t="s">
        <v>154</v>
      </c>
      <c r="H33" s="9" t="str">
        <f aca="false">IF($A33="","",TEXT(QC_Plan!M33,"MMM-YYYY"))</f>
        <v>Dec-2026</v>
      </c>
      <c r="I33" s="26" t="s">
        <v>147</v>
      </c>
      <c r="J33" s="27" t="n">
        <f aca="false">IF($A33="","",F33+30)</f>
        <v>46410.3816137566</v>
      </c>
      <c r="K33" s="9" t="s">
        <v>159</v>
      </c>
    </row>
    <row r="34" customFormat="false" ht="15" hidden="false" customHeight="true" outlineLevel="0" collapsed="false">
      <c r="A34" s="4" t="s">
        <v>185</v>
      </c>
      <c r="B34" s="22" t="n">
        <v>57</v>
      </c>
      <c r="C34" s="23" t="s">
        <v>25</v>
      </c>
      <c r="D34" s="24" t="n">
        <f aca="false">IF($A34="","",IFERROR(CHOOSE(MATCH($C34,Settings!$L$4:$L$10,0),OPR_2P!$B$2,SEG_6P!$B$2,SOL_4P!$B$2,RW_2P!$B$2,RW2_4P!$B$2,FLAP_4P!$B$2,TUBE_4P!$B$2),2))</f>
        <v>2</v>
      </c>
      <c r="E34" s="25" t="n">
        <f aca="false">IF($A34="","",VTL_Plan!$J34)</f>
        <v>46165.6064814815</v>
      </c>
      <c r="F34" s="25" t="n">
        <f aca="false">IF($A34="","",QC_Plan!$M34)</f>
        <v>46388.628968254</v>
      </c>
      <c r="G34" s="26" t="s">
        <v>161</v>
      </c>
      <c r="H34" s="9" t="str">
        <f aca="false">IF($A34="","",TEXT(QC_Plan!M34,"MMM-YYYY"))</f>
        <v>Jan-2027</v>
      </c>
      <c r="I34" s="26" t="s">
        <v>147</v>
      </c>
      <c r="J34" s="27" t="n">
        <f aca="false">IF($A34="","",F34+30)</f>
        <v>46418.628968254</v>
      </c>
      <c r="K34" s="9" t="s">
        <v>148</v>
      </c>
    </row>
    <row r="35" customFormat="false" ht="15" hidden="false" customHeight="true" outlineLevel="0" collapsed="false">
      <c r="A35" s="4" t="s">
        <v>186</v>
      </c>
      <c r="B35" s="22" t="n">
        <v>25</v>
      </c>
      <c r="C35" s="23" t="s">
        <v>25</v>
      </c>
      <c r="D35" s="24" t="n">
        <f aca="false">IF($A35="","",IFERROR(CHOOSE(MATCH($C35,Settings!$L$4:$L$10,0),OPR_2P!$B$2,SEG_6P!$B$2,SOL_4P!$B$2,RW_2P!$B$2,RW2_4P!$B$2,FLAP_4P!$B$2,TUBE_4P!$B$2),2))</f>
        <v>2</v>
      </c>
      <c r="E35" s="25" t="n">
        <f aca="false">IF($A35="","",VTL_Plan!$J35)</f>
        <v>46158.1990740741</v>
      </c>
      <c r="F35" s="25" t="n">
        <f aca="false">IF($A35="","",QC_Plan!$M35)</f>
        <v>46390.1104497355</v>
      </c>
      <c r="G35" s="26" t="s">
        <v>154</v>
      </c>
      <c r="H35" s="9" t="str">
        <f aca="false">IF($A35="","",TEXT(QC_Plan!M35,"MMM-YYYY"))</f>
        <v>Jan-2027</v>
      </c>
      <c r="I35" s="26" t="s">
        <v>150</v>
      </c>
      <c r="J35" s="27" t="n">
        <f aca="false">IF($A35="","",F35+30)</f>
        <v>46420.1104497355</v>
      </c>
      <c r="K35" s="9" t="s">
        <v>151</v>
      </c>
    </row>
    <row r="36" customFormat="false" ht="15" hidden="false" customHeight="true" outlineLevel="0" collapsed="false">
      <c r="A36" s="4" t="s">
        <v>187</v>
      </c>
      <c r="B36" s="22" t="n">
        <v>70</v>
      </c>
      <c r="C36" s="23" t="s">
        <v>15</v>
      </c>
      <c r="D36" s="24" t="n">
        <f aca="false">IF($A36="","",IFERROR(CHOOSE(MATCH($C36,Settings!$L$4:$L$10,0),OPR_2P!$B$2,SEG_6P!$B$2,SOL_4P!$B$2,RW_2P!$B$2,RW2_4P!$B$2,FLAP_4P!$B$2,TUBE_4P!$B$2),2))</f>
        <v>2</v>
      </c>
      <c r="E36" s="25" t="n">
        <f aca="false">IF($A36="","",VTL_Plan!$J36)</f>
        <v>46170.8842592593</v>
      </c>
      <c r="F36" s="25" t="n">
        <f aca="false">IF($A36="","",QC_Plan!$M36)</f>
        <v>46397.5178571429</v>
      </c>
      <c r="G36" s="26" t="s">
        <v>161</v>
      </c>
      <c r="H36" s="9" t="str">
        <f aca="false">IF($A36="","",TEXT(QC_Plan!M36,"MMM-YYYY"))</f>
        <v>Jan-2027</v>
      </c>
      <c r="I36" s="26" t="s">
        <v>147</v>
      </c>
      <c r="J36" s="27" t="n">
        <f aca="false">IF($A36="","",F36+30)</f>
        <v>46427.5178571429</v>
      </c>
      <c r="K36" s="9" t="s">
        <v>148</v>
      </c>
    </row>
    <row r="37" customFormat="false" ht="15" hidden="false" customHeight="true" outlineLevel="0" collapsed="false">
      <c r="A37" s="4" t="s">
        <v>188</v>
      </c>
      <c r="B37" s="22" t="n">
        <v>15</v>
      </c>
      <c r="C37" s="23" t="s">
        <v>25</v>
      </c>
      <c r="D37" s="24" t="n">
        <f aca="false">IF($A37="","",IFERROR(CHOOSE(MATCH($C37,Settings!$L$4:$L$10,0),OPR_2P!$B$2,SEG_6P!$B$2,SOL_4P!$B$2,RW_2P!$B$2,RW2_4P!$B$2,FLAP_4P!$B$2,TUBE_4P!$B$2),2))</f>
        <v>2</v>
      </c>
      <c r="E37" s="25" t="n">
        <f aca="false">IF($A37="","",VTL_Plan!$J37)</f>
        <v>46160.5138888889</v>
      </c>
      <c r="F37" s="25" t="n">
        <f aca="false">IF($A37="","",QC_Plan!$M37)</f>
        <v>46398.166005291</v>
      </c>
      <c r="G37" s="26" t="s">
        <v>154</v>
      </c>
      <c r="H37" s="9" t="str">
        <f aca="false">IF($A37="","",TEXT(QC_Plan!M37,"MMM-YYYY"))</f>
        <v>Jan-2027</v>
      </c>
      <c r="I37" s="26" t="s">
        <v>147</v>
      </c>
      <c r="J37" s="27" t="n">
        <f aca="false">IF($A37="","",F37+30)</f>
        <v>46428.166005291</v>
      </c>
      <c r="K37" s="9" t="s">
        <v>155</v>
      </c>
    </row>
    <row r="38" customFormat="false" ht="15" hidden="false" customHeight="true" outlineLevel="0" collapsed="false">
      <c r="A38" s="4" t="s">
        <v>189</v>
      </c>
      <c r="B38" s="22" t="n">
        <v>28</v>
      </c>
      <c r="C38" s="23" t="s">
        <v>15</v>
      </c>
      <c r="D38" s="24" t="n">
        <f aca="false">IF($A38="","",IFERROR(CHOOSE(MATCH($C38,Settings!$L$4:$L$10,0),OPR_2P!$B$2,SEG_6P!$B$2,SOL_4P!$B$2,RW_2P!$B$2,RW2_4P!$B$2,FLAP_4P!$B$2,TUBE_4P!$B$2),2))</f>
        <v>2</v>
      </c>
      <c r="E38" s="25" t="n">
        <f aca="false">IF($A38="","",VTL_Plan!$J38)</f>
        <v>46161.9027777778</v>
      </c>
      <c r="F38" s="25" t="n">
        <f aca="false">IF($A38="","",QC_Plan!$M38)</f>
        <v>46399.7400793651</v>
      </c>
      <c r="G38" s="26" t="s">
        <v>146</v>
      </c>
      <c r="H38" s="9" t="str">
        <f aca="false">IF($A38="","",TEXT(QC_Plan!M38,"MMM-YYYY"))</f>
        <v>Jan-2027</v>
      </c>
      <c r="I38" s="26" t="s">
        <v>157</v>
      </c>
      <c r="J38" s="27" t="n">
        <f aca="false">IF($A38="","",F38+30)</f>
        <v>46429.7400793651</v>
      </c>
      <c r="K38" s="9" t="s">
        <v>151</v>
      </c>
    </row>
    <row r="39" customFormat="false" ht="15" hidden="false" customHeight="true" outlineLevel="0" collapsed="false">
      <c r="A39" s="4" t="s">
        <v>190</v>
      </c>
      <c r="B39" s="22" t="n">
        <v>57</v>
      </c>
      <c r="C39" s="23" t="s">
        <v>22</v>
      </c>
      <c r="D39" s="24" t="n">
        <f aca="false">IF($A39="","",IFERROR(CHOOSE(MATCH($C39,Settings!$L$4:$L$10,0),OPR_2P!$B$2,SEG_6P!$B$2,SOL_4P!$B$2,RW_2P!$B$2,RW2_4P!$B$2,FLAP_4P!$B$2,TUBE_4P!$B$2),2))</f>
        <v>4</v>
      </c>
      <c r="E39" s="25" t="n">
        <f aca="false">IF($A39="","",VTL_Plan!$J39)</f>
        <v>46177.6435185185</v>
      </c>
      <c r="F39" s="25" t="n">
        <f aca="false">IF($A39="","",QC_Plan!$M39)</f>
        <v>46427.7228835979</v>
      </c>
      <c r="G39" s="26" t="s">
        <v>161</v>
      </c>
      <c r="H39" s="9" t="str">
        <f aca="false">IF($A39="","",TEXT(QC_Plan!M39,"MMM-YYYY"))</f>
        <v>Feb-2027</v>
      </c>
      <c r="I39" s="26" t="s">
        <v>147</v>
      </c>
      <c r="J39" s="27" t="n">
        <f aca="false">IF($A39="","",F39+30)</f>
        <v>46457.7228835979</v>
      </c>
      <c r="K39" s="9" t="s">
        <v>159</v>
      </c>
    </row>
    <row r="40" customFormat="false" ht="15" hidden="false" customHeight="true" outlineLevel="0" collapsed="false">
      <c r="A40" s="4" t="s">
        <v>191</v>
      </c>
      <c r="B40" s="22" t="n">
        <v>20</v>
      </c>
      <c r="C40" s="23" t="s">
        <v>25</v>
      </c>
      <c r="D40" s="24" t="n">
        <f aca="false">IF($A40="","",IFERROR(CHOOSE(MATCH($C40,Settings!$L$4:$L$10,0),OPR_2P!$B$2,SEG_6P!$B$2,SOL_4P!$B$2,RW_2P!$B$2,RW2_4P!$B$2,FLAP_4P!$B$2,TUBE_4P!$B$2),2))</f>
        <v>2</v>
      </c>
      <c r="E40" s="25" t="n">
        <f aca="false">IF($A40="","",VTL_Plan!$J40)</f>
        <v>46164.4953703704</v>
      </c>
      <c r="F40" s="25" t="n">
        <f aca="false">IF($A40="","",QC_Plan!$M40)</f>
        <v>46429.4821428571</v>
      </c>
      <c r="G40" s="26" t="s">
        <v>154</v>
      </c>
      <c r="H40" s="9" t="str">
        <f aca="false">IF($A40="","",TEXT(QC_Plan!M40,"MMM-YYYY"))</f>
        <v>Feb-2027</v>
      </c>
      <c r="I40" s="26" t="s">
        <v>147</v>
      </c>
      <c r="J40" s="27" t="n">
        <f aca="false">IF($A40="","",F40+30)</f>
        <v>46459.4821428571</v>
      </c>
      <c r="K40" s="9" t="s">
        <v>148</v>
      </c>
    </row>
    <row r="41" customFormat="false" ht="15" hidden="false" customHeight="true" outlineLevel="0" collapsed="false">
      <c r="A41" s="4" t="s">
        <v>192</v>
      </c>
      <c r="B41" s="22" t="n">
        <v>34</v>
      </c>
      <c r="C41" s="23" t="s">
        <v>25</v>
      </c>
      <c r="D41" s="24" t="n">
        <f aca="false">IF($A41="","",IFERROR(CHOOSE(MATCH($C41,Settings!$L$4:$L$10,0),OPR_2P!$B$2,SEG_6P!$B$2,SOL_4P!$B$2,RW_2P!$B$2,RW2_4P!$B$2,FLAP_4P!$B$2,TUBE_4P!$B$2),2))</f>
        <v>2</v>
      </c>
      <c r="E41" s="25" t="n">
        <f aca="false">IF($A41="","",VTL_Plan!$J41)</f>
        <v>46158.1064814815</v>
      </c>
      <c r="F41" s="25" t="n">
        <f aca="false">IF($A41="","",QC_Plan!$M41)</f>
        <v>46432.0747354497</v>
      </c>
      <c r="G41" s="26" t="s">
        <v>146</v>
      </c>
      <c r="H41" s="9" t="str">
        <f aca="false">IF($A41="","",TEXT(QC_Plan!M41,"MMM-YYYY"))</f>
        <v>Feb-2027</v>
      </c>
      <c r="I41" s="26" t="s">
        <v>150</v>
      </c>
      <c r="J41" s="27" t="n">
        <f aca="false">IF($A41="","",F41+30)</f>
        <v>46462.0747354497</v>
      </c>
      <c r="K41" s="9" t="s">
        <v>155</v>
      </c>
    </row>
    <row r="42" customFormat="false" ht="15" hidden="false" customHeight="true" outlineLevel="0" collapsed="false">
      <c r="A42" s="4" t="s">
        <v>193</v>
      </c>
      <c r="B42" s="22" t="n">
        <v>54</v>
      </c>
      <c r="C42" s="23" t="s">
        <v>25</v>
      </c>
      <c r="D42" s="24" t="n">
        <f aca="false">IF($A42="","",IFERROR(CHOOSE(MATCH($C42,Settings!$L$4:$L$10,0),OPR_2P!$B$2,SEG_6P!$B$2,SOL_4P!$B$2,RW_2P!$B$2,RW2_4P!$B$2,FLAP_4P!$B$2,TUBE_4P!$B$2),2))</f>
        <v>2</v>
      </c>
      <c r="E42" s="25" t="n">
        <f aca="false">IF($A42="","",VTL_Plan!$J42)</f>
        <v>46188.1990740741</v>
      </c>
      <c r="F42" s="25" t="n">
        <f aca="false">IF($A42="","",QC_Plan!$M42)</f>
        <v>46438.371031746</v>
      </c>
      <c r="G42" s="26" t="s">
        <v>161</v>
      </c>
      <c r="H42" s="9" t="str">
        <f aca="false">IF($A42="","",TEXT(QC_Plan!M42,"MMM-YYYY"))</f>
        <v>Feb-2027</v>
      </c>
      <c r="I42" s="26" t="s">
        <v>147</v>
      </c>
      <c r="J42" s="27" t="n">
        <f aca="false">IF($A42="","",F42+30)</f>
        <v>46468.371031746</v>
      </c>
      <c r="K42" s="9" t="s">
        <v>151</v>
      </c>
    </row>
    <row r="43" customFormat="false" ht="15" hidden="false" customHeight="true" outlineLevel="0" collapsed="false">
      <c r="A43" s="4" t="s">
        <v>194</v>
      </c>
      <c r="B43" s="22" t="n">
        <v>9</v>
      </c>
      <c r="C43" s="23" t="s">
        <v>25</v>
      </c>
      <c r="D43" s="24" t="n">
        <f aca="false">IF($A43="","",IFERROR(CHOOSE(MATCH($C43,Settings!$L$4:$L$10,0),OPR_2P!$B$2,SEG_6P!$B$2,SOL_4P!$B$2,RW_2P!$B$2,RW2_4P!$B$2,FLAP_4P!$B$2,TUBE_4P!$B$2),2))</f>
        <v>2</v>
      </c>
      <c r="E43" s="25" t="n">
        <f aca="false">IF($A43="","",VTL_Plan!$J43)</f>
        <v>46166.3472222222</v>
      </c>
      <c r="F43" s="25" t="n">
        <f aca="false">IF($A43="","",QC_Plan!$M43)</f>
        <v>46438.833994709</v>
      </c>
      <c r="G43" s="26" t="s">
        <v>154</v>
      </c>
      <c r="H43" s="9" t="str">
        <f aca="false">IF($A43="","",TEXT(QC_Plan!M43,"MMM-YYYY"))</f>
        <v>Feb-2027</v>
      </c>
      <c r="I43" s="26" t="s">
        <v>147</v>
      </c>
      <c r="J43" s="27" t="n">
        <f aca="false">IF($A43="","",F43+30)</f>
        <v>46468.833994709</v>
      </c>
      <c r="K43" s="9" t="s">
        <v>159</v>
      </c>
    </row>
    <row r="44" customFormat="false" ht="15" hidden="false" customHeight="true" outlineLevel="0" collapsed="false">
      <c r="A44" s="4" t="s">
        <v>195</v>
      </c>
      <c r="B44" s="22" t="n">
        <v>63</v>
      </c>
      <c r="C44" s="23" t="s">
        <v>25</v>
      </c>
      <c r="D44" s="24" t="n">
        <f aca="false">IF($A44="","",IFERROR(CHOOSE(MATCH($C44,Settings!$L$4:$L$10,0),OPR_2P!$B$2,SEG_6P!$B$2,SOL_4P!$B$2,RW_2P!$B$2,RW2_4P!$B$2,FLAP_4P!$B$2,TUBE_4P!$B$2),2))</f>
        <v>2</v>
      </c>
      <c r="E44" s="25" t="n">
        <f aca="false">IF($A44="","",VTL_Plan!$J44)</f>
        <v>46193.1990740741</v>
      </c>
      <c r="F44" s="25" t="n">
        <f aca="false">IF($A44="","",QC_Plan!$M44)</f>
        <v>46443.9265873016</v>
      </c>
      <c r="G44" s="26" t="s">
        <v>161</v>
      </c>
      <c r="H44" s="9" t="str">
        <f aca="false">IF($A44="","",TEXT(QC_Plan!M44,"MMM-YYYY"))</f>
        <v>Feb-2027</v>
      </c>
      <c r="I44" s="26" t="s">
        <v>147</v>
      </c>
      <c r="J44" s="27" t="n">
        <f aca="false">IF($A44="","",F44+30)</f>
        <v>46473.9265873016</v>
      </c>
      <c r="K44" s="9" t="s">
        <v>148</v>
      </c>
    </row>
    <row r="45" customFormat="false" ht="15" hidden="false" customHeight="true" outlineLevel="0" collapsed="false">
      <c r="A45" s="4" t="s">
        <v>196</v>
      </c>
      <c r="B45" s="22" t="n">
        <v>20</v>
      </c>
      <c r="C45" s="23" t="s">
        <v>25</v>
      </c>
      <c r="D45" s="24" t="n">
        <f aca="false">IF($A45="","",IFERROR(CHOOSE(MATCH($C45,Settings!$L$4:$L$10,0),OPR_2P!$B$2,SEG_6P!$B$2,SOL_4P!$B$2,RW_2P!$B$2,RW2_4P!$B$2,FLAP_4P!$B$2,TUBE_4P!$B$2),2))</f>
        <v>2</v>
      </c>
      <c r="E45" s="25" t="n">
        <f aca="false">IF($A45="","",VTL_Plan!$J45)</f>
        <v>46167.1805555556</v>
      </c>
      <c r="F45" s="25" t="n">
        <f aca="false">IF($A45="","",QC_Plan!$M45)</f>
        <v>46445.6858465608</v>
      </c>
      <c r="G45" s="26" t="s">
        <v>154</v>
      </c>
      <c r="H45" s="9" t="str">
        <f aca="false">IF($A45="","",TEXT(QC_Plan!M45,"MMM-YYYY"))</f>
        <v>Feb-2027</v>
      </c>
      <c r="I45" s="26" t="s">
        <v>150</v>
      </c>
      <c r="J45" s="27" t="n">
        <f aca="false">IF($A45="","",F45+30)</f>
        <v>46475.6858465608</v>
      </c>
      <c r="K45" s="9" t="s">
        <v>151</v>
      </c>
    </row>
    <row r="46" customFormat="false" ht="15" hidden="false" customHeight="true" outlineLevel="0" collapsed="false">
      <c r="A46" s="4" t="s">
        <v>197</v>
      </c>
      <c r="B46" s="22" t="n">
        <v>15</v>
      </c>
      <c r="C46" s="23" t="s">
        <v>25</v>
      </c>
      <c r="D46" s="24" t="n">
        <f aca="false">IF($A46="","",IFERROR(CHOOSE(MATCH($C46,Settings!$L$4:$L$10,0),OPR_2P!$B$2,SEG_6P!$B$2,SOL_4P!$B$2,RW_2P!$B$2,RW2_4P!$B$2,FLAP_4P!$B$2,TUBE_4P!$B$2),2))</f>
        <v>2</v>
      </c>
      <c r="E46" s="25" t="n">
        <f aca="false">IF($A46="","",VTL_Plan!$J46)</f>
        <v>46169.0324074074</v>
      </c>
      <c r="F46" s="25" t="n">
        <f aca="false">IF($A46="","",QC_Plan!$M46)</f>
        <v>46446.333994709</v>
      </c>
      <c r="G46" s="26" t="s">
        <v>154</v>
      </c>
      <c r="H46" s="9" t="str">
        <f aca="false">IF($A46="","",TEXT(QC_Plan!M46,"MMM-YYYY"))</f>
        <v>Feb-2027</v>
      </c>
      <c r="I46" s="26" t="s">
        <v>147</v>
      </c>
      <c r="J46" s="27" t="n">
        <f aca="false">IF($A46="","",F46+30)</f>
        <v>46476.333994709</v>
      </c>
      <c r="K46" s="9" t="s">
        <v>148</v>
      </c>
    </row>
    <row r="47" customFormat="false" ht="15" hidden="false" customHeight="true" outlineLevel="0" collapsed="false">
      <c r="A47" s="4" t="s">
        <v>198</v>
      </c>
      <c r="B47" s="22" t="n">
        <v>50</v>
      </c>
      <c r="C47" s="23" t="s">
        <v>22</v>
      </c>
      <c r="D47" s="24" t="n">
        <f aca="false">IF($A47="","",IFERROR(CHOOSE(MATCH($C47,Settings!$L$4:$L$10,0),OPR_2P!$B$2,SEG_6P!$B$2,SOL_4P!$B$2,RW_2P!$B$2,RW2_4P!$B$2,FLAP_4P!$B$2,TUBE_4P!$B$2),2))</f>
        <v>4</v>
      </c>
      <c r="E47" s="25" t="n">
        <f aca="false">IF($A47="","",VTL_Plan!$J47)</f>
        <v>46199.0324074074</v>
      </c>
      <c r="F47" s="25" t="n">
        <f aca="false">IF($A47="","",QC_Plan!$M47)</f>
        <v>46467.8419312169</v>
      </c>
      <c r="G47" s="26" t="s">
        <v>161</v>
      </c>
      <c r="H47" s="9" t="str">
        <f aca="false">IF($A47="","",TEXT(QC_Plan!M47,"MMM-YYYY"))</f>
        <v>Mar-2027</v>
      </c>
      <c r="I47" s="26" t="s">
        <v>147</v>
      </c>
      <c r="J47" s="27" t="n">
        <f aca="false">IF($A47="","",F47+30)</f>
        <v>46497.8419312169</v>
      </c>
      <c r="K47" s="9" t="s">
        <v>155</v>
      </c>
    </row>
    <row r="48" customFormat="false" ht="15" hidden="false" customHeight="true" outlineLevel="0" collapsed="false">
      <c r="A48" s="4" t="s">
        <v>199</v>
      </c>
      <c r="B48" s="22" t="n">
        <v>9</v>
      </c>
      <c r="C48" s="23" t="s">
        <v>25</v>
      </c>
      <c r="D48" s="24" t="n">
        <f aca="false">IF($A48="","",IFERROR(CHOOSE(MATCH($C48,Settings!$L$4:$L$10,0),OPR_2P!$B$2,SEG_6P!$B$2,SOL_4P!$B$2,RW_2P!$B$2,RW2_4P!$B$2,FLAP_4P!$B$2,TUBE_4P!$B$2),2))</f>
        <v>2</v>
      </c>
      <c r="E48" s="25" t="n">
        <f aca="false">IF($A48="","",VTL_Plan!$J48)</f>
        <v>46170.4212962963</v>
      </c>
      <c r="F48" s="25" t="n">
        <f aca="false">IF($A48="","",QC_Plan!$M48)</f>
        <v>46468.3048941799</v>
      </c>
      <c r="G48" s="26" t="s">
        <v>154</v>
      </c>
      <c r="H48" s="9" t="str">
        <f aca="false">IF($A48="","",TEXT(QC_Plan!M48,"MMM-YYYY"))</f>
        <v>Mar-2027</v>
      </c>
      <c r="I48" s="26" t="s">
        <v>157</v>
      </c>
      <c r="J48" s="27" t="n">
        <f aca="false">IF($A48="","",F48+30)</f>
        <v>46498.3048941799</v>
      </c>
      <c r="K48" s="9" t="s">
        <v>151</v>
      </c>
    </row>
    <row r="49" customFormat="false" ht="15" hidden="false" customHeight="true" outlineLevel="0" collapsed="false">
      <c r="A49" s="4" t="s">
        <v>200</v>
      </c>
      <c r="B49" s="22" t="n">
        <v>34</v>
      </c>
      <c r="C49" s="23" t="s">
        <v>22</v>
      </c>
      <c r="D49" s="24" t="n">
        <f aca="false">IF($A49="","",IFERROR(CHOOSE(MATCH($C49,Settings!$L$4:$L$10,0),OPR_2P!$B$2,SEG_6P!$B$2,SOL_4P!$B$2,RW_2P!$B$2,RW2_4P!$B$2,FLAP_4P!$B$2,TUBE_4P!$B$2),2))</f>
        <v>4</v>
      </c>
      <c r="E49" s="25" t="n">
        <f aca="false">IF($A49="","",VTL_Plan!$J49)</f>
        <v>46161.2546296296</v>
      </c>
      <c r="F49" s="25" t="n">
        <f aca="false">IF($A49="","",QC_Plan!$M49)</f>
        <v>46474.2308201058</v>
      </c>
      <c r="G49" s="26" t="s">
        <v>146</v>
      </c>
      <c r="H49" s="9" t="str">
        <f aca="false">IF($A49="","",TEXT(QC_Plan!M49,"MMM-YYYY"))</f>
        <v>Mar-2027</v>
      </c>
      <c r="I49" s="26" t="s">
        <v>147</v>
      </c>
      <c r="J49" s="27" t="n">
        <f aca="false">IF($A49="","",F49+30)</f>
        <v>46504.2308201058</v>
      </c>
      <c r="K49" s="9" t="s">
        <v>159</v>
      </c>
    </row>
    <row r="50" customFormat="false" ht="15" hidden="false" customHeight="true" outlineLevel="0" collapsed="false">
      <c r="A50" s="4" t="s">
        <v>201</v>
      </c>
      <c r="B50" s="22" t="n">
        <v>34</v>
      </c>
      <c r="C50" s="23" t="s">
        <v>22</v>
      </c>
      <c r="D50" s="24" t="n">
        <f aca="false">IF($A50="","",IFERROR(CHOOSE(MATCH($C50,Settings!$L$4:$L$10,0),OPR_2P!$B$2,SEG_6P!$B$2,SOL_4P!$B$2,RW_2P!$B$2,RW2_4P!$B$2,FLAP_4P!$B$2,TUBE_4P!$B$2),2))</f>
        <v>4</v>
      </c>
      <c r="E50" s="25" t="n">
        <f aca="false">IF($A50="","",VTL_Plan!$J50)</f>
        <v>46167.5509259259</v>
      </c>
      <c r="F50" s="25" t="n">
        <f aca="false">IF($A50="","",QC_Plan!$M50)</f>
        <v>46480.1567460317</v>
      </c>
      <c r="G50" s="26" t="s">
        <v>146</v>
      </c>
      <c r="H50" s="9" t="str">
        <f aca="false">IF($A50="","",TEXT(QC_Plan!M50,"MMM-YYYY"))</f>
        <v>Apr-2027</v>
      </c>
      <c r="I50" s="26" t="s">
        <v>147</v>
      </c>
      <c r="J50" s="27" t="n">
        <f aca="false">IF($A50="","",F50+30)</f>
        <v>46510.1567460317</v>
      </c>
      <c r="K50" s="9" t="s">
        <v>148</v>
      </c>
    </row>
    <row r="51" customFormat="false" ht="15" hidden="false" customHeight="true" outlineLevel="0" collapsed="false">
      <c r="A51" s="4" t="s">
        <v>202</v>
      </c>
      <c r="B51" s="22" t="n">
        <v>25</v>
      </c>
      <c r="C51" s="23" t="s">
        <v>22</v>
      </c>
      <c r="D51" s="24" t="n">
        <f aca="false">IF($A51="","",IFERROR(CHOOSE(MATCH($C51,Settings!$L$4:$L$10,0),OPR_2P!$B$2,SEG_6P!$B$2,SOL_4P!$B$2,RW_2P!$B$2,RW2_4P!$B$2,FLAP_4P!$B$2,TUBE_4P!$B$2),2))</f>
        <v>4</v>
      </c>
      <c r="E51" s="25" t="n">
        <f aca="false">IF($A51="","",VTL_Plan!$J51)</f>
        <v>46171.2546296296</v>
      </c>
      <c r="F51" s="25" t="n">
        <f aca="false">IF($A51="","",QC_Plan!$M51)</f>
        <v>46484.416005291</v>
      </c>
      <c r="G51" s="26" t="s">
        <v>154</v>
      </c>
      <c r="H51" s="9" t="str">
        <f aca="false">IF($A51="","",TEXT(QC_Plan!M51,"MMM-YYYY"))</f>
        <v>Apr-2027</v>
      </c>
      <c r="I51" s="26" t="s">
        <v>150</v>
      </c>
      <c r="J51" s="27" t="n">
        <f aca="false">IF($A51="","",F51+30)</f>
        <v>46514.416005291</v>
      </c>
      <c r="K51" s="9" t="s">
        <v>155</v>
      </c>
    </row>
    <row r="52" customFormat="false" ht="15" hidden="false" customHeight="true" outlineLevel="0" collapsed="false">
      <c r="A52" s="4" t="s">
        <v>203</v>
      </c>
      <c r="B52" s="22" t="n">
        <v>34</v>
      </c>
      <c r="C52" s="23" t="s">
        <v>15</v>
      </c>
      <c r="D52" s="24" t="n">
        <f aca="false">IF($A52="","",IFERROR(CHOOSE(MATCH($C52,Settings!$L$4:$L$10,0),OPR_2P!$B$2,SEG_6P!$B$2,SOL_4P!$B$2,RW_2P!$B$2,RW2_4P!$B$2,FLAP_4P!$B$2,TUBE_4P!$B$2),2))</f>
        <v>2</v>
      </c>
      <c r="E52" s="25" t="n">
        <f aca="false">IF($A52="","",VTL_Plan!$J52)</f>
        <v>46173.8472222222</v>
      </c>
      <c r="F52" s="25" t="n">
        <f aca="false">IF($A52="","",QC_Plan!$M52)</f>
        <v>46486.916005291</v>
      </c>
      <c r="G52" s="26" t="s">
        <v>146</v>
      </c>
      <c r="H52" s="9" t="str">
        <f aca="false">IF($A52="","",TEXT(QC_Plan!M52,"MMM-YYYY"))</f>
        <v>Apr-2027</v>
      </c>
      <c r="I52" s="26" t="s">
        <v>147</v>
      </c>
      <c r="J52" s="27" t="n">
        <f aca="false">IF($A52="","",F52+30)</f>
        <v>46516.916005291</v>
      </c>
      <c r="K52" s="9" t="s">
        <v>151</v>
      </c>
    </row>
    <row r="53" customFormat="false" ht="15" hidden="false" customHeight="true" outlineLevel="0" collapsed="false">
      <c r="A53" s="4" t="s">
        <v>204</v>
      </c>
      <c r="B53" s="22" t="n">
        <v>17</v>
      </c>
      <c r="C53" s="23" t="s">
        <v>22</v>
      </c>
      <c r="D53" s="24" t="n">
        <f aca="false">IF($A53="","",IFERROR(CHOOSE(MATCH($C53,Settings!$L$4:$L$10,0),OPR_2P!$B$2,SEG_6P!$B$2,SOL_4P!$B$2,RW_2P!$B$2,RW2_4P!$B$2,FLAP_4P!$B$2,TUBE_4P!$B$2),2))</f>
        <v>4</v>
      </c>
      <c r="E53" s="25" t="n">
        <f aca="false">IF($A53="","",VTL_Plan!$J53)</f>
        <v>46175.8842592593</v>
      </c>
      <c r="F53" s="25" t="n">
        <f aca="false">IF($A53="","",QC_Plan!$M53)</f>
        <v>46489.6937830688</v>
      </c>
      <c r="G53" s="26" t="s">
        <v>154</v>
      </c>
      <c r="H53" s="9" t="str">
        <f aca="false">IF($A53="","",TEXT(QC_Plan!M53,"MMM-YYYY"))</f>
        <v>Apr-2027</v>
      </c>
      <c r="I53" s="26" t="s">
        <v>147</v>
      </c>
      <c r="J53" s="27" t="n">
        <f aca="false">IF($A53="","",F53+30)</f>
        <v>46519.6937830688</v>
      </c>
      <c r="K53" s="9" t="s">
        <v>159</v>
      </c>
    </row>
    <row r="54" customFormat="false" ht="15" hidden="false" customHeight="true" outlineLevel="0" collapsed="false">
      <c r="A54" s="4" t="s">
        <v>205</v>
      </c>
      <c r="B54" s="22" t="n">
        <v>25</v>
      </c>
      <c r="C54" s="23" t="s">
        <v>25</v>
      </c>
      <c r="D54" s="24" t="n">
        <f aca="false">IF($A54="","",IFERROR(CHOOSE(MATCH($C54,Settings!$L$4:$L$10,0),OPR_2P!$B$2,SEG_6P!$B$2,SOL_4P!$B$2,RW_2P!$B$2,RW2_4P!$B$2,FLAP_4P!$B$2,TUBE_4P!$B$2),2))</f>
        <v>2</v>
      </c>
      <c r="E54" s="25" t="n">
        <f aca="false">IF($A54="","",VTL_Plan!$J54)</f>
        <v>46179.0324074074</v>
      </c>
      <c r="F54" s="25" t="n">
        <f aca="false">IF($A54="","",QC_Plan!$M54)</f>
        <v>46491.1752645503</v>
      </c>
      <c r="G54" s="26" t="s">
        <v>154</v>
      </c>
      <c r="H54" s="9" t="str">
        <f aca="false">IF($A54="","",TEXT(QC_Plan!M54,"MMM-YYYY"))</f>
        <v>Apr-2027</v>
      </c>
      <c r="I54" s="26" t="s">
        <v>147</v>
      </c>
      <c r="J54" s="27" t="n">
        <f aca="false">IF($A54="","",F54+30)</f>
        <v>46521.1752645503</v>
      </c>
      <c r="K54" s="9" t="s">
        <v>148</v>
      </c>
    </row>
    <row r="55" customFormat="false" ht="15" hidden="false" customHeight="true" outlineLevel="0" collapsed="false">
      <c r="A55" s="4" t="s">
        <v>206</v>
      </c>
      <c r="B55" s="22" t="n">
        <v>25</v>
      </c>
      <c r="C55" s="23" t="s">
        <v>15</v>
      </c>
      <c r="D55" s="24" t="n">
        <f aca="false">IF($A55="","",IFERROR(CHOOSE(MATCH($C55,Settings!$L$4:$L$10,0),OPR_2P!$B$2,SEG_6P!$B$2,SOL_4P!$B$2,RW_2P!$B$2,RW2_4P!$B$2,FLAP_4P!$B$2,TUBE_4P!$B$2),2))</f>
        <v>2</v>
      </c>
      <c r="E55" s="25" t="n">
        <f aca="false">IF($A55="","",VTL_Plan!$J55)</f>
        <v>46181.3472222222</v>
      </c>
      <c r="F55" s="25" t="n">
        <f aca="false">IF($A55="","",QC_Plan!$M55)</f>
        <v>46493.6752645503</v>
      </c>
      <c r="G55" s="26" t="s">
        <v>154</v>
      </c>
      <c r="H55" s="9" t="str">
        <f aca="false">IF($A55="","",TEXT(QC_Plan!M55,"MMM-YYYY"))</f>
        <v>Apr-2027</v>
      </c>
      <c r="I55" s="26" t="s">
        <v>150</v>
      </c>
      <c r="J55" s="27" t="n">
        <f aca="false">IF($A55="","",F55+30)</f>
        <v>46523.6752645503</v>
      </c>
      <c r="K55" s="9" t="s">
        <v>151</v>
      </c>
    </row>
    <row r="56" customFormat="false" ht="15" hidden="false" customHeight="true" outlineLevel="0" collapsed="false">
      <c r="A56" s="4" t="s">
        <v>207</v>
      </c>
      <c r="B56" s="22" t="n">
        <v>15</v>
      </c>
      <c r="C56" s="23" t="s">
        <v>15</v>
      </c>
      <c r="D56" s="24" t="n">
        <f aca="false">IF($A56="","",IFERROR(CHOOSE(MATCH($C56,Settings!$L$4:$L$10,0),OPR_2P!$B$2,SEG_6P!$B$2,SOL_4P!$B$2,RW_2P!$B$2,RW2_4P!$B$2,FLAP_4P!$B$2,TUBE_4P!$B$2),2))</f>
        <v>2</v>
      </c>
      <c r="E56" s="25" t="n">
        <f aca="false">IF($A56="","",VTL_Plan!$J56)</f>
        <v>46183.662037037</v>
      </c>
      <c r="F56" s="25" t="n">
        <f aca="false">IF($A56="","",QC_Plan!$M56)</f>
        <v>46494.878968254</v>
      </c>
      <c r="G56" s="26" t="s">
        <v>154</v>
      </c>
      <c r="H56" s="9" t="str">
        <f aca="false">IF($A56="","",TEXT(QC_Plan!M56,"MMM-YYYY"))</f>
        <v>Apr-2027</v>
      </c>
      <c r="I56" s="26" t="s">
        <v>147</v>
      </c>
      <c r="J56" s="27" t="n">
        <f aca="false">IF($A56="","",F56+30)</f>
        <v>46524.878968254</v>
      </c>
      <c r="K56" s="9" t="s">
        <v>148</v>
      </c>
    </row>
    <row r="57" customFormat="false" ht="15" hidden="false" customHeight="true" outlineLevel="0" collapsed="false">
      <c r="A57" s="4" t="s">
        <v>208</v>
      </c>
      <c r="B57" s="22" t="n">
        <v>34</v>
      </c>
      <c r="C57" s="23" t="s">
        <v>19</v>
      </c>
      <c r="D57" s="24" t="n">
        <f aca="false">IF($A57="","",IFERROR(CHOOSE(MATCH($C57,Settings!$L$4:$L$10,0),OPR_2P!$B$2,SEG_6P!$B$2,SOL_4P!$B$2,RW_2P!$B$2,RW2_4P!$B$2,FLAP_4P!$B$2,TUBE_4P!$B$2),2))</f>
        <v>6</v>
      </c>
      <c r="E57" s="25" t="n">
        <f aca="false">IF($A57="","",VTL_Plan!$J57)</f>
        <v>46176.9953703704</v>
      </c>
      <c r="F57" s="25" t="n">
        <f aca="false">IF($A57="","",QC_Plan!$M57)</f>
        <v>46524.4986772487</v>
      </c>
      <c r="G57" s="26" t="s">
        <v>146</v>
      </c>
      <c r="H57" s="9" t="str">
        <f aca="false">IF($A57="","",TEXT(QC_Plan!M57,"MMM-YYYY"))</f>
        <v>May-2027</v>
      </c>
      <c r="I57" s="26" t="s">
        <v>147</v>
      </c>
      <c r="J57" s="27" t="n">
        <f aca="false">IF($A57="","",F57+30)</f>
        <v>46554.4986772487</v>
      </c>
      <c r="K57" s="9" t="s">
        <v>155</v>
      </c>
    </row>
    <row r="58" customFormat="false" ht="15" hidden="false" customHeight="true" outlineLevel="0" collapsed="false">
      <c r="A58" s="4" t="s">
        <v>209</v>
      </c>
      <c r="B58" s="22" t="n">
        <v>34</v>
      </c>
      <c r="C58" s="23" t="s">
        <v>15</v>
      </c>
      <c r="D58" s="24" t="n">
        <f aca="false">IF($A58="","",IFERROR(CHOOSE(MATCH($C58,Settings!$L$4:$L$10,0),OPR_2P!$B$2,SEG_6P!$B$2,SOL_4P!$B$2,RW_2P!$B$2,RW2_4P!$B$2,FLAP_4P!$B$2,TUBE_4P!$B$2),2))</f>
        <v>2</v>
      </c>
      <c r="E58" s="25" t="n">
        <f aca="false">IF($A58="","",VTL_Plan!$J58)</f>
        <v>46186.4398148148</v>
      </c>
      <c r="F58" s="25" t="n">
        <f aca="false">IF($A58="","",QC_Plan!$M58)</f>
        <v>46526.9986772487</v>
      </c>
      <c r="G58" s="26" t="s">
        <v>146</v>
      </c>
      <c r="H58" s="9" t="str">
        <f aca="false">IF($A58="","",TEXT(QC_Plan!M58,"MMM-YYYY"))</f>
        <v>May-2027</v>
      </c>
      <c r="I58" s="26" t="s">
        <v>157</v>
      </c>
      <c r="J58" s="27" t="n">
        <f aca="false">IF($A58="","",F58+30)</f>
        <v>46556.9986772487</v>
      </c>
      <c r="K58" s="9" t="s">
        <v>151</v>
      </c>
    </row>
    <row r="59" customFormat="false" ht="15" hidden="false" customHeight="true" outlineLevel="0" collapsed="false">
      <c r="A59" s="4" t="s">
        <v>210</v>
      </c>
      <c r="B59" s="22" t="n">
        <v>54</v>
      </c>
      <c r="C59" s="23" t="s">
        <v>15</v>
      </c>
      <c r="D59" s="24" t="n">
        <f aca="false">IF($A59="","",IFERROR(CHOOSE(MATCH($C59,Settings!$L$4:$L$10,0),OPR_2P!$B$2,SEG_6P!$B$2,SOL_4P!$B$2,RW_2P!$B$2,RW2_4P!$B$2,FLAP_4P!$B$2,TUBE_4P!$B$2),2))</f>
        <v>2</v>
      </c>
      <c r="E59" s="25" t="n">
        <f aca="false">IF($A59="","",VTL_Plan!$J59)</f>
        <v>46208.2916666667</v>
      </c>
      <c r="F59" s="25" t="n">
        <f aca="false">IF($A59="","",QC_Plan!$M59)</f>
        <v>46533.2023809524</v>
      </c>
      <c r="G59" s="26" t="s">
        <v>161</v>
      </c>
      <c r="H59" s="9" t="str">
        <f aca="false">IF($A59="","",TEXT(QC_Plan!M59,"MMM-YYYY"))</f>
        <v>May-2027</v>
      </c>
      <c r="I59" s="26" t="s">
        <v>147</v>
      </c>
      <c r="J59" s="27" t="n">
        <f aca="false">IF($A59="","",F59+30)</f>
        <v>46563.2023809524</v>
      </c>
      <c r="K59" s="9" t="s">
        <v>159</v>
      </c>
    </row>
    <row r="60" customFormat="false" ht="15" hidden="false" customHeight="true" outlineLevel="0" collapsed="false">
      <c r="A60" s="4" t="s">
        <v>211</v>
      </c>
      <c r="B60" s="22" t="n">
        <v>50</v>
      </c>
      <c r="C60" s="23" t="s">
        <v>19</v>
      </c>
      <c r="D60" s="24" t="n">
        <f aca="false">IF($A60="","",IFERROR(CHOOSE(MATCH($C60,Settings!$L$4:$L$10,0),OPR_2P!$B$2,SEG_6P!$B$2,SOL_4P!$B$2,RW_2P!$B$2,RW2_4P!$B$2,FLAP_4P!$B$2,TUBE_4P!$B$2),2))</f>
        <v>6</v>
      </c>
      <c r="E60" s="25" t="n">
        <f aca="false">IF($A60="","",VTL_Plan!$J60)</f>
        <v>46213.2916666667</v>
      </c>
      <c r="F60" s="25" t="n">
        <f aca="false">IF($A60="","",QC_Plan!$M60)</f>
        <v>46586.5324074074</v>
      </c>
      <c r="G60" s="26" t="s">
        <v>161</v>
      </c>
      <c r="H60" s="9" t="str">
        <f aca="false">IF($A60="","",TEXT(QC_Plan!M60,"MMM-YYYY"))</f>
        <v>Jul-2027</v>
      </c>
      <c r="I60" s="26" t="s">
        <v>147</v>
      </c>
      <c r="J60" s="27" t="n">
        <f aca="false">IF($A60="","",F60+30)</f>
        <v>46616.5324074074</v>
      </c>
      <c r="K60" s="9" t="s">
        <v>148</v>
      </c>
    </row>
    <row r="61" customFormat="false" ht="15" hidden="false" customHeight="true" outlineLevel="0" collapsed="false">
      <c r="A61" s="4" t="s">
        <v>212</v>
      </c>
      <c r="B61" s="22" t="n">
        <v>54</v>
      </c>
      <c r="C61" s="23" t="s">
        <v>25</v>
      </c>
      <c r="D61" s="24" t="n">
        <f aca="false">IF($A61="","",IFERROR(CHOOSE(MATCH($C61,Settings!$L$4:$L$10,0),OPR_2P!$B$2,SEG_6P!$B$2,SOL_4P!$B$2,RW_2P!$B$2,RW2_4P!$B$2,FLAP_4P!$B$2,TUBE_4P!$B$2),2))</f>
        <v>2</v>
      </c>
      <c r="E61" s="25" t="n">
        <f aca="false">IF($A61="","",VTL_Plan!$J61)</f>
        <v>46227.1805555556</v>
      </c>
      <c r="F61" s="25" t="n">
        <f aca="false">IF($A61="","",QC_Plan!$M61)</f>
        <v>46592.8287037037</v>
      </c>
      <c r="G61" s="26" t="s">
        <v>161</v>
      </c>
      <c r="H61" s="9" t="str">
        <f aca="false">IF($A61="","",TEXT(QC_Plan!M61,"MMM-YYYY"))</f>
        <v>Jul-2027</v>
      </c>
      <c r="I61" s="26" t="s">
        <v>150</v>
      </c>
      <c r="J61" s="27" t="n">
        <f aca="false">IF($A61="","",F61+30)</f>
        <v>46622.8287037037</v>
      </c>
      <c r="K61" s="9" t="s">
        <v>155</v>
      </c>
    </row>
    <row r="62" customFormat="false" ht="15" hidden="false" customHeight="true" outlineLevel="0" collapsed="false">
      <c r="A62" s="4" t="s">
        <v>213</v>
      </c>
      <c r="B62" s="22" t="n">
        <v>9</v>
      </c>
      <c r="C62" s="23" t="s">
        <v>19</v>
      </c>
      <c r="D62" s="24" t="n">
        <f aca="false">IF($A62="","",IFERROR(CHOOSE(MATCH($C62,Settings!$L$4:$L$10,0),OPR_2P!$B$2,SEG_6P!$B$2,SOL_4P!$B$2,RW_2P!$B$2,RW2_4P!$B$2,FLAP_4P!$B$2,TUBE_4P!$B$2),2))</f>
        <v>6</v>
      </c>
      <c r="E62" s="25" t="n">
        <f aca="false">IF($A62="","",VTL_Plan!$J62)</f>
        <v>46185.0509259259</v>
      </c>
      <c r="F62" s="25" t="n">
        <f aca="false">IF($A62="","",QC_Plan!$M62)</f>
        <v>46593.3842592593</v>
      </c>
      <c r="G62" s="26" t="s">
        <v>154</v>
      </c>
      <c r="H62" s="9" t="str">
        <f aca="false">IF($A62="","",TEXT(QC_Plan!M62,"MMM-YYYY"))</f>
        <v>Jul-2027</v>
      </c>
      <c r="I62" s="26" t="s">
        <v>147</v>
      </c>
      <c r="J62" s="27" t="n">
        <f aca="false">IF($A62="","",F62+30)</f>
        <v>46623.3842592593</v>
      </c>
      <c r="K62" s="9" t="s">
        <v>151</v>
      </c>
    </row>
    <row r="63" customFormat="false" ht="15" hidden="false" customHeight="true" outlineLevel="0" collapsed="false">
      <c r="A63" s="4" t="s">
        <v>214</v>
      </c>
      <c r="B63" s="22" t="n">
        <v>30</v>
      </c>
      <c r="C63" s="23" t="s">
        <v>19</v>
      </c>
      <c r="D63" s="24" t="n">
        <f aca="false">IF($A63="","",IFERROR(CHOOSE(MATCH($C63,Settings!$L$4:$L$10,0),OPR_2P!$B$2,SEG_6P!$B$2,SOL_4P!$B$2,RW_2P!$B$2,RW2_4P!$B$2,FLAP_4P!$B$2,TUBE_4P!$B$2),2))</f>
        <v>6</v>
      </c>
      <c r="E63" s="25" t="n">
        <f aca="false">IF($A63="","",VTL_Plan!$J63)</f>
        <v>46189.587962963</v>
      </c>
      <c r="F63" s="25" t="n">
        <f aca="false">IF($A63="","",QC_Plan!$M63)</f>
        <v>46600.3287037037</v>
      </c>
      <c r="G63" s="26" t="s">
        <v>146</v>
      </c>
      <c r="H63" s="9" t="str">
        <f aca="false">IF($A63="","",TEXT(QC_Plan!M63,"MMM-YYYY"))</f>
        <v>Aug-2027</v>
      </c>
      <c r="I63" s="26" t="s">
        <v>147</v>
      </c>
      <c r="J63" s="27" t="n">
        <f aca="false">IF($A63="","",F63+30)</f>
        <v>46630.3287037037</v>
      </c>
      <c r="K63" s="9" t="s">
        <v>159</v>
      </c>
    </row>
    <row r="64" customFormat="false" ht="15" hidden="false" customHeight="true" outlineLevel="0" collapsed="false">
      <c r="A64" s="4" t="s">
        <v>215</v>
      </c>
      <c r="B64" s="22" t="n">
        <v>9</v>
      </c>
      <c r="C64" s="23" t="s">
        <v>15</v>
      </c>
      <c r="D64" s="24" t="n">
        <f aca="false">IF($A64="","",IFERROR(CHOOSE(MATCH($C64,Settings!$L$4:$L$10,0),OPR_2P!$B$2,SEG_6P!$B$2,SOL_4P!$B$2,RW_2P!$B$2,RW2_4P!$B$2,FLAP_4P!$B$2,TUBE_4P!$B$2),2))</f>
        <v>2</v>
      </c>
      <c r="E64" s="25" t="n">
        <f aca="false">IF($A64="","",VTL_Plan!$J64)</f>
        <v>46187.5509259259</v>
      </c>
      <c r="F64" s="25" t="n">
        <f aca="false">IF($A64="","",QC_Plan!$M64)</f>
        <v>46600.7916666667</v>
      </c>
      <c r="G64" s="26" t="s">
        <v>154</v>
      </c>
      <c r="H64" s="9" t="str">
        <f aca="false">IF($A64="","",TEXT(QC_Plan!M64,"MMM-YYYY"))</f>
        <v>Aug-2027</v>
      </c>
      <c r="I64" s="26" t="s">
        <v>147</v>
      </c>
      <c r="J64" s="27" t="n">
        <f aca="false">IF($A64="","",F64+30)</f>
        <v>46630.7916666667</v>
      </c>
      <c r="K64" s="9" t="s">
        <v>148</v>
      </c>
    </row>
    <row r="65" customFormat="false" ht="15" hidden="false" customHeight="true" outlineLevel="0" collapsed="false">
      <c r="A65" s="4" t="s">
        <v>216</v>
      </c>
      <c r="B65" s="22" t="n">
        <v>70</v>
      </c>
      <c r="C65" s="23" t="s">
        <v>22</v>
      </c>
      <c r="D65" s="24" t="n">
        <f aca="false">IF($A65="","",IFERROR(CHOOSE(MATCH($C65,Settings!$L$4:$L$10,0),OPR_2P!$B$2,SEG_6P!$B$2,SOL_4P!$B$2,RW_2P!$B$2,RW2_4P!$B$2,FLAP_4P!$B$2,TUBE_4P!$B$2),2))</f>
        <v>4</v>
      </c>
      <c r="E65" s="25" t="n">
        <f aca="false">IF($A65="","",VTL_Plan!$J65)</f>
        <v>46232.1805555556</v>
      </c>
      <c r="F65" s="25" t="n">
        <f aca="false">IF($A65="","",QC_Plan!$M65)</f>
        <v>46636.2414021164</v>
      </c>
      <c r="G65" s="26" t="s">
        <v>161</v>
      </c>
      <c r="H65" s="9" t="str">
        <f aca="false">IF($A65="","",TEXT(QC_Plan!M65,"MMM-YYYY"))</f>
        <v>Sep-2027</v>
      </c>
      <c r="I65" s="26" t="s">
        <v>150</v>
      </c>
      <c r="J65" s="27" t="n">
        <f aca="false">IF($A65="","",F65+30)</f>
        <v>46666.2414021164</v>
      </c>
      <c r="K65" s="9" t="s">
        <v>151</v>
      </c>
    </row>
    <row r="66" customFormat="false" ht="15" hidden="false" customHeight="true" outlineLevel="0" collapsed="false">
      <c r="A66" s="4" t="s">
        <v>217</v>
      </c>
      <c r="B66" s="22" t="n">
        <v>42</v>
      </c>
      <c r="C66" s="23" t="s">
        <v>22</v>
      </c>
      <c r="D66" s="24" t="n">
        <f aca="false">IF($A66="","",IFERROR(CHOOSE(MATCH($C66,Settings!$L$4:$L$10,0),OPR_2P!$B$2,SEG_6P!$B$2,SOL_4P!$B$2,RW_2P!$B$2,RW2_4P!$B$2,FLAP_4P!$B$2,TUBE_4P!$B$2),2))</f>
        <v>4</v>
      </c>
      <c r="E66" s="25" t="n">
        <f aca="false">IF($A66="","",VTL_Plan!$J66)</f>
        <v>46197.9212962963</v>
      </c>
      <c r="F66" s="25" t="n">
        <f aca="false">IF($A66="","",QC_Plan!$M66)</f>
        <v>46642.3525132275</v>
      </c>
      <c r="G66" s="26" t="s">
        <v>146</v>
      </c>
      <c r="H66" s="9" t="str">
        <f aca="false">IF($A66="","",TEXT(QC_Plan!M66,"MMM-YYYY"))</f>
        <v>Sep-2027</v>
      </c>
      <c r="I66" s="26" t="s">
        <v>147</v>
      </c>
      <c r="J66" s="27" t="n">
        <f aca="false">IF($A66="","",F66+30)</f>
        <v>46672.3525132275</v>
      </c>
      <c r="K66" s="9" t="s">
        <v>148</v>
      </c>
    </row>
    <row r="67" customFormat="false" ht="15" hidden="false" customHeight="true" outlineLevel="0" collapsed="false">
      <c r="A67" s="4" t="s">
        <v>218</v>
      </c>
      <c r="B67" s="22" t="n">
        <v>20</v>
      </c>
      <c r="C67" s="23" t="s">
        <v>15</v>
      </c>
      <c r="D67" s="24" t="n">
        <f aca="false">IF($A67="","",IFERROR(CHOOSE(MATCH($C67,Settings!$L$4:$L$10,0),OPR_2P!$B$2,SEG_6P!$B$2,SOL_4P!$B$2,RW_2P!$B$2,RW2_4P!$B$2,FLAP_4P!$B$2,TUBE_4P!$B$2),2))</f>
        <v>2</v>
      </c>
      <c r="E67" s="25" t="n">
        <f aca="false">IF($A67="","",VTL_Plan!$J67)</f>
        <v>46188.3842592593</v>
      </c>
      <c r="F67" s="25" t="n">
        <f aca="false">IF($A67="","",QC_Plan!$M67)</f>
        <v>46643.4636243386</v>
      </c>
      <c r="G67" s="26" t="s">
        <v>154</v>
      </c>
      <c r="H67" s="9" t="str">
        <f aca="false">IF($A67="","",TEXT(QC_Plan!M67,"MMM-YYYY"))</f>
        <v>Sep-2027</v>
      </c>
      <c r="I67" s="26" t="s">
        <v>147</v>
      </c>
      <c r="J67" s="27" t="n">
        <f aca="false">IF($A67="","",F67+30)</f>
        <v>46673.4636243386</v>
      </c>
      <c r="K67" s="9" t="s">
        <v>155</v>
      </c>
    </row>
    <row r="68" customFormat="false" ht="15" hidden="false" customHeight="true" outlineLevel="0" collapsed="false">
      <c r="A68" s="4" t="s">
        <v>219</v>
      </c>
      <c r="B68" s="22" t="n">
        <v>17</v>
      </c>
      <c r="C68" s="23" t="s">
        <v>25</v>
      </c>
      <c r="D68" s="24" t="n">
        <f aca="false">IF($A68="","",IFERROR(CHOOSE(MATCH($C68,Settings!$L$4:$L$10,0),OPR_2P!$B$2,SEG_6P!$B$2,SOL_4P!$B$2,RW_2P!$B$2,RW2_4P!$B$2,FLAP_4P!$B$2,TUBE_4P!$B$2),2))</f>
        <v>2</v>
      </c>
      <c r="E68" s="25" t="n">
        <f aca="false">IF($A68="","",VTL_Plan!$J68)</f>
        <v>46190.2361111111</v>
      </c>
      <c r="F68" s="25" t="n">
        <f aca="false">IF($A68="","",QC_Plan!$M68)</f>
        <v>46644.4821428571</v>
      </c>
      <c r="G68" s="26" t="s">
        <v>154</v>
      </c>
      <c r="H68" s="9" t="str">
        <f aca="false">IF($A68="","",TEXT(QC_Plan!M68,"MMM-YYYY"))</f>
        <v>Sep-2027</v>
      </c>
      <c r="I68" s="26" t="s">
        <v>157</v>
      </c>
      <c r="J68" s="27" t="n">
        <f aca="false">IF($A68="","",F68+30)</f>
        <v>46674.4821428571</v>
      </c>
      <c r="K68" s="9" t="s">
        <v>151</v>
      </c>
    </row>
    <row r="69" customFormat="false" ht="15" hidden="false" customHeight="true" outlineLevel="0" collapsed="false">
      <c r="A69" s="4" t="s">
        <v>220</v>
      </c>
      <c r="B69" s="22" t="n">
        <v>54</v>
      </c>
      <c r="C69" s="23" t="s">
        <v>15</v>
      </c>
      <c r="D69" s="24" t="n">
        <f aca="false">IF($A69="","",IFERROR(CHOOSE(MATCH($C69,Settings!$L$4:$L$10,0),OPR_2P!$B$2,SEG_6P!$B$2,SOL_4P!$B$2,RW_2P!$B$2,RW2_4P!$B$2,FLAP_4P!$B$2,TUBE_4P!$B$2),2))</f>
        <v>2</v>
      </c>
      <c r="E69" s="25" t="n">
        <f aca="false">IF($A69="","",VTL_Plan!$J69)</f>
        <v>46245.1435185185</v>
      </c>
      <c r="F69" s="25" t="n">
        <f aca="false">IF($A69="","",QC_Plan!$M69)</f>
        <v>46650.6858465608</v>
      </c>
      <c r="G69" s="26" t="s">
        <v>161</v>
      </c>
      <c r="H69" s="9" t="str">
        <f aca="false">IF($A69="","",TEXT(QC_Plan!M69,"MMM-YYYY"))</f>
        <v>Sep-2027</v>
      </c>
      <c r="I69" s="26" t="s">
        <v>147</v>
      </c>
      <c r="J69" s="27" t="n">
        <f aca="false">IF($A69="","",F69+30)</f>
        <v>46680.6858465608</v>
      </c>
      <c r="K69" s="9" t="s">
        <v>159</v>
      </c>
    </row>
    <row r="70" customFormat="false" ht="15" hidden="false" customHeight="true" outlineLevel="0" collapsed="false">
      <c r="A70" s="4" t="s">
        <v>221</v>
      </c>
      <c r="B70" s="22" t="n">
        <v>50</v>
      </c>
      <c r="C70" s="23" t="s">
        <v>22</v>
      </c>
      <c r="D70" s="24" t="n">
        <f aca="false">IF($A70="","",IFERROR(CHOOSE(MATCH($C70,Settings!$L$4:$L$10,0),OPR_2P!$B$2,SEG_6P!$B$2,SOL_4P!$B$2,RW_2P!$B$2,RW2_4P!$B$2,FLAP_4P!$B$2,TUBE_4P!$B$2),2))</f>
        <v>4</v>
      </c>
      <c r="E70" s="25" t="n">
        <f aca="false">IF($A70="","",VTL_Plan!$J70)</f>
        <v>46250.1435185185</v>
      </c>
      <c r="F70" s="25" t="n">
        <f aca="false">IF($A70="","",QC_Plan!$M70)</f>
        <v>46663.4966931217</v>
      </c>
      <c r="G70" s="26" t="s">
        <v>161</v>
      </c>
      <c r="H70" s="9" t="str">
        <f aca="false">IF($A70="","",TEXT(QC_Plan!M70,"MMM-YYYY"))</f>
        <v>Oct-2027</v>
      </c>
      <c r="I70" s="26" t="s">
        <v>147</v>
      </c>
      <c r="J70" s="27" t="n">
        <f aca="false">IF($A70="","",F70+30)</f>
        <v>46693.4966931217</v>
      </c>
      <c r="K70" s="9" t="s">
        <v>148</v>
      </c>
    </row>
    <row r="71" customFormat="false" ht="15" hidden="false" customHeight="true" outlineLevel="0" collapsed="false">
      <c r="A71" s="4" t="s">
        <v>222</v>
      </c>
      <c r="B71" s="22" t="n">
        <v>17</v>
      </c>
      <c r="C71" s="23" t="s">
        <v>22</v>
      </c>
      <c r="D71" s="24" t="n">
        <f aca="false">IF($A71="","",IFERROR(CHOOSE(MATCH($C71,Settings!$L$4:$L$10,0),OPR_2P!$B$2,SEG_6P!$B$2,SOL_4P!$B$2,RW_2P!$B$2,RW2_4P!$B$2,FLAP_4P!$B$2,TUBE_4P!$B$2),2))</f>
        <v>4</v>
      </c>
      <c r="E71" s="25" t="n">
        <f aca="false">IF($A71="","",VTL_Plan!$J71)</f>
        <v>46191.8101851852</v>
      </c>
      <c r="F71" s="25" t="n">
        <f aca="false">IF($A71="","",QC_Plan!$M71)</f>
        <v>46666.2744708995</v>
      </c>
      <c r="G71" s="26" t="s">
        <v>154</v>
      </c>
      <c r="H71" s="9" t="str">
        <f aca="false">IF($A71="","",TEXT(QC_Plan!M71,"MMM-YYYY"))</f>
        <v>Oct-2027</v>
      </c>
      <c r="I71" s="26" t="s">
        <v>150</v>
      </c>
      <c r="J71" s="27" t="n">
        <f aca="false">IF($A71="","",F71+30)</f>
        <v>46696.2744708995</v>
      </c>
      <c r="K71" s="9" t="s">
        <v>155</v>
      </c>
    </row>
    <row r="72" customFormat="false" ht="15" hidden="false" customHeight="true" outlineLevel="0" collapsed="false">
      <c r="A72" s="4" t="s">
        <v>223</v>
      </c>
      <c r="B72" s="22" t="n">
        <v>17</v>
      </c>
      <c r="C72" s="23" t="s">
        <v>15</v>
      </c>
      <c r="D72" s="24" t="n">
        <f aca="false">IF($A72="","",IFERROR(CHOOSE(MATCH($C72,Settings!$L$4:$L$10,0),OPR_2P!$B$2,SEG_6P!$B$2,SOL_4P!$B$2,RW_2P!$B$2,RW2_4P!$B$2,FLAP_4P!$B$2,TUBE_4P!$B$2),2))</f>
        <v>2</v>
      </c>
      <c r="E72" s="25" t="n">
        <f aca="false">IF($A72="","",VTL_Plan!$J72)</f>
        <v>46194.9583333333</v>
      </c>
      <c r="F72" s="25" t="n">
        <f aca="false">IF($A72="","",QC_Plan!$M72)</f>
        <v>46667.4781746032</v>
      </c>
      <c r="G72" s="26" t="s">
        <v>154</v>
      </c>
      <c r="H72" s="9" t="str">
        <f aca="false">IF($A72="","",TEXT(QC_Plan!M72,"MMM-YYYY"))</f>
        <v>Oct-2027</v>
      </c>
      <c r="I72" s="26" t="s">
        <v>147</v>
      </c>
      <c r="J72" s="27" t="n">
        <f aca="false">IF($A72="","",F72+30)</f>
        <v>46697.4781746032</v>
      </c>
      <c r="K72" s="9" t="s">
        <v>151</v>
      </c>
    </row>
    <row r="73" customFormat="false" ht="15" hidden="false" customHeight="true" outlineLevel="0" collapsed="false">
      <c r="A73" s="4" t="s">
        <v>224</v>
      </c>
      <c r="B73" s="22" t="n">
        <v>17</v>
      </c>
      <c r="C73" s="23" t="s">
        <v>19</v>
      </c>
      <c r="D73" s="24" t="n">
        <f aca="false">IF($A73="","",IFERROR(CHOOSE(MATCH($C73,Settings!$L$4:$L$10,0),OPR_2P!$B$2,SEG_6P!$B$2,SOL_4P!$B$2,RW_2P!$B$2,RW2_4P!$B$2,FLAP_4P!$B$2,TUBE_4P!$B$2),2))</f>
        <v>6</v>
      </c>
      <c r="E73" s="25" t="n">
        <f aca="false">IF($A73="","",VTL_Plan!$J73)</f>
        <v>46196.5324074074</v>
      </c>
      <c r="F73" s="25" t="n">
        <f aca="false">IF($A73="","",QC_Plan!$M73)</f>
        <v>46670.5337301587</v>
      </c>
      <c r="G73" s="26" t="s">
        <v>154</v>
      </c>
      <c r="H73" s="9" t="str">
        <f aca="false">IF($A73="","",TEXT(QC_Plan!M73,"MMM-YYYY"))</f>
        <v>Oct-2027</v>
      </c>
      <c r="I73" s="26" t="s">
        <v>147</v>
      </c>
      <c r="J73" s="27" t="n">
        <f aca="false">IF($A73="","",F73+30)</f>
        <v>46700.5337301587</v>
      </c>
      <c r="K73" s="9" t="s">
        <v>159</v>
      </c>
    </row>
    <row r="74" customFormat="false" ht="15" hidden="false" customHeight="true" outlineLevel="0" collapsed="false">
      <c r="A74" s="4"/>
      <c r="D74" s="24"/>
      <c r="E74" s="25"/>
      <c r="F74" s="25"/>
      <c r="G74" s="26"/>
      <c r="H74" s="9" t="str">
        <f aca="false">IF($A74="","",TEXT(QC_Plan!M74,"MMM-YYYY"))</f>
        <v/>
      </c>
      <c r="I74" s="26"/>
    </row>
    <row r="75" customFormat="false" ht="15" hidden="false" customHeight="true" outlineLevel="0" collapsed="false">
      <c r="A75" s="4"/>
      <c r="D75" s="24"/>
      <c r="E75" s="25"/>
      <c r="F75" s="25"/>
      <c r="G75" s="26"/>
      <c r="H75" s="9" t="str">
        <f aca="false">IF($A75="","",TEXT(QC_Plan!M75,"MMM-YYYY"))</f>
        <v/>
      </c>
      <c r="I75" s="26"/>
    </row>
    <row r="76" customFormat="false" ht="15" hidden="false" customHeight="true" outlineLevel="0" collapsed="false">
      <c r="A76" s="4"/>
      <c r="D76" s="24"/>
      <c r="E76" s="25"/>
      <c r="F76" s="25"/>
      <c r="G76" s="26"/>
      <c r="H76" s="9" t="str">
        <f aca="false">IF($A76="","",TEXT(QC_Plan!M76,"MMM-YYYY"))</f>
        <v/>
      </c>
      <c r="I76" s="26"/>
    </row>
    <row r="77" customFormat="false" ht="15" hidden="false" customHeight="true" outlineLevel="0" collapsed="false">
      <c r="A77" s="4"/>
      <c r="D77" s="24"/>
      <c r="E77" s="25"/>
      <c r="F77" s="25"/>
      <c r="G77" s="26"/>
      <c r="H77" s="9" t="str">
        <f aca="false">IF($A77="","",TEXT(QC_Plan!M77,"MMM-YYYY"))</f>
        <v/>
      </c>
      <c r="I77" s="26"/>
    </row>
    <row r="78" customFormat="false" ht="15" hidden="false" customHeight="true" outlineLevel="0" collapsed="false">
      <c r="A78" s="4"/>
      <c r="D78" s="24"/>
      <c r="E78" s="25"/>
      <c r="F78" s="25"/>
      <c r="G78" s="26"/>
      <c r="H78" s="9" t="str">
        <f aca="false">IF($A78="","",TEXT(QC_Plan!M78,"MMM-YYYY"))</f>
        <v/>
      </c>
      <c r="I78" s="26"/>
    </row>
    <row r="79" customFormat="false" ht="15" hidden="false" customHeight="true" outlineLevel="0" collapsed="false">
      <c r="A79" s="4"/>
      <c r="D79" s="24"/>
      <c r="E79" s="25"/>
      <c r="F79" s="25"/>
      <c r="G79" s="26"/>
      <c r="H79" s="9" t="str">
        <f aca="false">IF($A79="","",TEXT(QC_Plan!M79,"MMM-YYYY"))</f>
        <v/>
      </c>
      <c r="I79" s="26"/>
    </row>
    <row r="80" customFormat="false" ht="15" hidden="false" customHeight="true" outlineLevel="0" collapsed="false">
      <c r="A80" s="4"/>
      <c r="D80" s="24"/>
      <c r="E80" s="25"/>
      <c r="F80" s="25"/>
      <c r="G80" s="26"/>
      <c r="H80" s="9" t="str">
        <f aca="false">IF($A80="","",TEXT(QC_Plan!M80,"MMM-YYYY"))</f>
        <v/>
      </c>
      <c r="I80" s="26"/>
    </row>
    <row r="81" customFormat="false" ht="15" hidden="false" customHeight="true" outlineLevel="0" collapsed="false">
      <c r="A81" s="4"/>
      <c r="D81" s="24"/>
      <c r="E81" s="25"/>
      <c r="F81" s="25"/>
      <c r="G81" s="26"/>
      <c r="H81" s="9" t="str">
        <f aca="false">IF($A81="","",TEXT(QC_Plan!M81,"MMM-YYYY"))</f>
        <v/>
      </c>
      <c r="I81" s="26"/>
    </row>
    <row r="82" customFormat="false" ht="15" hidden="false" customHeight="true" outlineLevel="0" collapsed="false">
      <c r="A82" s="4"/>
      <c r="D82" s="24"/>
      <c r="E82" s="25"/>
      <c r="F82" s="25"/>
      <c r="G82" s="26"/>
      <c r="H82" s="9" t="str">
        <f aca="false">IF($A82="","",TEXT(QC_Plan!M82,"MMM-YYYY"))</f>
        <v/>
      </c>
      <c r="I82" s="26"/>
    </row>
    <row r="83" customFormat="false" ht="15" hidden="false" customHeight="true" outlineLevel="0" collapsed="false">
      <c r="A83" s="4"/>
      <c r="D83" s="24"/>
      <c r="E83" s="25"/>
      <c r="F83" s="25"/>
      <c r="G83" s="26"/>
      <c r="H83" s="9" t="str">
        <f aca="false">IF($A83="","",TEXT(QC_Plan!M83,"MMM-YYYY"))</f>
        <v/>
      </c>
      <c r="I83" s="26"/>
    </row>
    <row r="84" customFormat="false" ht="15" hidden="false" customHeight="true" outlineLevel="0" collapsed="false">
      <c r="A84" s="4"/>
      <c r="D84" s="24"/>
      <c r="E84" s="25"/>
      <c r="F84" s="25"/>
      <c r="G84" s="26"/>
      <c r="H84" s="9" t="str">
        <f aca="false">IF($A84="","",TEXT(QC_Plan!M84,"MMM-YYYY"))</f>
        <v/>
      </c>
      <c r="I84" s="26"/>
    </row>
    <row r="85" customFormat="false" ht="15" hidden="false" customHeight="true" outlineLevel="0" collapsed="false">
      <c r="A85" s="4"/>
      <c r="D85" s="24"/>
      <c r="E85" s="25"/>
      <c r="F85" s="25"/>
      <c r="G85" s="26"/>
      <c r="H85" s="9" t="str">
        <f aca="false">IF($A85="","",TEXT(QC_Plan!M85,"MMM-YYYY"))</f>
        <v/>
      </c>
      <c r="I85" s="26"/>
    </row>
    <row r="86" customFormat="false" ht="15" hidden="false" customHeight="true" outlineLevel="0" collapsed="false">
      <c r="A86" s="4"/>
      <c r="D86" s="24"/>
      <c r="E86" s="25"/>
      <c r="F86" s="25"/>
      <c r="G86" s="26"/>
      <c r="H86" s="9" t="str">
        <f aca="false">IF($A86="","",TEXT(QC_Plan!M86,"MMM-YYYY"))</f>
        <v/>
      </c>
      <c r="I86" s="26"/>
    </row>
    <row r="87" customFormat="false" ht="15" hidden="false" customHeight="true" outlineLevel="0" collapsed="false">
      <c r="A87" s="4"/>
      <c r="D87" s="24"/>
      <c r="E87" s="25"/>
      <c r="F87" s="25"/>
      <c r="G87" s="26"/>
      <c r="H87" s="9" t="str">
        <f aca="false">IF($A87="","",TEXT(QC_Plan!M87,"MMM-YYYY"))</f>
        <v/>
      </c>
      <c r="I87" s="26"/>
    </row>
    <row r="88" customFormat="false" ht="15" hidden="false" customHeight="true" outlineLevel="0" collapsed="false">
      <c r="A88" s="4"/>
      <c r="D88" s="24"/>
      <c r="E88" s="25"/>
      <c r="F88" s="25"/>
      <c r="G88" s="26"/>
      <c r="H88" s="9" t="str">
        <f aca="false">IF($A88="","",TEXT(QC_Plan!M88,"MMM-YYYY"))</f>
        <v/>
      </c>
      <c r="I88" s="26"/>
    </row>
    <row r="89" customFormat="false" ht="15" hidden="false" customHeight="true" outlineLevel="0" collapsed="false">
      <c r="A89" s="4"/>
      <c r="D89" s="24"/>
      <c r="E89" s="25"/>
      <c r="F89" s="25"/>
      <c r="G89" s="26"/>
      <c r="H89" s="9" t="str">
        <f aca="false">IF($A89="","",TEXT(QC_Plan!M89,"MMM-YYYY"))</f>
        <v/>
      </c>
      <c r="I89" s="26"/>
    </row>
    <row r="90" customFormat="false" ht="15" hidden="false" customHeight="true" outlineLevel="0" collapsed="false">
      <c r="A90" s="4"/>
      <c r="D90" s="24"/>
      <c r="E90" s="25"/>
      <c r="F90" s="25"/>
      <c r="G90" s="26"/>
      <c r="H90" s="9" t="str">
        <f aca="false">IF($A90="","",TEXT(QC_Plan!M90,"MMM-YYYY"))</f>
        <v/>
      </c>
      <c r="I90" s="26"/>
    </row>
    <row r="91" customFormat="false" ht="15" hidden="false" customHeight="true" outlineLevel="0" collapsed="false">
      <c r="A91" s="4"/>
      <c r="D91" s="24"/>
      <c r="E91" s="25"/>
      <c r="F91" s="25"/>
      <c r="G91" s="26"/>
      <c r="H91" s="9" t="str">
        <f aca="false">IF($A91="","",TEXT(QC_Plan!M91,"MMM-YYYY"))</f>
        <v/>
      </c>
      <c r="I91" s="26"/>
    </row>
    <row r="92" customFormat="false" ht="15" hidden="false" customHeight="true" outlineLevel="0" collapsed="false">
      <c r="A92" s="4"/>
      <c r="D92" s="24"/>
      <c r="E92" s="25"/>
      <c r="F92" s="25"/>
      <c r="G92" s="26"/>
      <c r="H92" s="9" t="str">
        <f aca="false">IF($A92="","",TEXT(QC_Plan!M92,"MMM-YYYY"))</f>
        <v/>
      </c>
      <c r="I92" s="26"/>
    </row>
    <row r="93" customFormat="false" ht="15" hidden="false" customHeight="true" outlineLevel="0" collapsed="false">
      <c r="A93" s="4"/>
      <c r="D93" s="24"/>
      <c r="E93" s="25"/>
      <c r="F93" s="25"/>
      <c r="G93" s="26"/>
      <c r="H93" s="9" t="str">
        <f aca="false">IF($A93="","",TEXT(QC_Plan!M93,"MMM-YYYY"))</f>
        <v/>
      </c>
      <c r="I93" s="26"/>
    </row>
    <row r="94" customFormat="false" ht="15" hidden="false" customHeight="true" outlineLevel="0" collapsed="false">
      <c r="A94" s="4"/>
      <c r="D94" s="24"/>
      <c r="E94" s="25"/>
      <c r="F94" s="25"/>
      <c r="G94" s="26"/>
      <c r="H94" s="9" t="str">
        <f aca="false">IF($A94="","",TEXT(QC_Plan!M94,"MMM-YYYY"))</f>
        <v/>
      </c>
      <c r="I94" s="26"/>
    </row>
    <row r="95" customFormat="false" ht="15" hidden="false" customHeight="true" outlineLevel="0" collapsed="false">
      <c r="A95" s="4"/>
      <c r="D95" s="24"/>
      <c r="E95" s="25"/>
      <c r="F95" s="25"/>
      <c r="G95" s="26"/>
      <c r="H95" s="9" t="str">
        <f aca="false">IF($A95="","",TEXT(QC_Plan!M95,"MMM-YYYY"))</f>
        <v/>
      </c>
      <c r="I95" s="26"/>
    </row>
    <row r="96" customFormat="false" ht="15" hidden="false" customHeight="true" outlineLevel="0" collapsed="false">
      <c r="A96" s="4"/>
      <c r="D96" s="24"/>
      <c r="E96" s="25"/>
      <c r="F96" s="25"/>
      <c r="G96" s="26"/>
      <c r="H96" s="9" t="str">
        <f aca="false">IF($A96="","",TEXT(QC_Plan!M96,"MMM-YYYY"))</f>
        <v/>
      </c>
      <c r="I96" s="26"/>
    </row>
    <row r="97" customFormat="false" ht="15" hidden="false" customHeight="true" outlineLevel="0" collapsed="false">
      <c r="A97" s="4"/>
      <c r="D97" s="24"/>
      <c r="E97" s="25"/>
      <c r="F97" s="25"/>
      <c r="G97" s="26"/>
      <c r="H97" s="9" t="str">
        <f aca="false">IF($A97="","",TEXT(QC_Plan!M97,"MMM-YYYY"))</f>
        <v/>
      </c>
      <c r="I97" s="26"/>
    </row>
    <row r="98" customFormat="false" ht="15" hidden="false" customHeight="true" outlineLevel="0" collapsed="false">
      <c r="A98" s="4"/>
      <c r="D98" s="24"/>
      <c r="E98" s="25"/>
      <c r="F98" s="25"/>
      <c r="G98" s="26"/>
      <c r="H98" s="9" t="str">
        <f aca="false">IF($A98="","",TEXT(QC_Plan!M98,"MMM-YYYY"))</f>
        <v/>
      </c>
      <c r="I98" s="26"/>
    </row>
    <row r="99" customFormat="false" ht="15" hidden="false" customHeight="true" outlineLevel="0" collapsed="false">
      <c r="A99" s="4"/>
      <c r="D99" s="24"/>
      <c r="E99" s="25"/>
      <c r="F99" s="25"/>
      <c r="G99" s="26"/>
      <c r="H99" s="9" t="str">
        <f aca="false">IF($A99="","",TEXT(QC_Plan!M99,"MMM-YYYY"))</f>
        <v/>
      </c>
      <c r="I99" s="26"/>
    </row>
    <row r="100" customFormat="false" ht="15" hidden="false" customHeight="true" outlineLevel="0" collapsed="false">
      <c r="A100" s="4"/>
      <c r="D100" s="24"/>
      <c r="E100" s="25"/>
      <c r="F100" s="25"/>
      <c r="G100" s="26"/>
      <c r="H100" s="9" t="str">
        <f aca="false">IF($A100="","",TEXT(QC_Plan!M100,"MMM-YYYY"))</f>
        <v/>
      </c>
      <c r="I100" s="26"/>
    </row>
    <row r="101" customFormat="false" ht="15" hidden="false" customHeight="true" outlineLevel="0" collapsed="false">
      <c r="A101" s="4"/>
      <c r="D101" s="24"/>
      <c r="E101" s="25"/>
      <c r="F101" s="25"/>
      <c r="G101" s="26"/>
      <c r="H101" s="9" t="str">
        <f aca="false">IF($A101="","",TEXT(QC_Plan!M101,"MMM-YYYY"))</f>
        <v/>
      </c>
      <c r="I101" s="26"/>
    </row>
    <row r="102" customFormat="false" ht="15" hidden="false" customHeight="true" outlineLevel="0" collapsed="false">
      <c r="A102" s="4"/>
      <c r="D102" s="24"/>
      <c r="E102" s="25"/>
      <c r="F102" s="25"/>
      <c r="G102" s="26"/>
      <c r="H102" s="9" t="str">
        <f aca="false">IF($A102="","",TEXT(QC_Plan!M102,"MMM-YYYY"))</f>
        <v/>
      </c>
      <c r="I102" s="26"/>
    </row>
    <row r="103" customFormat="false" ht="15" hidden="false" customHeight="true" outlineLevel="0" collapsed="false">
      <c r="A103" s="4"/>
      <c r="D103" s="24"/>
      <c r="E103" s="25"/>
      <c r="F103" s="25"/>
      <c r="G103" s="26"/>
      <c r="H103" s="9" t="str">
        <f aca="false">IF($A103="","",TEXT(QC_Plan!M103,"MMM-YYYY"))</f>
        <v/>
      </c>
      <c r="I103" s="26"/>
    </row>
    <row r="104" customFormat="false" ht="15" hidden="false" customHeight="true" outlineLevel="0" collapsed="false">
      <c r="D104" s="9" t="str">
        <f aca="false">IF(A104="","",IF(C104="2P",OPR_2P!B$2,IF(C104="SEG",SEG_6P!B$2,IF(C104="SOL",SOL_4P!B$2,IF(C104="RW",RW_2P!B$2,IF(C104="RW2",RW2_4P!B$2,0))))))</f>
        <v/>
      </c>
      <c r="F104" s="9" t="str">
        <f aca="false">IF(A104="","", QC_Plan!M104)</f>
        <v/>
      </c>
      <c r="G104" s="26" t="str">
        <f aca="false">IF(B104="","",IF(H104&gt;1000,"High",IF(H104&gt;500,"Medium","Low")))</f>
        <v/>
      </c>
      <c r="I104" s="26"/>
    </row>
    <row r="105" customFormat="false" ht="15" hidden="false" customHeight="true" outlineLevel="0" collapsed="false">
      <c r="D105" s="9" t="str">
        <f aca="false">IF(A105="","",IF(C105="2P",OPR_2P!B$2,IF(C105="SEG",SEG_6P!B$2,IF(C105="SOL",SOL_4P!B$2,IF(C105="RW",RW_2P!B$2,IF(C105="RW2",RW2_4P!B$2,0))))))</f>
        <v/>
      </c>
      <c r="F105" s="9" t="str">
        <f aca="false">IF(A105="","", QC_Plan!M105)</f>
        <v/>
      </c>
      <c r="G105" s="26" t="str">
        <f aca="false">IF(B105="","",IF(H105&gt;1000,"High",IF(H105&gt;500,"Medium","Low")))</f>
        <v/>
      </c>
      <c r="I105" s="26"/>
    </row>
    <row r="106" customFormat="false" ht="15" hidden="false" customHeight="true" outlineLevel="0" collapsed="false">
      <c r="D106" s="9" t="str">
        <f aca="false">IF(A106="","",IF(C106="2P",OPR_2P!B$2,IF(C106="SEG",SEG_6P!B$2,IF(C106="SOL",SOL_4P!B$2,IF(C106="RW",RW_2P!B$2,IF(C106="RW2",RW2_4P!B$2,0))))))</f>
        <v/>
      </c>
      <c r="F106" s="9" t="str">
        <f aca="false">IF(A106="","", QC_Plan!M106)</f>
        <v/>
      </c>
      <c r="G106" s="26" t="str">
        <f aca="false">IF(B106="","",IF(H106&gt;1000,"High",IF(H106&gt;500,"Medium","Low")))</f>
        <v/>
      </c>
      <c r="I106" s="26"/>
    </row>
    <row r="107" customFormat="false" ht="15" hidden="false" customHeight="true" outlineLevel="0" collapsed="false">
      <c r="D107" s="9" t="str">
        <f aca="false">IF(A107="","",IF(C107="2P",OPR_2P!B$2,IF(C107="SEG",SEG_6P!B$2,IF(C107="SOL",SOL_4P!B$2,IF(C107="RW",RW_2P!B$2,IF(C107="RW2",RW2_4P!B$2,0))))))</f>
        <v/>
      </c>
      <c r="F107" s="9" t="str">
        <f aca="false">IF(A107="","", QC_Plan!M107)</f>
        <v/>
      </c>
      <c r="G107" s="26" t="str">
        <f aca="false">IF(B107="","",IF(H107&gt;1000,"High",IF(H107&gt;500,"Medium","Low")))</f>
        <v/>
      </c>
      <c r="I107" s="26"/>
    </row>
    <row r="108" customFormat="false" ht="15" hidden="false" customHeight="true" outlineLevel="0" collapsed="false">
      <c r="D108" s="9" t="str">
        <f aca="false">IF(A108="","",IF(C108="2P",OPR_2P!B$2,IF(C108="SEG",SEG_6P!B$2,IF(C108="SOL",SOL_4P!B$2,IF(C108="RW",RW_2P!B$2,IF(C108="RW2",RW2_4P!B$2,0))))))</f>
        <v/>
      </c>
      <c r="F108" s="9" t="str">
        <f aca="false">IF(A108="","", QC_Plan!M108)</f>
        <v/>
      </c>
      <c r="G108" s="26" t="str">
        <f aca="false">IF(B108="","",IF(H108&gt;1000,"High",IF(H108&gt;500,"Medium","Low")))</f>
        <v/>
      </c>
      <c r="I108" s="26"/>
    </row>
    <row r="109" customFormat="false" ht="15" hidden="false" customHeight="true" outlineLevel="0" collapsed="false">
      <c r="D109" s="9" t="str">
        <f aca="false">IF(A109="","",IF(C109="2P",OPR_2P!B$2,IF(C109="SEG",SEG_6P!B$2,IF(C109="SOL",SOL_4P!B$2,IF(C109="RW",RW_2P!B$2,IF(C109="RW2",RW2_4P!B$2,0))))))</f>
        <v/>
      </c>
      <c r="F109" s="9" t="str">
        <f aca="false">IF(A109="","", QC_Plan!M109)</f>
        <v/>
      </c>
      <c r="G109" s="26" t="str">
        <f aca="false">IF(B109="","",IF(H109&gt;1000,"High",IF(H109&gt;500,"Medium","Low")))</f>
        <v/>
      </c>
      <c r="I109" s="26"/>
    </row>
    <row r="110" customFormat="false" ht="15" hidden="false" customHeight="true" outlineLevel="0" collapsed="false">
      <c r="D110" s="9" t="str">
        <f aca="false">IF(A110="","",IF(C110="2P",OPR_2P!B$2,IF(C110="SEG",SEG_6P!B$2,IF(C110="SOL",SOL_4P!B$2,IF(C110="RW",RW_2P!B$2,IF(C110="RW2",RW2_4P!B$2,0))))))</f>
        <v/>
      </c>
      <c r="F110" s="9" t="str">
        <f aca="false">IF(A110="","", QC_Plan!M110)</f>
        <v/>
      </c>
      <c r="G110" s="26" t="str">
        <f aca="false">IF(B110="","",IF(H110&gt;1000,"High",IF(H110&gt;500,"Medium","Low")))</f>
        <v/>
      </c>
      <c r="I110" s="26"/>
    </row>
    <row r="111" customFormat="false" ht="15" hidden="false" customHeight="true" outlineLevel="0" collapsed="false">
      <c r="D111" s="9" t="str">
        <f aca="false">IF(A111="","",IF(C111="2P",OPR_2P!B$2,IF(C111="SEG",SEG_6P!B$2,IF(C111="SOL",SOL_4P!B$2,IF(C111="RW",RW_2P!B$2,IF(C111="RW2",RW2_4P!B$2,0))))))</f>
        <v/>
      </c>
      <c r="F111" s="9" t="str">
        <f aca="false">IF(A111="","", QC_Plan!M111)</f>
        <v/>
      </c>
      <c r="G111" s="26" t="str">
        <f aca="false">IF(B111="","",IF(H111&gt;1000,"High",IF(H111&gt;500,"Medium","Low")))</f>
        <v/>
      </c>
      <c r="I111" s="26"/>
    </row>
    <row r="112" customFormat="false" ht="15" hidden="false" customHeight="true" outlineLevel="0" collapsed="false">
      <c r="D112" s="9" t="str">
        <f aca="false">IF(A112="","",IF(C112="2P",OPR_2P!B$2,IF(C112="SEG",SEG_6P!B$2,IF(C112="SOL",SOL_4P!B$2,IF(C112="RW",RW_2P!B$2,IF(C112="RW2",RW2_4P!B$2,0))))))</f>
        <v/>
      </c>
      <c r="F112" s="9" t="str">
        <f aca="false">IF(A112="","", QC_Plan!M112)</f>
        <v/>
      </c>
      <c r="G112" s="26" t="str">
        <f aca="false">IF(B112="","",IF(H112&gt;1000,"High",IF(H112&gt;500,"Medium","Low")))</f>
        <v/>
      </c>
      <c r="I112" s="26"/>
    </row>
    <row r="113" customFormat="false" ht="15" hidden="false" customHeight="true" outlineLevel="0" collapsed="false">
      <c r="D113" s="9" t="str">
        <f aca="false">IF(A113="","",IF(C113="2P",OPR_2P!B$2,IF(C113="SEG",SEG_6P!B$2,IF(C113="SOL",SOL_4P!B$2,IF(C113="RW",RW_2P!B$2,IF(C113="RW2",RW2_4P!B$2,0))))))</f>
        <v/>
      </c>
      <c r="F113" s="9" t="str">
        <f aca="false">IF(A113="","", QC_Plan!M113)</f>
        <v/>
      </c>
      <c r="G113" s="26" t="str">
        <f aca="false">IF(B113="","",IF(H113&gt;1000,"High",IF(H113&gt;500,"Medium","Low")))</f>
        <v/>
      </c>
      <c r="I113" s="26"/>
    </row>
    <row r="114" customFormat="false" ht="15" hidden="false" customHeight="true" outlineLevel="0" collapsed="false">
      <c r="D114" s="9" t="str">
        <f aca="false">IF(A114="","",IF(C114="2P",OPR_2P!B$2,IF(C114="SEG",SEG_6P!B$2,IF(C114="SOL",SOL_4P!B$2,IF(C114="RW",RW_2P!B$2,IF(C114="RW2",RW2_4P!B$2,0))))))</f>
        <v/>
      </c>
      <c r="F114" s="9" t="str">
        <f aca="false">IF(A114="","", QC_Plan!M114)</f>
        <v/>
      </c>
      <c r="G114" s="26" t="str">
        <f aca="false">IF(B114="","",IF(H114&gt;1000,"High",IF(H114&gt;500,"Medium","Low")))</f>
        <v/>
      </c>
      <c r="I114" s="26"/>
    </row>
    <row r="115" customFormat="false" ht="15" hidden="false" customHeight="true" outlineLevel="0" collapsed="false">
      <c r="D115" s="9" t="str">
        <f aca="false">IF(A115="","",IF(C115="2P",OPR_2P!B$2,IF(C115="SEG",SEG_6P!B$2,IF(C115="SOL",SOL_4P!B$2,IF(C115="RW",RW_2P!B$2,IF(C115="RW2",RW2_4P!B$2,0))))))</f>
        <v/>
      </c>
      <c r="F115" s="9" t="str">
        <f aca="false">IF(A115="","", QC_Plan!M115)</f>
        <v/>
      </c>
      <c r="G115" s="26" t="str">
        <f aca="false">IF(B115="","",IF(H115&gt;1000,"High",IF(H115&gt;500,"Medium","Low")))</f>
        <v/>
      </c>
      <c r="I115" s="26"/>
    </row>
    <row r="116" customFormat="false" ht="15" hidden="false" customHeight="true" outlineLevel="0" collapsed="false">
      <c r="D116" s="9" t="str">
        <f aca="false">IF(A116="","",IF(C116="2P",OPR_2P!B$2,IF(C116="SEG",SEG_6P!B$2,IF(C116="SOL",SOL_4P!B$2,IF(C116="RW",RW_2P!B$2,IF(C116="RW2",RW2_4P!B$2,0))))))</f>
        <v/>
      </c>
      <c r="F116" s="9" t="str">
        <f aca="false">IF(A116="","", QC_Plan!M116)</f>
        <v/>
      </c>
      <c r="G116" s="26" t="str">
        <f aca="false">IF(B116="","",IF(H116&gt;1000,"High",IF(H116&gt;500,"Medium","Low")))</f>
        <v/>
      </c>
      <c r="I116" s="26"/>
    </row>
    <row r="117" customFormat="false" ht="15" hidden="false" customHeight="true" outlineLevel="0" collapsed="false">
      <c r="D117" s="9" t="str">
        <f aca="false">IF(A117="","",IF(C117="2P",OPR_2P!B$2,IF(C117="SEG",SEG_6P!B$2,IF(C117="SOL",SOL_4P!B$2,IF(C117="RW",RW_2P!B$2,IF(C117="RW2",RW2_4P!B$2,0))))))</f>
        <v/>
      </c>
      <c r="F117" s="9" t="str">
        <f aca="false">IF(A117="","", QC_Plan!M117)</f>
        <v/>
      </c>
      <c r="G117" s="26" t="str">
        <f aca="false">IF(B117="","",IF(H117&gt;1000,"High",IF(H117&gt;500,"Medium","Low")))</f>
        <v/>
      </c>
      <c r="I117" s="26"/>
    </row>
    <row r="118" customFormat="false" ht="15" hidden="false" customHeight="true" outlineLevel="0" collapsed="false">
      <c r="D118" s="9" t="str">
        <f aca="false">IF(A118="","",IF(C118="2P",OPR_2P!B$2,IF(C118="SEG",SEG_6P!B$2,IF(C118="SOL",SOL_4P!B$2,IF(C118="RW",RW_2P!B$2,IF(C118="RW2",RW2_4P!B$2,0))))))</f>
        <v/>
      </c>
      <c r="F118" s="9" t="str">
        <f aca="false">IF(A118="","", QC_Plan!M118)</f>
        <v/>
      </c>
      <c r="G118" s="26" t="str">
        <f aca="false">IF(B118="","",IF(H118&gt;1000,"High",IF(H118&gt;500,"Medium","Low")))</f>
        <v/>
      </c>
      <c r="I118" s="26"/>
    </row>
    <row r="119" customFormat="false" ht="15" hidden="false" customHeight="true" outlineLevel="0" collapsed="false">
      <c r="D119" s="9" t="str">
        <f aca="false">IF(A119="","",IF(C119="2P",OPR_2P!B$2,IF(C119="SEG",SEG_6P!B$2,IF(C119="SOL",SOL_4P!B$2,IF(C119="RW",RW_2P!B$2,IF(C119="RW2",RW2_4P!B$2,0))))))</f>
        <v/>
      </c>
      <c r="F119" s="9" t="str">
        <f aca="false">IF(A119="","", QC_Plan!M119)</f>
        <v/>
      </c>
      <c r="G119" s="26" t="str">
        <f aca="false">IF(B119="","",IF(H119&gt;1000,"High",IF(H119&gt;500,"Medium","Low")))</f>
        <v/>
      </c>
      <c r="I119" s="26"/>
    </row>
    <row r="120" customFormat="false" ht="15" hidden="false" customHeight="true" outlineLevel="0" collapsed="false">
      <c r="D120" s="9" t="str">
        <f aca="false">IF(A120="","",IF(C120="2P",OPR_2P!B$2,IF(C120="SEG",SEG_6P!B$2,IF(C120="SOL",SOL_4P!B$2,IF(C120="RW",RW_2P!B$2,IF(C120="RW2",RW2_4P!B$2,0))))))</f>
        <v/>
      </c>
      <c r="F120" s="9" t="str">
        <f aca="false">IF(A120="","", QC_Plan!M120)</f>
        <v/>
      </c>
      <c r="G120" s="26" t="str">
        <f aca="false">IF(B120="","",IF(H120&gt;1000,"High",IF(H120&gt;500,"Medium","Low")))</f>
        <v/>
      </c>
      <c r="I120" s="26"/>
    </row>
    <row r="121" customFormat="false" ht="15" hidden="false" customHeight="true" outlineLevel="0" collapsed="false">
      <c r="D121" s="9" t="str">
        <f aca="false">IF(A121="","",IF(C121="2P",OPR_2P!B$2,IF(C121="SEG",SEG_6P!B$2,IF(C121="SOL",SOL_4P!B$2,IF(C121="RW",RW_2P!B$2,IF(C121="RW2",RW2_4P!B$2,0))))))</f>
        <v/>
      </c>
      <c r="F121" s="9" t="str">
        <f aca="false">IF(A121="","", QC_Plan!M121)</f>
        <v/>
      </c>
      <c r="G121" s="26" t="str">
        <f aca="false">IF(B121="","",IF(H121&gt;1000,"High",IF(H121&gt;500,"Medium","Low")))</f>
        <v/>
      </c>
      <c r="I121" s="26"/>
    </row>
    <row r="122" customFormat="false" ht="15" hidden="false" customHeight="true" outlineLevel="0" collapsed="false">
      <c r="D122" s="9" t="str">
        <f aca="false">IF(A122="","",IF(C122="2P",OPR_2P!B$2,IF(C122="SEG",SEG_6P!B$2,IF(C122="SOL",SOL_4P!B$2,IF(C122="RW",RW_2P!B$2,IF(C122="RW2",RW2_4P!B$2,0))))))</f>
        <v/>
      </c>
      <c r="F122" s="9" t="str">
        <f aca="false">IF(A122="","", QC_Plan!M122)</f>
        <v/>
      </c>
      <c r="G122" s="26" t="str">
        <f aca="false">IF(B122="","",IF(H122&gt;1000,"High",IF(H122&gt;500,"Medium","Low")))</f>
        <v/>
      </c>
      <c r="I122" s="26"/>
    </row>
    <row r="123" customFormat="false" ht="15" hidden="false" customHeight="true" outlineLevel="0" collapsed="false">
      <c r="D123" s="9" t="str">
        <f aca="false">IF(A123="","",IF(C123="2P",OPR_2P!B$2,IF(C123="SEG",SEG_6P!B$2,IF(C123="SOL",SOL_4P!B$2,IF(C123="RW",RW_2P!B$2,IF(C123="RW2",RW2_4P!B$2,0))))))</f>
        <v/>
      </c>
      <c r="F123" s="9" t="str">
        <f aca="false">IF(A123="","", QC_Plan!M123)</f>
        <v/>
      </c>
      <c r="G123" s="26" t="str">
        <f aca="false">IF(B123="","",IF(H123&gt;1000,"High",IF(H123&gt;500,"Medium","Low")))</f>
        <v/>
      </c>
      <c r="I123" s="26"/>
    </row>
    <row r="124" customFormat="false" ht="15" hidden="false" customHeight="true" outlineLevel="0" collapsed="false">
      <c r="D124" s="9" t="str">
        <f aca="false">IF(A124="","",IF(C124="2P",OPR_2P!B$2,IF(C124="SEG",SEG_6P!B$2,IF(C124="SOL",SOL_4P!B$2,IF(C124="RW",RW_2P!B$2,IF(C124="RW2",RW2_4P!B$2,0))))))</f>
        <v/>
      </c>
      <c r="F124" s="9" t="str">
        <f aca="false">IF(A124="","", QC_Plan!M124)</f>
        <v/>
      </c>
      <c r="G124" s="26" t="str">
        <f aca="false">IF(B124="","",IF(H124&gt;1000,"High",IF(H124&gt;500,"Medium","Low")))</f>
        <v/>
      </c>
      <c r="I124" s="26"/>
    </row>
    <row r="125" customFormat="false" ht="15" hidden="false" customHeight="true" outlineLevel="0" collapsed="false">
      <c r="D125" s="9" t="str">
        <f aca="false">IF(A125="","",IF(C125="2P",OPR_2P!B$2,IF(C125="SEG",SEG_6P!B$2,IF(C125="SOL",SOL_4P!B$2,IF(C125="RW",RW_2P!B$2,IF(C125="RW2",RW2_4P!B$2,0))))))</f>
        <v/>
      </c>
      <c r="F125" s="9" t="str">
        <f aca="false">IF(A125="","", QC_Plan!M125)</f>
        <v/>
      </c>
      <c r="G125" s="26" t="str">
        <f aca="false">IF(B125="","",IF(H125&gt;1000,"High",IF(H125&gt;500,"Medium","Low")))</f>
        <v/>
      </c>
      <c r="I125" s="26"/>
    </row>
    <row r="126" customFormat="false" ht="15" hidden="false" customHeight="true" outlineLevel="0" collapsed="false">
      <c r="D126" s="9" t="str">
        <f aca="false">IF(A126="","",IF(C126="2P",OPR_2P!B$2,IF(C126="SEG",SEG_6P!B$2,IF(C126="SOL",SOL_4P!B$2,IF(C126="RW",RW_2P!B$2,IF(C126="RW2",RW2_4P!B$2,0))))))</f>
        <v/>
      </c>
      <c r="F126" s="9" t="str">
        <f aca="false">IF(A126="","", QC_Plan!M126)</f>
        <v/>
      </c>
      <c r="G126" s="26" t="str">
        <f aca="false">IF(B126="","",IF(H126&gt;1000,"High",IF(H126&gt;500,"Medium","Low")))</f>
        <v/>
      </c>
      <c r="I126" s="26"/>
    </row>
    <row r="127" customFormat="false" ht="15" hidden="false" customHeight="true" outlineLevel="0" collapsed="false">
      <c r="D127" s="9" t="str">
        <f aca="false">IF(A127="","",IF(C127="2P",OPR_2P!B$2,IF(C127="SEG",SEG_6P!B$2,IF(C127="SOL",SOL_4P!B$2,IF(C127="RW",RW_2P!B$2,IF(C127="RW2",RW2_4P!B$2,0))))))</f>
        <v/>
      </c>
      <c r="F127" s="9" t="str">
        <f aca="false">IF(A127="","", QC_Plan!M127)</f>
        <v/>
      </c>
      <c r="G127" s="26" t="str">
        <f aca="false">IF(B127="","",IF(H127&gt;1000,"High",IF(H127&gt;500,"Medium","Low")))</f>
        <v/>
      </c>
      <c r="I127" s="26"/>
    </row>
    <row r="128" customFormat="false" ht="15" hidden="false" customHeight="true" outlineLevel="0" collapsed="false">
      <c r="D128" s="9" t="str">
        <f aca="false">IF(A128="","",IF(C128="2P",OPR_2P!B$2,IF(C128="SEG",SEG_6P!B$2,IF(C128="SOL",SOL_4P!B$2,IF(C128="RW",RW_2P!B$2,IF(C128="RW2",RW2_4P!B$2,0))))))</f>
        <v/>
      </c>
      <c r="F128" s="9" t="str">
        <f aca="false">IF(A128="","", QC_Plan!M128)</f>
        <v/>
      </c>
      <c r="G128" s="26" t="str">
        <f aca="false">IF(B128="","",IF(H128&gt;1000,"High",IF(H128&gt;500,"Medium","Low")))</f>
        <v/>
      </c>
      <c r="I128" s="26"/>
    </row>
    <row r="129" customFormat="false" ht="15" hidden="false" customHeight="true" outlineLevel="0" collapsed="false">
      <c r="D129" s="9" t="str">
        <f aca="false">IF(A129="","",IF(C129="2P",OPR_2P!B$2,IF(C129="SEG",SEG_6P!B$2,IF(C129="SOL",SOL_4P!B$2,IF(C129="RW",RW_2P!B$2,IF(C129="RW2",RW2_4P!B$2,0))))))</f>
        <v/>
      </c>
      <c r="F129" s="9" t="str">
        <f aca="false">IF(A129="","", QC_Plan!M129)</f>
        <v/>
      </c>
      <c r="G129" s="26" t="str">
        <f aca="false">IF(B129="","",IF(H129&gt;1000,"High",IF(H129&gt;500,"Medium","Low")))</f>
        <v/>
      </c>
      <c r="I129" s="26"/>
    </row>
    <row r="130" customFormat="false" ht="15" hidden="false" customHeight="true" outlineLevel="0" collapsed="false">
      <c r="D130" s="9" t="str">
        <f aca="false">IF(A130="","",IF(C130="2P",OPR_2P!B$2,IF(C130="SEG",SEG_6P!B$2,IF(C130="SOL",SOL_4P!B$2,IF(C130="RW",RW_2P!B$2,IF(C130="RW2",RW2_4P!B$2,0))))))</f>
        <v/>
      </c>
      <c r="F130" s="9" t="str">
        <f aca="false">IF(A130="","", QC_Plan!M130)</f>
        <v/>
      </c>
      <c r="G130" s="26" t="str">
        <f aca="false">IF(B130="","",IF(H130&gt;1000,"High",IF(H130&gt;500,"Medium","Low")))</f>
        <v/>
      </c>
      <c r="I130" s="26"/>
    </row>
    <row r="131" customFormat="false" ht="15" hidden="false" customHeight="true" outlineLevel="0" collapsed="false">
      <c r="D131" s="9" t="str">
        <f aca="false">IF(A131="","",IF(C131="2P",OPR_2P!B$2,IF(C131="SEG",SEG_6P!B$2,IF(C131="SOL",SOL_4P!B$2,IF(C131="RW",RW_2P!B$2,IF(C131="RW2",RW2_4P!B$2,0))))))</f>
        <v/>
      </c>
      <c r="F131" s="9" t="str">
        <f aca="false">IF(A131="","", QC_Plan!M131)</f>
        <v/>
      </c>
      <c r="G131" s="26" t="str">
        <f aca="false">IF(B131="","",IF(H131&gt;1000,"High",IF(H131&gt;500,"Medium","Low")))</f>
        <v/>
      </c>
      <c r="I131" s="26"/>
    </row>
    <row r="132" customFormat="false" ht="15" hidden="false" customHeight="true" outlineLevel="0" collapsed="false">
      <c r="D132" s="9" t="str">
        <f aca="false">IF(A132="","",IF(C132="2P",OPR_2P!B$2,IF(C132="SEG",SEG_6P!B$2,IF(C132="SOL",SOL_4P!B$2,IF(C132="RW",RW_2P!B$2,IF(C132="RW2",RW2_4P!B$2,0))))))</f>
        <v/>
      </c>
      <c r="F132" s="9" t="str">
        <f aca="false">IF(A132="","", QC_Plan!M132)</f>
        <v/>
      </c>
      <c r="G132" s="26" t="str">
        <f aca="false">IF(B132="","",IF(H132&gt;1000,"High",IF(H132&gt;500,"Medium","Low")))</f>
        <v/>
      </c>
      <c r="I132" s="26"/>
    </row>
    <row r="133" customFormat="false" ht="15" hidden="false" customHeight="true" outlineLevel="0" collapsed="false">
      <c r="D133" s="9" t="str">
        <f aca="false">IF(A133="","",IF(C133="2P",OPR_2P!B$2,IF(C133="SEG",SEG_6P!B$2,IF(C133="SOL",SOL_4P!B$2,IF(C133="RW",RW_2P!B$2,IF(C133="RW2",RW2_4P!B$2,0))))))</f>
        <v/>
      </c>
      <c r="F133" s="9" t="str">
        <f aca="false">IF(A133="","", QC_Plan!M133)</f>
        <v/>
      </c>
      <c r="G133" s="26" t="str">
        <f aca="false">IF(B133="","",IF(H133&gt;1000,"High",IF(H133&gt;500,"Medium","Low")))</f>
        <v/>
      </c>
      <c r="I133" s="26"/>
    </row>
    <row r="134" customFormat="false" ht="15" hidden="false" customHeight="true" outlineLevel="0" collapsed="false">
      <c r="D134" s="9" t="str">
        <f aca="false">IF(A134="","",IF(C134="2P",OPR_2P!B$2,IF(C134="SEG",SEG_6P!B$2,IF(C134="SOL",SOL_4P!B$2,IF(C134="RW",RW_2P!B$2,IF(C134="RW2",RW2_4P!B$2,0))))))</f>
        <v/>
      </c>
      <c r="F134" s="9" t="str">
        <f aca="false">IF(A134="","", QC_Plan!M134)</f>
        <v/>
      </c>
      <c r="G134" s="26" t="str">
        <f aca="false">IF(B134="","",IF(H134&gt;1000,"High",IF(H134&gt;500,"Medium","Low")))</f>
        <v/>
      </c>
      <c r="I134" s="26"/>
    </row>
    <row r="135" customFormat="false" ht="15" hidden="false" customHeight="true" outlineLevel="0" collapsed="false">
      <c r="D135" s="9" t="str">
        <f aca="false">IF(A135="","",IF(C135="2P",OPR_2P!B$2,IF(C135="SEG",SEG_6P!B$2,IF(C135="SOL",SOL_4P!B$2,IF(C135="RW",RW_2P!B$2,IF(C135="RW2",RW2_4P!B$2,0))))))</f>
        <v/>
      </c>
      <c r="F135" s="9" t="str">
        <f aca="false">IF(A135="","", QC_Plan!M135)</f>
        <v/>
      </c>
      <c r="G135" s="26" t="str">
        <f aca="false">IF(B135="","",IF(H135&gt;1000,"High",IF(H135&gt;500,"Medium","Low")))</f>
        <v/>
      </c>
      <c r="I135" s="26"/>
    </row>
    <row r="136" customFormat="false" ht="15" hidden="false" customHeight="true" outlineLevel="0" collapsed="false">
      <c r="D136" s="9" t="str">
        <f aca="false">IF(A136="","",IF(C136="2P",OPR_2P!B$2,IF(C136="SEG",SEG_6P!B$2,IF(C136="SOL",SOL_4P!B$2,IF(C136="RW",RW_2P!B$2,IF(C136="RW2",RW2_4P!B$2,0))))))</f>
        <v/>
      </c>
      <c r="F136" s="9" t="str">
        <f aca="false">IF(A136="","", QC_Plan!M136)</f>
        <v/>
      </c>
      <c r="G136" s="26" t="str">
        <f aca="false">IF(B136="","",IF(H136&gt;1000,"High",IF(H136&gt;500,"Medium","Low")))</f>
        <v/>
      </c>
      <c r="I136" s="26"/>
    </row>
    <row r="137" customFormat="false" ht="15" hidden="false" customHeight="true" outlineLevel="0" collapsed="false">
      <c r="D137" s="9" t="str">
        <f aca="false">IF(A137="","",IF(C137="2P",OPR_2P!B$2,IF(C137="SEG",SEG_6P!B$2,IF(C137="SOL",SOL_4P!B$2,IF(C137="RW",RW_2P!B$2,IF(C137="RW2",RW2_4P!B$2,0))))))</f>
        <v/>
      </c>
      <c r="F137" s="9" t="str">
        <f aca="false">IF(A137="","", QC_Plan!M137)</f>
        <v/>
      </c>
      <c r="G137" s="26" t="str">
        <f aca="false">IF(B137="","",IF(H137&gt;1000,"High",IF(H137&gt;500,"Medium","Low")))</f>
        <v/>
      </c>
      <c r="I137" s="26"/>
    </row>
    <row r="138" customFormat="false" ht="15" hidden="false" customHeight="true" outlineLevel="0" collapsed="false">
      <c r="D138" s="9" t="str">
        <f aca="false">IF(A138="","",IF(C138="2P",OPR_2P!B$2,IF(C138="SEG",SEG_6P!B$2,IF(C138="SOL",SOL_4P!B$2,IF(C138="RW",RW_2P!B$2,IF(C138="RW2",RW2_4P!B$2,0))))))</f>
        <v/>
      </c>
      <c r="F138" s="9" t="str">
        <f aca="false">IF(A138="","", QC_Plan!M138)</f>
        <v/>
      </c>
      <c r="G138" s="26" t="str">
        <f aca="false">IF(B138="","",IF(H138&gt;1000,"High",IF(H138&gt;500,"Medium","Low")))</f>
        <v/>
      </c>
      <c r="I138" s="26"/>
    </row>
    <row r="139" customFormat="false" ht="15" hidden="false" customHeight="true" outlineLevel="0" collapsed="false">
      <c r="D139" s="9" t="str">
        <f aca="false">IF(A139="","",IF(C139="2P",OPR_2P!B$2,IF(C139="SEG",SEG_6P!B$2,IF(C139="SOL",SOL_4P!B$2,IF(C139="RW",RW_2P!B$2,IF(C139="RW2",RW2_4P!B$2,0))))))</f>
        <v/>
      </c>
      <c r="F139" s="9" t="str">
        <f aca="false">IF(A139="","", QC_Plan!M139)</f>
        <v/>
      </c>
      <c r="G139" s="26" t="str">
        <f aca="false">IF(B139="","",IF(H139&gt;1000,"High",IF(H139&gt;500,"Medium","Low")))</f>
        <v/>
      </c>
      <c r="I139" s="26"/>
    </row>
    <row r="140" customFormat="false" ht="15" hidden="false" customHeight="true" outlineLevel="0" collapsed="false">
      <c r="D140" s="9" t="str">
        <f aca="false">IF(A140="","",IF(C140="2P",OPR_2P!B$2,IF(C140="SEG",SEG_6P!B$2,IF(C140="SOL",SOL_4P!B$2,IF(C140="RW",RW_2P!B$2,IF(C140="RW2",RW2_4P!B$2,0))))))</f>
        <v/>
      </c>
      <c r="F140" s="9" t="str">
        <f aca="false">IF(A140="","", QC_Plan!M140)</f>
        <v/>
      </c>
      <c r="G140" s="26" t="str">
        <f aca="false">IF(B140="","",IF(H140&gt;1000,"High",IF(H140&gt;500,"Medium","Low")))</f>
        <v/>
      </c>
      <c r="I140" s="26"/>
    </row>
    <row r="141" customFormat="false" ht="15" hidden="false" customHeight="true" outlineLevel="0" collapsed="false">
      <c r="D141" s="9" t="str">
        <f aca="false">IF(A141="","",IF(C141="2P",OPR_2P!B$2,IF(C141="SEG",SEG_6P!B$2,IF(C141="SOL",SOL_4P!B$2,IF(C141="RW",RW_2P!B$2,IF(C141="RW2",RW2_4P!B$2,0))))))</f>
        <v/>
      </c>
      <c r="F141" s="9" t="str">
        <f aca="false">IF(A141="","", QC_Plan!M141)</f>
        <v/>
      </c>
      <c r="G141" s="26" t="str">
        <f aca="false">IF(B141="","",IF(H141&gt;1000,"High",IF(H141&gt;500,"Medium","Low")))</f>
        <v/>
      </c>
      <c r="I141" s="26"/>
    </row>
    <row r="142" customFormat="false" ht="15" hidden="false" customHeight="true" outlineLevel="0" collapsed="false">
      <c r="D142" s="9" t="str">
        <f aca="false">IF(A142="","",IF(C142="2P",OPR_2P!B$2,IF(C142="SEG",SEG_6P!B$2,IF(C142="SOL",SOL_4P!B$2,IF(C142="RW",RW_2P!B$2,IF(C142="RW2",RW2_4P!B$2,0))))))</f>
        <v/>
      </c>
      <c r="F142" s="9" t="str">
        <f aca="false">IF(A142="","", QC_Plan!M142)</f>
        <v/>
      </c>
      <c r="G142" s="26" t="str">
        <f aca="false">IF(B142="","",IF(H142&gt;1000,"High",IF(H142&gt;500,"Medium","Low")))</f>
        <v/>
      </c>
      <c r="I142" s="26"/>
    </row>
    <row r="143" customFormat="false" ht="15" hidden="false" customHeight="true" outlineLevel="0" collapsed="false">
      <c r="D143" s="9" t="str">
        <f aca="false">IF(A143="","",IF(C143="2P",OPR_2P!B$2,IF(C143="SEG",SEG_6P!B$2,IF(C143="SOL",SOL_4P!B$2,IF(C143="RW",RW_2P!B$2,IF(C143="RW2",RW2_4P!B$2,0))))))</f>
        <v/>
      </c>
      <c r="F143" s="9" t="str">
        <f aca="false">IF(A143="","", QC_Plan!M143)</f>
        <v/>
      </c>
      <c r="G143" s="26" t="str">
        <f aca="false">IF(B143="","",IF(H143&gt;1000,"High",IF(H143&gt;500,"Medium","Low")))</f>
        <v/>
      </c>
      <c r="I143" s="26"/>
    </row>
    <row r="144" customFormat="false" ht="15" hidden="false" customHeight="true" outlineLevel="0" collapsed="false">
      <c r="D144" s="9" t="str">
        <f aca="false">IF(A144="","",IF(C144="2P",OPR_2P!B$2,IF(C144="SEG",SEG_6P!B$2,IF(C144="SOL",SOL_4P!B$2,IF(C144="RW",RW_2P!B$2,IF(C144="RW2",RW2_4P!B$2,0))))))</f>
        <v/>
      </c>
      <c r="F144" s="9" t="str">
        <f aca="false">IF(A144="","", QC_Plan!M144)</f>
        <v/>
      </c>
      <c r="G144" s="26" t="str">
        <f aca="false">IF(B144="","",IF(H144&gt;1000,"High",IF(H144&gt;500,"Medium","Low")))</f>
        <v/>
      </c>
      <c r="I144" s="26"/>
    </row>
    <row r="145" customFormat="false" ht="15" hidden="false" customHeight="true" outlineLevel="0" collapsed="false">
      <c r="D145" s="9" t="str">
        <f aca="false">IF(A145="","",IF(C145="2P",OPR_2P!B$2,IF(C145="SEG",SEG_6P!B$2,IF(C145="SOL",SOL_4P!B$2,IF(C145="RW",RW_2P!B$2,IF(C145="RW2",RW2_4P!B$2,0))))))</f>
        <v/>
      </c>
      <c r="F145" s="9" t="str">
        <f aca="false">IF(A145="","", QC_Plan!M145)</f>
        <v/>
      </c>
      <c r="G145" s="26" t="str">
        <f aca="false">IF(B145="","",IF(H145&gt;1000,"High",IF(H145&gt;500,"Medium","Low")))</f>
        <v/>
      </c>
      <c r="I145" s="26"/>
    </row>
    <row r="146" customFormat="false" ht="15" hidden="false" customHeight="true" outlineLevel="0" collapsed="false">
      <c r="D146" s="9" t="str">
        <f aca="false">IF(A146="","",IF(C146="2P",OPR_2P!B$2,IF(C146="SEG",SEG_6P!B$2,IF(C146="SOL",SOL_4P!B$2,IF(C146="RW",RW_2P!B$2,IF(C146="RW2",RW2_4P!B$2,0))))))</f>
        <v/>
      </c>
      <c r="F146" s="9" t="str">
        <f aca="false">IF(A146="","", QC_Plan!M146)</f>
        <v/>
      </c>
      <c r="G146" s="26" t="str">
        <f aca="false">IF(B146="","",IF(H146&gt;1000,"High",IF(H146&gt;500,"Medium","Low")))</f>
        <v/>
      </c>
      <c r="I146" s="26"/>
    </row>
    <row r="147" customFormat="false" ht="15" hidden="false" customHeight="true" outlineLevel="0" collapsed="false">
      <c r="D147" s="9" t="str">
        <f aca="false">IF(A147="","",IF(C147="2P",OPR_2P!B$2,IF(C147="SEG",SEG_6P!B$2,IF(C147="SOL",SOL_4P!B$2,IF(C147="RW",RW_2P!B$2,IF(C147="RW2",RW2_4P!B$2,0))))))</f>
        <v/>
      </c>
      <c r="F147" s="9" t="str">
        <f aca="false">IF(A147="","", QC_Plan!M147)</f>
        <v/>
      </c>
      <c r="G147" s="26" t="str">
        <f aca="false">IF(B147="","",IF(H147&gt;1000,"High",IF(H147&gt;500,"Medium","Low")))</f>
        <v/>
      </c>
      <c r="I147" s="26"/>
    </row>
    <row r="148" customFormat="false" ht="15" hidden="false" customHeight="true" outlineLevel="0" collapsed="false">
      <c r="D148" s="9" t="str">
        <f aca="false">IF(A148="","",IF(C148="2P",OPR_2P!B$2,IF(C148="SEG",SEG_6P!B$2,IF(C148="SOL",SOL_4P!B$2,IF(C148="RW",RW_2P!B$2,IF(C148="RW2",RW2_4P!B$2,0))))))</f>
        <v/>
      </c>
      <c r="F148" s="9" t="str">
        <f aca="false">IF(A148="","", QC_Plan!M148)</f>
        <v/>
      </c>
      <c r="G148" s="26" t="str">
        <f aca="false">IF(B148="","",IF(H148&gt;1000,"High",IF(H148&gt;500,"Medium","Low")))</f>
        <v/>
      </c>
      <c r="I148" s="26"/>
    </row>
    <row r="149" customFormat="false" ht="15" hidden="false" customHeight="true" outlineLevel="0" collapsed="false">
      <c r="D149" s="9" t="str">
        <f aca="false">IF(A149="","",IF(C149="2P",OPR_2P!B$2,IF(C149="SEG",SEG_6P!B$2,IF(C149="SOL",SOL_4P!B$2,IF(C149="RW",RW_2P!B$2,IF(C149="RW2",RW2_4P!B$2,0))))))</f>
        <v/>
      </c>
      <c r="F149" s="9" t="str">
        <f aca="false">IF(A149="","", QC_Plan!M149)</f>
        <v/>
      </c>
      <c r="G149" s="26" t="str">
        <f aca="false">IF(B149="","",IF(H149&gt;1000,"High",IF(H149&gt;500,"Medium","Low")))</f>
        <v/>
      </c>
      <c r="I149" s="26"/>
    </row>
    <row r="150" customFormat="false" ht="15" hidden="false" customHeight="true" outlineLevel="0" collapsed="false">
      <c r="D150" s="9" t="str">
        <f aca="false">IF(A150="","",IF(C150="2P",OPR_2P!B$2,IF(C150="SEG",SEG_6P!B$2,IF(C150="SOL",SOL_4P!B$2,IF(C150="RW",RW_2P!B$2,IF(C150="RW2",RW2_4P!B$2,0))))))</f>
        <v/>
      </c>
      <c r="F150" s="9" t="str">
        <f aca="false">IF(A150="","", QC_Plan!M150)</f>
        <v/>
      </c>
      <c r="G150" s="26" t="str">
        <f aca="false">IF(B150="","",IF(H150&gt;1000,"High",IF(H150&gt;500,"Medium","Low")))</f>
        <v/>
      </c>
      <c r="I150" s="26"/>
    </row>
    <row r="151" customFormat="false" ht="15" hidden="false" customHeight="true" outlineLevel="0" collapsed="false">
      <c r="D151" s="9" t="str">
        <f aca="false">IF(A151="","",IF(C151="2P",OPR_2P!B$2,IF(C151="SEG",SEG_6P!B$2,IF(C151="SOL",SOL_4P!B$2,IF(C151="RW",RW_2P!B$2,IF(C151="RW2",RW2_4P!B$2,0))))))</f>
        <v/>
      </c>
      <c r="F151" s="9" t="str">
        <f aca="false">IF(A151="","", QC_Plan!M151)</f>
        <v/>
      </c>
      <c r="G151" s="26" t="str">
        <f aca="false">IF(B151="","",IF(H151&gt;1000,"High",IF(H151&gt;500,"Medium","Low")))</f>
        <v/>
      </c>
      <c r="I151" s="26"/>
    </row>
    <row r="152" customFormat="false" ht="15" hidden="false" customHeight="true" outlineLevel="0" collapsed="false">
      <c r="D152" s="9" t="str">
        <f aca="false">IF(A152="","",IF(C152="2P",OPR_2P!B$2,IF(C152="SEG",SEG_6P!B$2,IF(C152="SOL",SOL_4P!B$2,IF(C152="RW",RW_2P!B$2,IF(C152="RW2",RW2_4P!B$2,0))))))</f>
        <v/>
      </c>
      <c r="F152" s="9" t="str">
        <f aca="false">IF(A152="","", QC_Plan!M152)</f>
        <v/>
      </c>
      <c r="G152" s="26" t="str">
        <f aca="false">IF(B152="","",IF(H152&gt;1000,"High",IF(H152&gt;500,"Medium","Low")))</f>
        <v/>
      </c>
      <c r="I152" s="26"/>
    </row>
    <row r="153" customFormat="false" ht="15" hidden="false" customHeight="true" outlineLevel="0" collapsed="false">
      <c r="D153" s="9" t="str">
        <f aca="false">IF(A153="","",IF(C153="2P",OPR_2P!B$2,IF(C153="SEG",SEG_6P!B$2,IF(C153="SOL",SOL_4P!B$2,IF(C153="RW",RW_2P!B$2,IF(C153="RW2",RW2_4P!B$2,0))))))</f>
        <v/>
      </c>
      <c r="F153" s="9" t="str">
        <f aca="false">IF(A153="","", QC_Plan!M153)</f>
        <v/>
      </c>
      <c r="G153" s="26" t="str">
        <f aca="false">IF(B153="","",IF(H153&gt;1000,"High",IF(H153&gt;500,"Medium","Low")))</f>
        <v/>
      </c>
      <c r="I153" s="26"/>
    </row>
    <row r="154" customFormat="false" ht="15" hidden="false" customHeight="true" outlineLevel="0" collapsed="false">
      <c r="D154" s="9" t="str">
        <f aca="false">IF(A154="","",IF(C154="2P",OPR_2P!B$2,IF(C154="SEG",SEG_6P!B$2,IF(C154="SOL",SOL_4P!B$2,IF(C154="RW",RW_2P!B$2,IF(C154="RW2",RW2_4P!B$2,0))))))</f>
        <v/>
      </c>
      <c r="F154" s="9" t="str">
        <f aca="false">IF(A154="","", QC_Plan!M154)</f>
        <v/>
      </c>
      <c r="G154" s="26" t="str">
        <f aca="false">IF(B154="","",IF(H154&gt;1000,"High",IF(H154&gt;500,"Medium","Low")))</f>
        <v/>
      </c>
      <c r="I154" s="26"/>
    </row>
    <row r="155" customFormat="false" ht="15" hidden="false" customHeight="true" outlineLevel="0" collapsed="false">
      <c r="D155" s="9" t="str">
        <f aca="false">IF(A155="","",IF(C155="2P",OPR_2P!B$2,IF(C155="SEG",SEG_6P!B$2,IF(C155="SOL",SOL_4P!B$2,IF(C155="RW",RW_2P!B$2,IF(C155="RW2",RW2_4P!B$2,0))))))</f>
        <v/>
      </c>
      <c r="F155" s="9" t="str">
        <f aca="false">IF(A155="","", QC_Plan!M155)</f>
        <v/>
      </c>
      <c r="G155" s="26" t="str">
        <f aca="false">IF(B155="","",IF(H155&gt;1000,"High",IF(H155&gt;500,"Medium","Low")))</f>
        <v/>
      </c>
      <c r="I155" s="26"/>
    </row>
    <row r="156" customFormat="false" ht="15" hidden="false" customHeight="true" outlineLevel="0" collapsed="false">
      <c r="D156" s="9" t="str">
        <f aca="false">IF(A156="","",IF(C156="2P",OPR_2P!B$2,IF(C156="SEG",SEG_6P!B$2,IF(C156="SOL",SOL_4P!B$2,IF(C156="RW",RW_2P!B$2,IF(C156="RW2",RW2_4P!B$2,0))))))</f>
        <v/>
      </c>
      <c r="F156" s="9" t="str">
        <f aca="false">IF(A156="","", QC_Plan!M156)</f>
        <v/>
      </c>
      <c r="G156" s="26" t="str">
        <f aca="false">IF(B156="","",IF(H156&gt;1000,"High",IF(H156&gt;500,"Medium","Low")))</f>
        <v/>
      </c>
      <c r="I156" s="26"/>
    </row>
    <row r="157" customFormat="false" ht="15" hidden="false" customHeight="true" outlineLevel="0" collapsed="false">
      <c r="D157" s="9" t="str">
        <f aca="false">IF(A157="","",IF(C157="2P",OPR_2P!B$2,IF(C157="SEG",SEG_6P!B$2,IF(C157="SOL",SOL_4P!B$2,IF(C157="RW",RW_2P!B$2,IF(C157="RW2",RW2_4P!B$2,0))))))</f>
        <v/>
      </c>
      <c r="F157" s="9" t="str">
        <f aca="false">IF(A157="","", QC_Plan!M157)</f>
        <v/>
      </c>
      <c r="G157" s="26" t="str">
        <f aca="false">IF(B157="","",IF(H157&gt;1000,"High",IF(H157&gt;500,"Medium","Low")))</f>
        <v/>
      </c>
      <c r="I157" s="26"/>
    </row>
    <row r="158" customFormat="false" ht="15" hidden="false" customHeight="true" outlineLevel="0" collapsed="false">
      <c r="D158" s="9" t="str">
        <f aca="false">IF(A158="","",IF(C158="2P",OPR_2P!B$2,IF(C158="SEG",SEG_6P!B$2,IF(C158="SOL",SOL_4P!B$2,IF(C158="RW",RW_2P!B$2,IF(C158="RW2",RW2_4P!B$2,0))))))</f>
        <v/>
      </c>
      <c r="F158" s="9" t="str">
        <f aca="false">IF(A158="","", QC_Plan!M158)</f>
        <v/>
      </c>
      <c r="G158" s="26" t="str">
        <f aca="false">IF(B158="","",IF(H158&gt;1000,"High",IF(H158&gt;500,"Medium","Low")))</f>
        <v/>
      </c>
      <c r="I158" s="26"/>
    </row>
    <row r="159" customFormat="false" ht="15" hidden="false" customHeight="true" outlineLevel="0" collapsed="false">
      <c r="D159" s="9" t="str">
        <f aca="false">IF(A159="","",IF(C159="2P",OPR_2P!B$2,IF(C159="SEG",SEG_6P!B$2,IF(C159="SOL",SOL_4P!B$2,IF(C159="RW",RW_2P!B$2,IF(C159="RW2",RW2_4P!B$2,0))))))</f>
        <v/>
      </c>
      <c r="F159" s="9" t="str">
        <f aca="false">IF(A159="","", QC_Plan!M159)</f>
        <v/>
      </c>
      <c r="G159" s="26" t="str">
        <f aca="false">IF(B159="","",IF(H159&gt;1000,"High",IF(H159&gt;500,"Medium","Low")))</f>
        <v/>
      </c>
      <c r="I159" s="26"/>
    </row>
    <row r="160" customFormat="false" ht="15" hidden="false" customHeight="true" outlineLevel="0" collapsed="false">
      <c r="D160" s="9" t="str">
        <f aca="false">IF(A160="","",IF(C160="2P",OPR_2P!B$2,IF(C160="SEG",SEG_6P!B$2,IF(C160="SOL",SOL_4P!B$2,IF(C160="RW",RW_2P!B$2,IF(C160="RW2",RW2_4P!B$2,0))))))</f>
        <v/>
      </c>
      <c r="F160" s="9" t="str">
        <f aca="false">IF(A160="","", QC_Plan!M160)</f>
        <v/>
      </c>
      <c r="G160" s="26" t="str">
        <f aca="false">IF(B160="","",IF(H160&gt;1000,"High",IF(H160&gt;500,"Medium","Low")))</f>
        <v/>
      </c>
      <c r="I160" s="26"/>
    </row>
    <row r="161" customFormat="false" ht="15" hidden="false" customHeight="true" outlineLevel="0" collapsed="false">
      <c r="D161" s="9" t="str">
        <f aca="false">IF(A161="","",IF(C161="2P",OPR_2P!B$2,IF(C161="SEG",SEG_6P!B$2,IF(C161="SOL",SOL_4P!B$2,IF(C161="RW",RW_2P!B$2,IF(C161="RW2",RW2_4P!B$2,0))))))</f>
        <v/>
      </c>
      <c r="F161" s="9" t="str">
        <f aca="false">IF(A161="","", QC_Plan!M161)</f>
        <v/>
      </c>
      <c r="G161" s="26" t="str">
        <f aca="false">IF(B161="","",IF(H161&gt;1000,"High",IF(H161&gt;500,"Medium","Low")))</f>
        <v/>
      </c>
      <c r="I161" s="26"/>
    </row>
    <row r="162" customFormat="false" ht="15" hidden="false" customHeight="true" outlineLevel="0" collapsed="false">
      <c r="D162" s="9" t="str">
        <f aca="false">IF(A162="","",IF(C162="2P",OPR_2P!B$2,IF(C162="SEG",SEG_6P!B$2,IF(C162="SOL",SOL_4P!B$2,IF(C162="RW",RW_2P!B$2,IF(C162="RW2",RW2_4P!B$2,0))))))</f>
        <v/>
      </c>
      <c r="F162" s="9" t="str">
        <f aca="false">IF(A162="","", QC_Plan!M162)</f>
        <v/>
      </c>
      <c r="G162" s="26" t="str">
        <f aca="false">IF(B162="","",IF(H162&gt;1000,"High",IF(H162&gt;500,"Medium","Low")))</f>
        <v/>
      </c>
      <c r="I162" s="26"/>
    </row>
    <row r="163" customFormat="false" ht="15" hidden="false" customHeight="true" outlineLevel="0" collapsed="false">
      <c r="D163" s="9" t="str">
        <f aca="false">IF(A163="","",IF(C163="2P",OPR_2P!B$2,IF(C163="SEG",SEG_6P!B$2,IF(C163="SOL",SOL_4P!B$2,IF(C163="RW",RW_2P!B$2,IF(C163="RW2",RW2_4P!B$2,0))))))</f>
        <v/>
      </c>
      <c r="F163" s="9" t="str">
        <f aca="false">IF(A163="","", QC_Plan!M163)</f>
        <v/>
      </c>
      <c r="G163" s="26" t="str">
        <f aca="false">IF(B163="","",IF(H163&gt;1000,"High",IF(H163&gt;500,"Medium","Low")))</f>
        <v/>
      </c>
      <c r="I163" s="26"/>
    </row>
    <row r="164" customFormat="false" ht="15" hidden="false" customHeight="true" outlineLevel="0" collapsed="false">
      <c r="D164" s="9" t="str">
        <f aca="false">IF(A164="","",IF(C164="2P",OPR_2P!B$2,IF(C164="SEG",SEG_6P!B$2,IF(C164="SOL",SOL_4P!B$2,IF(C164="RW",RW_2P!B$2,IF(C164="RW2",RW2_4P!B$2,0))))))</f>
        <v/>
      </c>
      <c r="F164" s="9" t="str">
        <f aca="false">IF(A164="","", QC_Plan!M164)</f>
        <v/>
      </c>
      <c r="G164" s="26" t="str">
        <f aca="false">IF(B164="","",IF(H164&gt;1000,"High",IF(H164&gt;500,"Medium","Low")))</f>
        <v/>
      </c>
      <c r="I164" s="26"/>
    </row>
    <row r="165" customFormat="false" ht="15" hidden="false" customHeight="true" outlineLevel="0" collapsed="false">
      <c r="D165" s="9" t="str">
        <f aca="false">IF(A165="","",IF(C165="2P",OPR_2P!B$2,IF(C165="SEG",SEG_6P!B$2,IF(C165="SOL",SOL_4P!B$2,IF(C165="RW",RW_2P!B$2,IF(C165="RW2",RW2_4P!B$2,0))))))</f>
        <v/>
      </c>
      <c r="F165" s="9" t="str">
        <f aca="false">IF(A165="","", QC_Plan!M165)</f>
        <v/>
      </c>
      <c r="G165" s="26" t="str">
        <f aca="false">IF(B165="","",IF(H165&gt;1000,"High",IF(H165&gt;500,"Medium","Low")))</f>
        <v/>
      </c>
      <c r="I165" s="26"/>
    </row>
    <row r="166" customFormat="false" ht="15" hidden="false" customHeight="true" outlineLevel="0" collapsed="false">
      <c r="D166" s="9" t="str">
        <f aca="false">IF(A166="","",IF(C166="2P",OPR_2P!B$2,IF(C166="SEG",SEG_6P!B$2,IF(C166="SOL",SOL_4P!B$2,IF(C166="RW",RW_2P!B$2,IF(C166="RW2",RW2_4P!B$2,0))))))</f>
        <v/>
      </c>
      <c r="F166" s="9" t="str">
        <f aca="false">IF(A166="","", QC_Plan!M166)</f>
        <v/>
      </c>
      <c r="G166" s="26" t="str">
        <f aca="false">IF(B166="","",IF(H166&gt;1000,"High",IF(H166&gt;500,"Medium","Low")))</f>
        <v/>
      </c>
      <c r="I166" s="26"/>
    </row>
    <row r="167" customFormat="false" ht="15" hidden="false" customHeight="true" outlineLevel="0" collapsed="false">
      <c r="D167" s="9" t="str">
        <f aca="false">IF(A167="","",IF(C167="2P",OPR_2P!B$2,IF(C167="SEG",SEG_6P!B$2,IF(C167="SOL",SOL_4P!B$2,IF(C167="RW",RW_2P!B$2,IF(C167="RW2",RW2_4P!B$2,0))))))</f>
        <v/>
      </c>
      <c r="F167" s="9" t="str">
        <f aca="false">IF(A167="","", QC_Plan!M167)</f>
        <v/>
      </c>
      <c r="G167" s="26" t="str">
        <f aca="false">IF(B167="","",IF(H167&gt;1000,"High",IF(H167&gt;500,"Medium","Low")))</f>
        <v/>
      </c>
      <c r="I167" s="26"/>
    </row>
    <row r="168" customFormat="false" ht="15" hidden="false" customHeight="true" outlineLevel="0" collapsed="false">
      <c r="D168" s="9" t="str">
        <f aca="false">IF(A168="","",IF(C168="2P",OPR_2P!B$2,IF(C168="SEG",SEG_6P!B$2,IF(C168="SOL",SOL_4P!B$2,IF(C168="RW",RW_2P!B$2,IF(C168="RW2",RW2_4P!B$2,0))))))</f>
        <v/>
      </c>
      <c r="F168" s="9" t="str">
        <f aca="false">IF(A168="","", QC_Plan!M168)</f>
        <v/>
      </c>
      <c r="G168" s="26" t="str">
        <f aca="false">IF(B168="","",IF(H168&gt;1000,"High",IF(H168&gt;500,"Medium","Low")))</f>
        <v/>
      </c>
      <c r="I168" s="26"/>
    </row>
    <row r="169" customFormat="false" ht="15" hidden="false" customHeight="true" outlineLevel="0" collapsed="false">
      <c r="D169" s="9" t="str">
        <f aca="false">IF(A169="","",IF(C169="2P",OPR_2P!B$2,IF(C169="SEG",SEG_6P!B$2,IF(C169="SOL",SOL_4P!B$2,IF(C169="RW",RW_2P!B$2,IF(C169="RW2",RW2_4P!B$2,0))))))</f>
        <v/>
      </c>
      <c r="F169" s="9" t="str">
        <f aca="false">IF(A169="","", QC_Plan!M169)</f>
        <v/>
      </c>
      <c r="G169" s="26" t="str">
        <f aca="false">IF(B169="","",IF(H169&gt;1000,"High",IF(H169&gt;500,"Medium","Low")))</f>
        <v/>
      </c>
      <c r="I169" s="26"/>
    </row>
    <row r="170" customFormat="false" ht="15" hidden="false" customHeight="true" outlineLevel="0" collapsed="false">
      <c r="D170" s="9" t="str">
        <f aca="false">IF(A170="","",IF(C170="2P",OPR_2P!B$2,IF(C170="SEG",SEG_6P!B$2,IF(C170="SOL",SOL_4P!B$2,IF(C170="RW",RW_2P!B$2,IF(C170="RW2",RW2_4P!B$2,0))))))</f>
        <v/>
      </c>
      <c r="F170" s="9" t="str">
        <f aca="false">IF(A170="","", QC_Plan!M170)</f>
        <v/>
      </c>
      <c r="G170" s="26" t="str">
        <f aca="false">IF(B170="","",IF(H170&gt;1000,"High",IF(H170&gt;500,"Medium","Low")))</f>
        <v/>
      </c>
      <c r="I170" s="26"/>
    </row>
    <row r="171" customFormat="false" ht="15" hidden="false" customHeight="true" outlineLevel="0" collapsed="false">
      <c r="D171" s="9" t="str">
        <f aca="false">IF(A171="","",IF(C171="2P",OPR_2P!B$2,IF(C171="SEG",SEG_6P!B$2,IF(C171="SOL",SOL_4P!B$2,IF(C171="RW",RW_2P!B$2,IF(C171="RW2",RW2_4P!B$2,0))))))</f>
        <v/>
      </c>
      <c r="F171" s="9" t="str">
        <f aca="false">IF(A171="","", QC_Plan!M171)</f>
        <v/>
      </c>
      <c r="G171" s="26" t="str">
        <f aca="false">IF(B171="","",IF(H171&gt;1000,"High",IF(H171&gt;500,"Medium","Low")))</f>
        <v/>
      </c>
      <c r="I171" s="26"/>
    </row>
    <row r="172" customFormat="false" ht="15" hidden="false" customHeight="true" outlineLevel="0" collapsed="false">
      <c r="D172" s="9" t="str">
        <f aca="false">IF(A172="","",IF(C172="2P",OPR_2P!B$2,IF(C172="SEG",SEG_6P!B$2,IF(C172="SOL",SOL_4P!B$2,IF(C172="RW",RW_2P!B$2,IF(C172="RW2",RW2_4P!B$2,0))))))</f>
        <v/>
      </c>
      <c r="F172" s="9" t="str">
        <f aca="false">IF(A172="","", QC_Plan!M172)</f>
        <v/>
      </c>
      <c r="G172" s="26" t="str">
        <f aca="false">IF(B172="","",IF(H172&gt;1000,"High",IF(H172&gt;500,"Medium","Low")))</f>
        <v/>
      </c>
      <c r="I172" s="26"/>
    </row>
    <row r="173" customFormat="false" ht="15" hidden="false" customHeight="true" outlineLevel="0" collapsed="false">
      <c r="D173" s="9" t="str">
        <f aca="false">IF(A173="","",IF(C173="2P",OPR_2P!B$2,IF(C173="SEG",SEG_6P!B$2,IF(C173="SOL",SOL_4P!B$2,IF(C173="RW",RW_2P!B$2,IF(C173="RW2",RW2_4P!B$2,0))))))</f>
        <v/>
      </c>
      <c r="F173" s="9" t="str">
        <f aca="false">IF(A173="","", QC_Plan!M173)</f>
        <v/>
      </c>
      <c r="G173" s="26" t="str">
        <f aca="false">IF(B173="","",IF(H173&gt;1000,"High",IF(H173&gt;500,"Medium","Low")))</f>
        <v/>
      </c>
      <c r="I173" s="26"/>
    </row>
    <row r="174" customFormat="false" ht="15" hidden="false" customHeight="true" outlineLevel="0" collapsed="false">
      <c r="D174" s="9" t="str">
        <f aca="false">IF(A174="","",IF(C174="2P",OPR_2P!B$2,IF(C174="SEG",SEG_6P!B$2,IF(C174="SOL",SOL_4P!B$2,IF(C174="RW",RW_2P!B$2,IF(C174="RW2",RW2_4P!B$2,0))))))</f>
        <v/>
      </c>
      <c r="F174" s="9" t="str">
        <f aca="false">IF(A174="","", QC_Plan!M174)</f>
        <v/>
      </c>
      <c r="G174" s="26" t="str">
        <f aca="false">IF(B174="","",IF(H174&gt;1000,"High",IF(H174&gt;500,"Medium","Low")))</f>
        <v/>
      </c>
      <c r="I174" s="26"/>
    </row>
    <row r="175" customFormat="false" ht="15" hidden="false" customHeight="true" outlineLevel="0" collapsed="false">
      <c r="D175" s="9" t="str">
        <f aca="false">IF(A175="","",IF(C175="2P",OPR_2P!B$2,IF(C175="SEG",SEG_6P!B$2,IF(C175="SOL",SOL_4P!B$2,IF(C175="RW",RW_2P!B$2,IF(C175="RW2",RW2_4P!B$2,0))))))</f>
        <v/>
      </c>
      <c r="F175" s="9" t="str">
        <f aca="false">IF(A175="","", QC_Plan!M175)</f>
        <v/>
      </c>
      <c r="G175" s="26" t="str">
        <f aca="false">IF(B175="","",IF(H175&gt;1000,"High",IF(H175&gt;500,"Medium","Low")))</f>
        <v/>
      </c>
      <c r="I175" s="26"/>
    </row>
    <row r="176" customFormat="false" ht="15" hidden="false" customHeight="true" outlineLevel="0" collapsed="false">
      <c r="D176" s="9" t="str">
        <f aca="false">IF(A176="","",IF(C176="2P",OPR_2P!B$2,IF(C176="SEG",SEG_6P!B$2,IF(C176="SOL",SOL_4P!B$2,IF(C176="RW",RW_2P!B$2,IF(C176="RW2",RW2_4P!B$2,0))))))</f>
        <v/>
      </c>
      <c r="F176" s="9" t="str">
        <f aca="false">IF(A176="","", QC_Plan!M176)</f>
        <v/>
      </c>
      <c r="G176" s="26" t="str">
        <f aca="false">IF(B176="","",IF(H176&gt;1000,"High",IF(H176&gt;500,"Medium","Low")))</f>
        <v/>
      </c>
      <c r="I176" s="26"/>
    </row>
    <row r="177" customFormat="false" ht="15" hidden="false" customHeight="true" outlineLevel="0" collapsed="false">
      <c r="D177" s="9" t="str">
        <f aca="false">IF(A177="","",IF(C177="2P",OPR_2P!B$2,IF(C177="SEG",SEG_6P!B$2,IF(C177="SOL",SOL_4P!B$2,IF(C177="RW",RW_2P!B$2,IF(C177="RW2",RW2_4P!B$2,0))))))</f>
        <v/>
      </c>
      <c r="F177" s="9" t="str">
        <f aca="false">IF(A177="","", QC_Plan!M177)</f>
        <v/>
      </c>
      <c r="G177" s="26" t="str">
        <f aca="false">IF(B177="","",IF(H177&gt;1000,"High",IF(H177&gt;500,"Medium","Low")))</f>
        <v/>
      </c>
      <c r="I177" s="26"/>
    </row>
    <row r="178" customFormat="false" ht="15" hidden="false" customHeight="true" outlineLevel="0" collapsed="false">
      <c r="D178" s="9" t="str">
        <f aca="false">IF(A178="","",IF(C178="2P",OPR_2P!B$2,IF(C178="SEG",SEG_6P!B$2,IF(C178="SOL",SOL_4P!B$2,IF(C178="RW",RW_2P!B$2,IF(C178="RW2",RW2_4P!B$2,0))))))</f>
        <v/>
      </c>
      <c r="F178" s="9" t="str">
        <f aca="false">IF(A178="","", QC_Plan!M178)</f>
        <v/>
      </c>
      <c r="G178" s="26" t="str">
        <f aca="false">IF(B178="","",IF(H178&gt;1000,"High",IF(H178&gt;500,"Medium","Low")))</f>
        <v/>
      </c>
      <c r="I178" s="26"/>
    </row>
    <row r="179" customFormat="false" ht="15" hidden="false" customHeight="true" outlineLevel="0" collapsed="false">
      <c r="D179" s="9" t="str">
        <f aca="false">IF(A179="","",IF(C179="2P",OPR_2P!B$2,IF(C179="SEG",SEG_6P!B$2,IF(C179="SOL",SOL_4P!B$2,IF(C179="RW",RW_2P!B$2,IF(C179="RW2",RW2_4P!B$2,0))))))</f>
        <v/>
      </c>
      <c r="F179" s="9" t="str">
        <f aca="false">IF(A179="","", QC_Plan!M179)</f>
        <v/>
      </c>
      <c r="G179" s="26" t="str">
        <f aca="false">IF(B179="","",IF(H179&gt;1000,"High",IF(H179&gt;500,"Medium","Low")))</f>
        <v/>
      </c>
      <c r="I179" s="26"/>
    </row>
    <row r="180" customFormat="false" ht="15" hidden="false" customHeight="true" outlineLevel="0" collapsed="false">
      <c r="D180" s="9" t="str">
        <f aca="false">IF(A180="","",IF(C180="2P",OPR_2P!B$2,IF(C180="SEG",SEG_6P!B$2,IF(C180="SOL",SOL_4P!B$2,IF(C180="RW",RW_2P!B$2,IF(C180="RW2",RW2_4P!B$2,0))))))</f>
        <v/>
      </c>
      <c r="F180" s="9" t="str">
        <f aca="false">IF(A180="","", QC_Plan!M180)</f>
        <v/>
      </c>
      <c r="G180" s="26" t="str">
        <f aca="false">IF(B180="","",IF(H180&gt;1000,"High",IF(H180&gt;500,"Medium","Low")))</f>
        <v/>
      </c>
      <c r="I180" s="26"/>
    </row>
    <row r="181" customFormat="false" ht="15" hidden="false" customHeight="true" outlineLevel="0" collapsed="false">
      <c r="D181" s="9" t="str">
        <f aca="false">IF(A181="","",IF(C181="2P",OPR_2P!B$2,IF(C181="SEG",SEG_6P!B$2,IF(C181="SOL",SOL_4P!B$2,IF(C181="RW",RW_2P!B$2,IF(C181="RW2",RW2_4P!B$2,0))))))</f>
        <v/>
      </c>
      <c r="F181" s="9" t="str">
        <f aca="false">IF(A181="","", QC_Plan!M181)</f>
        <v/>
      </c>
      <c r="G181" s="26" t="str">
        <f aca="false">IF(B181="","",IF(H181&gt;1000,"High",IF(H181&gt;500,"Medium","Low")))</f>
        <v/>
      </c>
      <c r="I181" s="26"/>
    </row>
    <row r="182" customFormat="false" ht="15" hidden="false" customHeight="true" outlineLevel="0" collapsed="false">
      <c r="D182" s="9" t="str">
        <f aca="false">IF(A182="","",IF(C182="2P",OPR_2P!B$2,IF(C182="SEG",SEG_6P!B$2,IF(C182="SOL",SOL_4P!B$2,IF(C182="RW",RW_2P!B$2,IF(C182="RW2",RW2_4P!B$2,0))))))</f>
        <v/>
      </c>
      <c r="F182" s="9" t="str">
        <f aca="false">IF(A182="","", QC_Plan!M182)</f>
        <v/>
      </c>
      <c r="G182" s="26" t="str">
        <f aca="false">IF(B182="","",IF(H182&gt;1000,"High",IF(H182&gt;500,"Medium","Low")))</f>
        <v/>
      </c>
      <c r="I182" s="26"/>
    </row>
    <row r="183" customFormat="false" ht="15" hidden="false" customHeight="true" outlineLevel="0" collapsed="false">
      <c r="D183" s="9" t="str">
        <f aca="false">IF(A183="","",IF(C183="2P",OPR_2P!B$2,IF(C183="SEG",SEG_6P!B$2,IF(C183="SOL",SOL_4P!B$2,IF(C183="RW",RW_2P!B$2,IF(C183="RW2",RW2_4P!B$2,0))))))</f>
        <v/>
      </c>
      <c r="F183" s="9" t="str">
        <f aca="false">IF(A183="","", QC_Plan!M183)</f>
        <v/>
      </c>
      <c r="G183" s="26" t="str">
        <f aca="false">IF(B183="","",IF(H183&gt;1000,"High",IF(H183&gt;500,"Medium","Low")))</f>
        <v/>
      </c>
      <c r="I183" s="26"/>
    </row>
    <row r="184" customFormat="false" ht="15" hidden="false" customHeight="true" outlineLevel="0" collapsed="false">
      <c r="D184" s="9" t="str">
        <f aca="false">IF(A184="","",IF(C184="2P",OPR_2P!B$2,IF(C184="SEG",SEG_6P!B$2,IF(C184="SOL",SOL_4P!B$2,IF(C184="RW",RW_2P!B$2,IF(C184="RW2",RW2_4P!B$2,0))))))</f>
        <v/>
      </c>
      <c r="F184" s="9" t="str">
        <f aca="false">IF(A184="","", QC_Plan!M184)</f>
        <v/>
      </c>
      <c r="G184" s="26" t="str">
        <f aca="false">IF(B184="","",IF(H184&gt;1000,"High",IF(H184&gt;500,"Medium","Low")))</f>
        <v/>
      </c>
      <c r="I184" s="26"/>
    </row>
    <row r="185" customFormat="false" ht="15" hidden="false" customHeight="true" outlineLevel="0" collapsed="false">
      <c r="D185" s="9" t="str">
        <f aca="false">IF(A185="","",IF(C185="2P",OPR_2P!B$2,IF(C185="SEG",SEG_6P!B$2,IF(C185="SOL",SOL_4P!B$2,IF(C185="RW",RW_2P!B$2,IF(C185="RW2",RW2_4P!B$2,0))))))</f>
        <v/>
      </c>
      <c r="F185" s="9" t="str">
        <f aca="false">IF(A185="","", QC_Plan!M185)</f>
        <v/>
      </c>
      <c r="G185" s="26" t="str">
        <f aca="false">IF(B185="","",IF(H185&gt;1000,"High",IF(H185&gt;500,"Medium","Low")))</f>
        <v/>
      </c>
      <c r="I185" s="26"/>
    </row>
    <row r="186" customFormat="false" ht="15" hidden="false" customHeight="true" outlineLevel="0" collapsed="false">
      <c r="D186" s="9" t="str">
        <f aca="false">IF(A186="","",IF(C186="2P",OPR_2P!B$2,IF(C186="SEG",SEG_6P!B$2,IF(C186="SOL",SOL_4P!B$2,IF(C186="RW",RW_2P!B$2,IF(C186="RW2",RW2_4P!B$2,0))))))</f>
        <v/>
      </c>
      <c r="F186" s="9" t="str">
        <f aca="false">IF(A186="","", QC_Plan!M186)</f>
        <v/>
      </c>
      <c r="G186" s="26" t="str">
        <f aca="false">IF(B186="","",IF(H186&gt;1000,"High",IF(H186&gt;500,"Medium","Low")))</f>
        <v/>
      </c>
      <c r="I186" s="26"/>
    </row>
    <row r="187" customFormat="false" ht="15" hidden="false" customHeight="true" outlineLevel="0" collapsed="false">
      <c r="D187" s="9" t="str">
        <f aca="false">IF(A187="","",IF(C187="2P",OPR_2P!B$2,IF(C187="SEG",SEG_6P!B$2,IF(C187="SOL",SOL_4P!B$2,IF(C187="RW",RW_2P!B$2,IF(C187="RW2",RW2_4P!B$2,0))))))</f>
        <v/>
      </c>
      <c r="F187" s="9" t="str">
        <f aca="false">IF(A187="","", QC_Plan!M187)</f>
        <v/>
      </c>
      <c r="G187" s="26" t="str">
        <f aca="false">IF(B187="","",IF(H187&gt;1000,"High",IF(H187&gt;500,"Medium","Low")))</f>
        <v/>
      </c>
      <c r="I187" s="26"/>
    </row>
    <row r="188" customFormat="false" ht="15" hidden="false" customHeight="true" outlineLevel="0" collapsed="false">
      <c r="D188" s="9" t="str">
        <f aca="false">IF(A188="","",IF(C188="2P",OPR_2P!B$2,IF(C188="SEG",SEG_6P!B$2,IF(C188="SOL",SOL_4P!B$2,IF(C188="RW",RW_2P!B$2,IF(C188="RW2",RW2_4P!B$2,0))))))</f>
        <v/>
      </c>
      <c r="F188" s="9" t="str">
        <f aca="false">IF(A188="","", QC_Plan!M188)</f>
        <v/>
      </c>
      <c r="G188" s="26" t="str">
        <f aca="false">IF(B188="","",IF(H188&gt;1000,"High",IF(H188&gt;500,"Medium","Low")))</f>
        <v/>
      </c>
      <c r="I188" s="26"/>
    </row>
    <row r="189" customFormat="false" ht="15" hidden="false" customHeight="true" outlineLevel="0" collapsed="false">
      <c r="D189" s="9" t="str">
        <f aca="false">IF(A189="","",IF(C189="2P",OPR_2P!B$2,IF(C189="SEG",SEG_6P!B$2,IF(C189="SOL",SOL_4P!B$2,IF(C189="RW",RW_2P!B$2,IF(C189="RW2",RW2_4P!B$2,0))))))</f>
        <v/>
      </c>
      <c r="F189" s="9" t="str">
        <f aca="false">IF(A189="","", QC_Plan!M189)</f>
        <v/>
      </c>
      <c r="G189" s="26" t="str">
        <f aca="false">IF(B189="","",IF(H189&gt;1000,"High",IF(H189&gt;500,"Medium","Low")))</f>
        <v/>
      </c>
      <c r="I189" s="26"/>
    </row>
    <row r="190" customFormat="false" ht="15" hidden="false" customHeight="true" outlineLevel="0" collapsed="false">
      <c r="D190" s="9" t="str">
        <f aca="false">IF(A190="","",IF(C190="2P",OPR_2P!B$2,IF(C190="SEG",SEG_6P!B$2,IF(C190="SOL",SOL_4P!B$2,IF(C190="RW",RW_2P!B$2,IF(C190="RW2",RW2_4P!B$2,0))))))</f>
        <v/>
      </c>
      <c r="F190" s="9" t="str">
        <f aca="false">IF(A190="","", QC_Plan!M190)</f>
        <v/>
      </c>
      <c r="G190" s="26" t="str">
        <f aca="false">IF(B190="","",IF(H190&gt;1000,"High",IF(H190&gt;500,"Medium","Low")))</f>
        <v/>
      </c>
      <c r="I190" s="26"/>
    </row>
    <row r="191" customFormat="false" ht="15" hidden="false" customHeight="true" outlineLevel="0" collapsed="false">
      <c r="D191" s="9" t="str">
        <f aca="false">IF(A191="","",IF(C191="2P",OPR_2P!B$2,IF(C191="SEG",SEG_6P!B$2,IF(C191="SOL",SOL_4P!B$2,IF(C191="RW",RW_2P!B$2,IF(C191="RW2",RW2_4P!B$2,0))))))</f>
        <v/>
      </c>
      <c r="F191" s="9" t="str">
        <f aca="false">IF(A191="","", QC_Plan!M191)</f>
        <v/>
      </c>
      <c r="G191" s="26" t="str">
        <f aca="false">IF(B191="","",IF(H191&gt;1000,"High",IF(H191&gt;500,"Medium","Low")))</f>
        <v/>
      </c>
      <c r="I191" s="26"/>
    </row>
    <row r="192" customFormat="false" ht="15" hidden="false" customHeight="true" outlineLevel="0" collapsed="false">
      <c r="D192" s="9" t="str">
        <f aca="false">IF(A192="","",IF(C192="2P",OPR_2P!B$2,IF(C192="SEG",SEG_6P!B$2,IF(C192="SOL",SOL_4P!B$2,IF(C192="RW",RW_2P!B$2,IF(C192="RW2",RW2_4P!B$2,0))))))</f>
        <v/>
      </c>
      <c r="F192" s="9" t="str">
        <f aca="false">IF(A192="","", QC_Plan!M192)</f>
        <v/>
      </c>
      <c r="G192" s="26" t="str">
        <f aca="false">IF(B192="","",IF(H192&gt;1000,"High",IF(H192&gt;500,"Medium","Low")))</f>
        <v/>
      </c>
      <c r="I192" s="26"/>
    </row>
    <row r="193" customFormat="false" ht="15" hidden="false" customHeight="true" outlineLevel="0" collapsed="false">
      <c r="D193" s="9" t="str">
        <f aca="false">IF(A193="","",IF(C193="2P",OPR_2P!B$2,IF(C193="SEG",SEG_6P!B$2,IF(C193="SOL",SOL_4P!B$2,IF(C193="RW",RW_2P!B$2,IF(C193="RW2",RW2_4P!B$2,0))))))</f>
        <v/>
      </c>
      <c r="F193" s="9" t="str">
        <f aca="false">IF(A193="","", QC_Plan!M193)</f>
        <v/>
      </c>
      <c r="G193" s="26" t="str">
        <f aca="false">IF(B193="","",IF(H193&gt;1000,"High",IF(H193&gt;500,"Medium","Low")))</f>
        <v/>
      </c>
      <c r="I193" s="26"/>
    </row>
    <row r="194" customFormat="false" ht="15" hidden="false" customHeight="true" outlineLevel="0" collapsed="false">
      <c r="D194" s="9" t="str">
        <f aca="false">IF(A194="","",IF(C194="2P",OPR_2P!B$2,IF(C194="SEG",SEG_6P!B$2,IF(C194="SOL",SOL_4P!B$2,IF(C194="RW",RW_2P!B$2,IF(C194="RW2",RW2_4P!B$2,0))))))</f>
        <v/>
      </c>
      <c r="F194" s="9" t="str">
        <f aca="false">IF(A194="","", QC_Plan!M194)</f>
        <v/>
      </c>
      <c r="G194" s="26" t="str">
        <f aca="false">IF(B194="","",IF(H194&gt;1000,"High",IF(H194&gt;500,"Medium","Low")))</f>
        <v/>
      </c>
      <c r="I194" s="26"/>
    </row>
    <row r="195" customFormat="false" ht="15" hidden="false" customHeight="true" outlineLevel="0" collapsed="false">
      <c r="D195" s="9" t="str">
        <f aca="false">IF(A195="","",IF(C195="2P",OPR_2P!B$2,IF(C195="SEG",SEG_6P!B$2,IF(C195="SOL",SOL_4P!B$2,IF(C195="RW",RW_2P!B$2,IF(C195="RW2",RW2_4P!B$2,0))))))</f>
        <v/>
      </c>
      <c r="F195" s="9" t="str">
        <f aca="false">IF(A195="","", QC_Plan!M195)</f>
        <v/>
      </c>
      <c r="G195" s="26" t="str">
        <f aca="false">IF(B195="","",IF(H195&gt;1000,"High",IF(H195&gt;500,"Medium","Low")))</f>
        <v/>
      </c>
      <c r="I195" s="26"/>
    </row>
    <row r="196" customFormat="false" ht="15" hidden="false" customHeight="true" outlineLevel="0" collapsed="false">
      <c r="D196" s="9" t="str">
        <f aca="false">IF(A196="","",IF(C196="2P",OPR_2P!B$2,IF(C196="SEG",SEG_6P!B$2,IF(C196="SOL",SOL_4P!B$2,IF(C196="RW",RW_2P!B$2,IF(C196="RW2",RW2_4P!B$2,0))))))</f>
        <v/>
      </c>
      <c r="F196" s="9" t="str">
        <f aca="false">IF(A196="","", QC_Plan!M196)</f>
        <v/>
      </c>
      <c r="G196" s="26" t="str">
        <f aca="false">IF(B196="","",IF(H196&gt;1000,"High",IF(H196&gt;500,"Medium","Low")))</f>
        <v/>
      </c>
      <c r="I196" s="26"/>
    </row>
    <row r="197" customFormat="false" ht="15" hidden="false" customHeight="true" outlineLevel="0" collapsed="false">
      <c r="D197" s="9" t="str">
        <f aca="false">IF(A197="","",IF(C197="2P",OPR_2P!B$2,IF(C197="SEG",SEG_6P!B$2,IF(C197="SOL",SOL_4P!B$2,IF(C197="RW",RW_2P!B$2,IF(C197="RW2",RW2_4P!B$2,0))))))</f>
        <v/>
      </c>
      <c r="F197" s="9" t="str">
        <f aca="false">IF(A197="","", QC_Plan!M197)</f>
        <v/>
      </c>
      <c r="G197" s="26" t="str">
        <f aca="false">IF(B197="","",IF(H197&gt;1000,"High",IF(H197&gt;500,"Medium","Low")))</f>
        <v/>
      </c>
      <c r="I197" s="26"/>
    </row>
    <row r="198" customFormat="false" ht="15" hidden="false" customHeight="true" outlineLevel="0" collapsed="false">
      <c r="D198" s="9" t="str">
        <f aca="false">IF(A198="","",IF(C198="2P",OPR_2P!B$2,IF(C198="SEG",SEG_6P!B$2,IF(C198="SOL",SOL_4P!B$2,IF(C198="RW",RW_2P!B$2,IF(C198="RW2",RW2_4P!B$2,0))))))</f>
        <v/>
      </c>
      <c r="F198" s="9" t="str">
        <f aca="false">IF(A198="","", QC_Plan!M198)</f>
        <v/>
      </c>
      <c r="G198" s="26" t="str">
        <f aca="false">IF(B198="","",IF(H198&gt;1000,"High",IF(H198&gt;500,"Medium","Low")))</f>
        <v/>
      </c>
      <c r="I198" s="26"/>
    </row>
    <row r="199" customFormat="false" ht="15" hidden="false" customHeight="true" outlineLevel="0" collapsed="false">
      <c r="D199" s="9" t="str">
        <f aca="false">IF(A199="","",IF(C199="2P",OPR_2P!B$2,IF(C199="SEG",SEG_6P!B$2,IF(C199="SOL",SOL_4P!B$2,IF(C199="RW",RW_2P!B$2,IF(C199="RW2",RW2_4P!B$2,0))))))</f>
        <v/>
      </c>
      <c r="F199" s="9" t="str">
        <f aca="false">IF(A199="","", QC_Plan!M199)</f>
        <v/>
      </c>
      <c r="G199" s="26" t="str">
        <f aca="false">IF(B199="","",IF(H199&gt;1000,"High",IF(H199&gt;500,"Medium","Low")))</f>
        <v/>
      </c>
      <c r="I199" s="26"/>
    </row>
    <row r="200" customFormat="false" ht="15" hidden="false" customHeight="true" outlineLevel="0" collapsed="false">
      <c r="D200" s="9" t="str">
        <f aca="false">IF(A200="","",IF(C200="2P",OPR_2P!B$2,IF(C200="SEG",SEG_6P!B$2,IF(C200="SOL",SOL_4P!B$2,IF(C200="RW",RW_2P!B$2,IF(C200="RW2",RW2_4P!B$2,0))))))</f>
        <v/>
      </c>
      <c r="F200" s="9" t="str">
        <f aca="false">IF(A200="","", QC_Plan!M200)</f>
        <v/>
      </c>
      <c r="G200" s="26" t="str">
        <f aca="false">IF(B200="","",IF(H200&gt;1000,"High",IF(H200&gt;500,"Medium","Low")))</f>
        <v/>
      </c>
      <c r="I200" s="26"/>
    </row>
    <row r="201" customFormat="false" ht="15" hidden="false" customHeight="true" outlineLevel="0" collapsed="false">
      <c r="D201" s="9" t="str">
        <f aca="false">IF(A201="","",IF(C201="2P",OPR_2P!B$2,IF(C201="SEG",SEG_6P!B$2,IF(C201="SOL",SOL_4P!B$2,IF(C201="RW",RW_2P!B$2,IF(C201="RW2",RW2_4P!B$2,0))))))</f>
        <v/>
      </c>
      <c r="F201" s="9" t="str">
        <f aca="false">IF(A201="","", QC_Plan!M201)</f>
        <v/>
      </c>
      <c r="G201" s="26" t="str">
        <f aca="false">IF(B201="","",IF(H201&gt;1000,"High",IF(H201&gt;500,"Medium","Low")))</f>
        <v/>
      </c>
      <c r="I201" s="26"/>
    </row>
    <row r="202" customFormat="false" ht="15" hidden="false" customHeight="true" outlineLevel="0" collapsed="false">
      <c r="D202" s="9" t="str">
        <f aca="false">IF(A202="","",IF(C202="2P",OPR_2P!B$2,IF(C202="SEG",SEG_6P!B$2,IF(C202="SOL",SOL_4P!B$2,IF(C202="RW",RW_2P!B$2,IF(C202="RW2",RW2_4P!B$2,0))))))</f>
        <v/>
      </c>
      <c r="F202" s="9" t="str">
        <f aca="false">IF(A202="","", QC_Plan!M202)</f>
        <v/>
      </c>
      <c r="G202" s="26" t="str">
        <f aca="false">IF(B202="","",IF(H202&gt;1000,"High",IF(H202&gt;500,"Medium","Low")))</f>
        <v/>
      </c>
      <c r="I202" s="26"/>
    </row>
    <row r="203" customFormat="false" ht="15" hidden="false" customHeight="true" outlineLevel="0" collapsed="false">
      <c r="D203" s="9" t="str">
        <f aca="false">IF(A203="","",IF(C203="2P",OPR_2P!B$2,IF(C203="SEG",SEG_6P!B$2,IF(C203="SOL",SOL_4P!B$2,IF(C203="RW",RW_2P!B$2,IF(C203="RW2",RW2_4P!B$2,0))))))</f>
        <v/>
      </c>
      <c r="F203" s="9" t="str">
        <f aca="false">IF(A203="","", QC_Plan!M203)</f>
        <v/>
      </c>
      <c r="G203" s="26" t="str">
        <f aca="false">IF(B203="","",IF(H203&gt;1000,"High",IF(H203&gt;500,"Medium","Low")))</f>
        <v/>
      </c>
      <c r="I203" s="26"/>
    </row>
    <row r="204" customFormat="false" ht="15" hidden="false" customHeight="true" outlineLevel="0" collapsed="false">
      <c r="D204" s="9" t="str">
        <f aca="false">IF(A204="","",IF(C204="2P",OPR_2P!B$2,IF(C204="SEG",SEG_6P!B$2,IF(C204="SOL",SOL_4P!B$2,IF(C204="RW",RW_2P!B$2,IF(C204="RW2",RW2_4P!B$2,0))))))</f>
        <v/>
      </c>
      <c r="F204" s="9" t="str">
        <f aca="false">IF(A204="","", QC_Plan!M204)</f>
        <v/>
      </c>
      <c r="G204" s="26" t="str">
        <f aca="false">IF(B204="","",IF(H204&gt;1000,"High",IF(H204&gt;500,"Medium","Low")))</f>
        <v/>
      </c>
      <c r="I204" s="26"/>
    </row>
    <row r="205" customFormat="false" ht="15" hidden="false" customHeight="true" outlineLevel="0" collapsed="false">
      <c r="D205" s="9" t="str">
        <f aca="false">IF(A205="","",IF(C205="2P",OPR_2P!B$2,IF(C205="SEG",SEG_6P!B$2,IF(C205="SOL",SOL_4P!B$2,IF(C205="RW",RW_2P!B$2,IF(C205="RW2",RW2_4P!B$2,0))))))</f>
        <v/>
      </c>
      <c r="F205" s="9" t="str">
        <f aca="false">IF(A205="","", QC_Plan!M205)</f>
        <v/>
      </c>
      <c r="G205" s="26" t="str">
        <f aca="false">IF(B205="","",IF(H205&gt;1000,"High",IF(H205&gt;500,"Medium","Low")))</f>
        <v/>
      </c>
      <c r="I205" s="26"/>
    </row>
    <row r="206" customFormat="false" ht="15" hidden="false" customHeight="true" outlineLevel="0" collapsed="false">
      <c r="D206" s="9" t="str">
        <f aca="false">IF(A206="","",IF(C206="2P",OPR_2P!B$2,IF(C206="SEG",SEG_6P!B$2,IF(C206="SOL",SOL_4P!B$2,IF(C206="RW",RW_2P!B$2,IF(C206="RW2",RW2_4P!B$2,0))))))</f>
        <v/>
      </c>
      <c r="F206" s="9" t="str">
        <f aca="false">IF(A206="","", QC_Plan!M206)</f>
        <v/>
      </c>
      <c r="G206" s="26" t="str">
        <f aca="false">IF(B206="","",IF(H206&gt;1000,"High",IF(H206&gt;500,"Medium","Low")))</f>
        <v/>
      </c>
      <c r="I206" s="26"/>
    </row>
    <row r="207" customFormat="false" ht="15" hidden="false" customHeight="true" outlineLevel="0" collapsed="false">
      <c r="D207" s="9" t="str">
        <f aca="false">IF(A207="","",IF(C207="2P",OPR_2P!B$2,IF(C207="SEG",SEG_6P!B$2,IF(C207="SOL",SOL_4P!B$2,IF(C207="RW",RW_2P!B$2,IF(C207="RW2",RW2_4P!B$2,0))))))</f>
        <v/>
      </c>
      <c r="F207" s="9" t="str">
        <f aca="false">IF(A207="","", QC_Plan!M207)</f>
        <v/>
      </c>
      <c r="G207" s="26" t="str">
        <f aca="false">IF(B207="","",IF(H207&gt;1000,"High",IF(H207&gt;500,"Medium","Low")))</f>
        <v/>
      </c>
      <c r="I207" s="26"/>
    </row>
    <row r="208" customFormat="false" ht="15" hidden="false" customHeight="true" outlineLevel="0" collapsed="false">
      <c r="D208" s="9" t="str">
        <f aca="false">IF(A208="","",IF(C208="2P",OPR_2P!B$2,IF(C208="SEG",SEG_6P!B$2,IF(C208="SOL",SOL_4P!B$2,IF(C208="RW",RW_2P!B$2,IF(C208="RW2",RW2_4P!B$2,0))))))</f>
        <v/>
      </c>
      <c r="F208" s="9" t="str">
        <f aca="false">IF(A208="","", QC_Plan!M208)</f>
        <v/>
      </c>
      <c r="G208" s="26" t="str">
        <f aca="false">IF(B208="","",IF(H208&gt;1000,"High",IF(H208&gt;500,"Medium","Low")))</f>
        <v/>
      </c>
      <c r="I208" s="26"/>
    </row>
    <row r="209" customFormat="false" ht="15" hidden="false" customHeight="true" outlineLevel="0" collapsed="false">
      <c r="D209" s="9" t="str">
        <f aca="false">IF(A209="","",IF(C209="2P",OPR_2P!B$2,IF(C209="SEG",SEG_6P!B$2,IF(C209="SOL",SOL_4P!B$2,IF(C209="RW",RW_2P!B$2,IF(C209="RW2",RW2_4P!B$2,0))))))</f>
        <v/>
      </c>
      <c r="F209" s="9" t="str">
        <f aca="false">IF(A209="","", QC_Plan!M209)</f>
        <v/>
      </c>
      <c r="G209" s="26" t="str">
        <f aca="false">IF(B209="","",IF(H209&gt;1000,"High",IF(H209&gt;500,"Medium","Low")))</f>
        <v/>
      </c>
      <c r="I209" s="26"/>
    </row>
    <row r="210" customFormat="false" ht="15" hidden="false" customHeight="true" outlineLevel="0" collapsed="false">
      <c r="D210" s="9" t="str">
        <f aca="false">IF(A210="","",IF(C210="2P",OPR_2P!B$2,IF(C210="SEG",SEG_6P!B$2,IF(C210="SOL",SOL_4P!B$2,IF(C210="RW",RW_2P!B$2,IF(C210="RW2",RW2_4P!B$2,0))))))</f>
        <v/>
      </c>
      <c r="F210" s="9" t="str">
        <f aca="false">IF(A210="","", QC_Plan!M210)</f>
        <v/>
      </c>
      <c r="G210" s="26" t="str">
        <f aca="false">IF(B210="","",IF(H210&gt;1000,"High",IF(H210&gt;500,"Medium","Low")))</f>
        <v/>
      </c>
      <c r="I210" s="26"/>
    </row>
    <row r="211" customFormat="false" ht="15" hidden="false" customHeight="true" outlineLevel="0" collapsed="false">
      <c r="D211" s="9" t="str">
        <f aca="false">IF(A211="","",IF(C211="2P",OPR_2P!B$2,IF(C211="SEG",SEG_6P!B$2,IF(C211="SOL",SOL_4P!B$2,IF(C211="RW",RW_2P!B$2,IF(C211="RW2",RW2_4P!B$2,0))))))</f>
        <v/>
      </c>
      <c r="F211" s="9" t="str">
        <f aca="false">IF(A211="","", QC_Plan!M211)</f>
        <v/>
      </c>
      <c r="G211" s="26" t="str">
        <f aca="false">IF(B211="","",IF(H211&gt;1000,"High",IF(H211&gt;500,"Medium","Low")))</f>
        <v/>
      </c>
      <c r="I211" s="26"/>
    </row>
    <row r="212" customFormat="false" ht="15" hidden="false" customHeight="true" outlineLevel="0" collapsed="false">
      <c r="D212" s="9" t="str">
        <f aca="false">IF(A212="","",IF(C212="2P",OPR_2P!B$2,IF(C212="SEG",SEG_6P!B$2,IF(C212="SOL",SOL_4P!B$2,IF(C212="RW",RW_2P!B$2,IF(C212="RW2",RW2_4P!B$2,0))))))</f>
        <v/>
      </c>
      <c r="F212" s="9" t="str">
        <f aca="false">IF(A212="","", QC_Plan!M212)</f>
        <v/>
      </c>
      <c r="G212" s="26" t="str">
        <f aca="false">IF(B212="","",IF(H212&gt;1000,"High",IF(H212&gt;500,"Medium","Low")))</f>
        <v/>
      </c>
      <c r="I212" s="26"/>
    </row>
    <row r="213" customFormat="false" ht="15" hidden="false" customHeight="true" outlineLevel="0" collapsed="false">
      <c r="D213" s="9" t="str">
        <f aca="false">IF(A213="","",IF(C213="2P",OPR_2P!B$2,IF(C213="SEG",SEG_6P!B$2,IF(C213="SOL",SOL_4P!B$2,IF(C213="RW",RW_2P!B$2,IF(C213="RW2",RW2_4P!B$2,0))))))</f>
        <v/>
      </c>
      <c r="F213" s="9" t="str">
        <f aca="false">IF(A213="","", QC_Plan!M213)</f>
        <v/>
      </c>
      <c r="G213" s="26" t="str">
        <f aca="false">IF(B213="","",IF(H213&gt;1000,"High",IF(H213&gt;500,"Medium","Low")))</f>
        <v/>
      </c>
      <c r="I213" s="26"/>
    </row>
    <row r="214" customFormat="false" ht="15" hidden="false" customHeight="true" outlineLevel="0" collapsed="false">
      <c r="D214" s="9" t="str">
        <f aca="false">IF(A214="","",IF(C214="2P",OPR_2P!B$2,IF(C214="SEG",SEG_6P!B$2,IF(C214="SOL",SOL_4P!B$2,IF(C214="RW",RW_2P!B$2,IF(C214="RW2",RW2_4P!B$2,0))))))</f>
        <v/>
      </c>
      <c r="F214" s="9" t="str">
        <f aca="false">IF(A214="","", QC_Plan!M214)</f>
        <v/>
      </c>
      <c r="G214" s="26" t="str">
        <f aca="false">IF(B214="","",IF(H214&gt;1000,"High",IF(H214&gt;500,"Medium","Low")))</f>
        <v/>
      </c>
      <c r="I214" s="26"/>
    </row>
    <row r="215" customFormat="false" ht="15" hidden="false" customHeight="true" outlineLevel="0" collapsed="false">
      <c r="D215" s="9" t="str">
        <f aca="false">IF(A215="","",IF(C215="2P",OPR_2P!B$2,IF(C215="SEG",SEG_6P!B$2,IF(C215="SOL",SOL_4P!B$2,IF(C215="RW",RW_2P!B$2,IF(C215="RW2",RW2_4P!B$2,0))))))</f>
        <v/>
      </c>
      <c r="F215" s="9" t="str">
        <f aca="false">IF(A215="","", QC_Plan!M215)</f>
        <v/>
      </c>
      <c r="G215" s="26" t="str">
        <f aca="false">IF(B215="","",IF(H215&gt;1000,"High",IF(H215&gt;500,"Medium","Low")))</f>
        <v/>
      </c>
      <c r="I215" s="26"/>
    </row>
    <row r="216" customFormat="false" ht="15" hidden="false" customHeight="true" outlineLevel="0" collapsed="false">
      <c r="D216" s="9" t="str">
        <f aca="false">IF(A216="","",IF(C216="2P",OPR_2P!B$2,IF(C216="SEG",SEG_6P!B$2,IF(C216="SOL",SOL_4P!B$2,IF(C216="RW",RW_2P!B$2,IF(C216="RW2",RW2_4P!B$2,0))))))</f>
        <v/>
      </c>
      <c r="F216" s="9" t="str">
        <f aca="false">IF(A216="","", QC_Plan!M216)</f>
        <v/>
      </c>
      <c r="G216" s="26" t="str">
        <f aca="false">IF(B216="","",IF(H216&gt;1000,"High",IF(H216&gt;500,"Medium","Low")))</f>
        <v/>
      </c>
      <c r="I216" s="26"/>
    </row>
    <row r="217" customFormat="false" ht="15" hidden="false" customHeight="true" outlineLevel="0" collapsed="false">
      <c r="D217" s="9" t="str">
        <f aca="false">IF(A217="","",IF(C217="2P",OPR_2P!B$2,IF(C217="SEG",SEG_6P!B$2,IF(C217="SOL",SOL_4P!B$2,IF(C217="RW",RW_2P!B$2,IF(C217="RW2",RW2_4P!B$2,0))))))</f>
        <v/>
      </c>
      <c r="F217" s="9" t="str">
        <f aca="false">IF(A217="","", QC_Plan!M217)</f>
        <v/>
      </c>
      <c r="G217" s="26" t="str">
        <f aca="false">IF(B217="","",IF(H217&gt;1000,"High",IF(H217&gt;500,"Medium","Low")))</f>
        <v/>
      </c>
      <c r="I217" s="26"/>
    </row>
    <row r="218" customFormat="false" ht="15" hidden="false" customHeight="true" outlineLevel="0" collapsed="false">
      <c r="D218" s="9" t="str">
        <f aca="false">IF(A218="","",IF(C218="2P",OPR_2P!B$2,IF(C218="SEG",SEG_6P!B$2,IF(C218="SOL",SOL_4P!B$2,IF(C218="RW",RW_2P!B$2,IF(C218="RW2",RW2_4P!B$2,0))))))</f>
        <v/>
      </c>
      <c r="F218" s="9" t="str">
        <f aca="false">IF(A218="","", QC_Plan!M218)</f>
        <v/>
      </c>
      <c r="G218" s="26" t="str">
        <f aca="false">IF(B218="","",IF(H218&gt;1000,"High",IF(H218&gt;500,"Medium","Low")))</f>
        <v/>
      </c>
      <c r="I218" s="26"/>
    </row>
    <row r="219" customFormat="false" ht="15" hidden="false" customHeight="true" outlineLevel="0" collapsed="false">
      <c r="D219" s="9" t="str">
        <f aca="false">IF(A219="","",IF(C219="2P",OPR_2P!B$2,IF(C219="SEG",SEG_6P!B$2,IF(C219="SOL",SOL_4P!B$2,IF(C219="RW",RW_2P!B$2,IF(C219="RW2",RW2_4P!B$2,0))))))</f>
        <v/>
      </c>
      <c r="F219" s="9" t="str">
        <f aca="false">IF(A219="","", QC_Plan!M219)</f>
        <v/>
      </c>
      <c r="G219" s="26" t="str">
        <f aca="false">IF(B219="","",IF(H219&gt;1000,"High",IF(H219&gt;500,"Medium","Low")))</f>
        <v/>
      </c>
      <c r="I219" s="26"/>
    </row>
    <row r="220" customFormat="false" ht="15" hidden="false" customHeight="true" outlineLevel="0" collapsed="false">
      <c r="D220" s="9" t="str">
        <f aca="false">IF(A220="","",IF(C220="2P",OPR_2P!B$2,IF(C220="SEG",SEG_6P!B$2,IF(C220="SOL",SOL_4P!B$2,IF(C220="RW",RW_2P!B$2,IF(C220="RW2",RW2_4P!B$2,0))))))</f>
        <v/>
      </c>
      <c r="F220" s="9" t="str">
        <f aca="false">IF(A220="","", QC_Plan!M220)</f>
        <v/>
      </c>
      <c r="G220" s="26" t="str">
        <f aca="false">IF(B220="","",IF(H220&gt;1000,"High",IF(H220&gt;500,"Medium","Low")))</f>
        <v/>
      </c>
      <c r="I220" s="26"/>
    </row>
    <row r="221" customFormat="false" ht="15" hidden="false" customHeight="true" outlineLevel="0" collapsed="false">
      <c r="D221" s="9" t="str">
        <f aca="false">IF(A221="","",IF(C221="2P",OPR_2P!B$2,IF(C221="SEG",SEG_6P!B$2,IF(C221="SOL",SOL_4P!B$2,IF(C221="RW",RW_2P!B$2,IF(C221="RW2",RW2_4P!B$2,0))))))</f>
        <v/>
      </c>
      <c r="F221" s="9" t="str">
        <f aca="false">IF(A221="","", QC_Plan!M221)</f>
        <v/>
      </c>
      <c r="G221" s="26" t="str">
        <f aca="false">IF(B221="","",IF(H221&gt;1000,"High",IF(H221&gt;500,"Medium","Low")))</f>
        <v/>
      </c>
      <c r="I221" s="26"/>
    </row>
    <row r="222" customFormat="false" ht="15" hidden="false" customHeight="true" outlineLevel="0" collapsed="false">
      <c r="D222" s="9" t="str">
        <f aca="false">IF(A222="","",IF(C222="2P",OPR_2P!B$2,IF(C222="SEG",SEG_6P!B$2,IF(C222="SOL",SOL_4P!B$2,IF(C222="RW",RW_2P!B$2,IF(C222="RW2",RW2_4P!B$2,0))))))</f>
        <v/>
      </c>
      <c r="F222" s="9" t="str">
        <f aca="false">IF(A222="","", QC_Plan!M222)</f>
        <v/>
      </c>
      <c r="G222" s="26" t="str">
        <f aca="false">IF(B222="","",IF(H222&gt;1000,"High",IF(H222&gt;500,"Medium","Low")))</f>
        <v/>
      </c>
      <c r="I222" s="26"/>
    </row>
    <row r="223" customFormat="false" ht="15" hidden="false" customHeight="true" outlineLevel="0" collapsed="false">
      <c r="D223" s="9" t="str">
        <f aca="false">IF(A223="","",IF(C223="2P",OPR_2P!B$2,IF(C223="SEG",SEG_6P!B$2,IF(C223="SOL",SOL_4P!B$2,IF(C223="RW",RW_2P!B$2,IF(C223="RW2",RW2_4P!B$2,0))))))</f>
        <v/>
      </c>
      <c r="F223" s="9" t="str">
        <f aca="false">IF(A223="","", QC_Plan!M223)</f>
        <v/>
      </c>
      <c r="G223" s="26" t="str">
        <f aca="false">IF(B223="","",IF(H223&gt;1000,"High",IF(H223&gt;500,"Medium","Low")))</f>
        <v/>
      </c>
      <c r="I223" s="26"/>
    </row>
    <row r="224" customFormat="false" ht="15" hidden="false" customHeight="true" outlineLevel="0" collapsed="false">
      <c r="D224" s="9" t="str">
        <f aca="false">IF(A224="","",IF(C224="2P",OPR_2P!B$2,IF(C224="SEG",SEG_6P!B$2,IF(C224="SOL",SOL_4P!B$2,IF(C224="RW",RW_2P!B$2,IF(C224="RW2",RW2_4P!B$2,0))))))</f>
        <v/>
      </c>
      <c r="F224" s="9" t="str">
        <f aca="false">IF(A224="","", QC_Plan!M224)</f>
        <v/>
      </c>
      <c r="G224" s="26" t="str">
        <f aca="false">IF(B224="","",IF(H224&gt;1000,"High",IF(H224&gt;500,"Medium","Low")))</f>
        <v/>
      </c>
      <c r="I224" s="26"/>
    </row>
    <row r="225" customFormat="false" ht="15" hidden="false" customHeight="true" outlineLevel="0" collapsed="false">
      <c r="D225" s="9" t="str">
        <f aca="false">IF(A225="","",IF(C225="2P",OPR_2P!B$2,IF(C225="SEG",SEG_6P!B$2,IF(C225="SOL",SOL_4P!B$2,IF(C225="RW",RW_2P!B$2,IF(C225="RW2",RW2_4P!B$2,0))))))</f>
        <v/>
      </c>
      <c r="F225" s="9" t="str">
        <f aca="false">IF(A225="","", QC_Plan!M225)</f>
        <v/>
      </c>
      <c r="G225" s="26" t="str">
        <f aca="false">IF(B225="","",IF(H225&gt;1000,"High",IF(H225&gt;500,"Medium","Low")))</f>
        <v/>
      </c>
      <c r="I225" s="26"/>
    </row>
    <row r="226" customFormat="false" ht="15" hidden="false" customHeight="true" outlineLevel="0" collapsed="false">
      <c r="D226" s="9" t="str">
        <f aca="false">IF(A226="","",IF(C226="2P",OPR_2P!B$2,IF(C226="SEG",SEG_6P!B$2,IF(C226="SOL",SOL_4P!B$2,IF(C226="RW",RW_2P!B$2,IF(C226="RW2",RW2_4P!B$2,0))))))</f>
        <v/>
      </c>
      <c r="F226" s="9" t="str">
        <f aca="false">IF(A226="","", QC_Plan!M226)</f>
        <v/>
      </c>
      <c r="G226" s="26" t="str">
        <f aca="false">IF(B226="","",IF(H226&gt;1000,"High",IF(H226&gt;500,"Medium","Low")))</f>
        <v/>
      </c>
      <c r="I226" s="26"/>
    </row>
    <row r="227" customFormat="false" ht="15" hidden="false" customHeight="true" outlineLevel="0" collapsed="false">
      <c r="D227" s="9" t="str">
        <f aca="false">IF(A227="","",IF(C227="2P",OPR_2P!B$2,IF(C227="SEG",SEG_6P!B$2,IF(C227="SOL",SOL_4P!B$2,IF(C227="RW",RW_2P!B$2,IF(C227="RW2",RW2_4P!B$2,0))))))</f>
        <v/>
      </c>
      <c r="F227" s="9" t="str">
        <f aca="false">IF(A227="","", QC_Plan!M227)</f>
        <v/>
      </c>
      <c r="G227" s="26" t="str">
        <f aca="false">IF(B227="","",IF(H227&gt;1000,"High",IF(H227&gt;500,"Medium","Low")))</f>
        <v/>
      </c>
      <c r="I227" s="26"/>
    </row>
    <row r="228" customFormat="false" ht="15" hidden="false" customHeight="true" outlineLevel="0" collapsed="false">
      <c r="D228" s="9" t="str">
        <f aca="false">IF(A228="","",IF(C228="2P",OPR_2P!B$2,IF(C228="SEG",SEG_6P!B$2,IF(C228="SOL",SOL_4P!B$2,IF(C228="RW",RW_2P!B$2,IF(C228="RW2",RW2_4P!B$2,0))))))</f>
        <v/>
      </c>
      <c r="F228" s="9" t="str">
        <f aca="false">IF(A228="","", QC_Plan!M228)</f>
        <v/>
      </c>
      <c r="G228" s="26" t="str">
        <f aca="false">IF(B228="","",IF(H228&gt;1000,"High",IF(H228&gt;500,"Medium","Low")))</f>
        <v/>
      </c>
      <c r="I228" s="26"/>
    </row>
    <row r="229" customFormat="false" ht="15" hidden="false" customHeight="true" outlineLevel="0" collapsed="false">
      <c r="D229" s="9" t="str">
        <f aca="false">IF(A229="","",IF(C229="2P",OPR_2P!B$2,IF(C229="SEG",SEG_6P!B$2,IF(C229="SOL",SOL_4P!B$2,IF(C229="RW",RW_2P!B$2,IF(C229="RW2",RW2_4P!B$2,0))))))</f>
        <v/>
      </c>
      <c r="F229" s="9" t="str">
        <f aca="false">IF(A229="","", QC_Plan!M229)</f>
        <v/>
      </c>
      <c r="G229" s="26" t="str">
        <f aca="false">IF(B229="","",IF(H229&gt;1000,"High",IF(H229&gt;500,"Medium","Low")))</f>
        <v/>
      </c>
      <c r="I229" s="26"/>
    </row>
    <row r="230" customFormat="false" ht="15" hidden="false" customHeight="true" outlineLevel="0" collapsed="false">
      <c r="D230" s="9" t="str">
        <f aca="false">IF(A230="","",IF(C230="2P",OPR_2P!B$2,IF(C230="SEG",SEG_6P!B$2,IF(C230="SOL",SOL_4P!B$2,IF(C230="RW",RW_2P!B$2,IF(C230="RW2",RW2_4P!B$2,0))))))</f>
        <v/>
      </c>
      <c r="F230" s="9" t="str">
        <f aca="false">IF(A230="","", QC_Plan!M230)</f>
        <v/>
      </c>
      <c r="G230" s="26" t="str">
        <f aca="false">IF(B230="","",IF(H230&gt;1000,"High",IF(H230&gt;500,"Medium","Low")))</f>
        <v/>
      </c>
      <c r="I230" s="26"/>
    </row>
    <row r="231" customFormat="false" ht="15" hidden="false" customHeight="true" outlineLevel="0" collapsed="false">
      <c r="D231" s="9" t="str">
        <f aca="false">IF(A231="","",IF(C231="2P",OPR_2P!B$2,IF(C231="SEG",SEG_6P!B$2,IF(C231="SOL",SOL_4P!B$2,IF(C231="RW",RW_2P!B$2,IF(C231="RW2",RW2_4P!B$2,0))))))</f>
        <v/>
      </c>
      <c r="F231" s="9" t="str">
        <f aca="false">IF(A231="","", QC_Plan!M231)</f>
        <v/>
      </c>
      <c r="G231" s="26" t="str">
        <f aca="false">IF(B231="","",IF(H231&gt;1000,"High",IF(H231&gt;500,"Medium","Low")))</f>
        <v/>
      </c>
      <c r="I231" s="26"/>
    </row>
    <row r="232" customFormat="false" ht="15" hidden="false" customHeight="true" outlineLevel="0" collapsed="false">
      <c r="D232" s="9" t="str">
        <f aca="false">IF(A232="","",IF(C232="2P",OPR_2P!B$2,IF(C232="SEG",SEG_6P!B$2,IF(C232="SOL",SOL_4P!B$2,IF(C232="RW",RW_2P!B$2,IF(C232="RW2",RW2_4P!B$2,0))))))</f>
        <v/>
      </c>
      <c r="F232" s="9" t="str">
        <f aca="false">IF(A232="","", QC_Plan!M232)</f>
        <v/>
      </c>
      <c r="G232" s="26" t="str">
        <f aca="false">IF(B232="","",IF(H232&gt;1000,"High",IF(H232&gt;500,"Medium","Low")))</f>
        <v/>
      </c>
      <c r="I232" s="26"/>
    </row>
    <row r="233" customFormat="false" ht="15" hidden="false" customHeight="true" outlineLevel="0" collapsed="false">
      <c r="D233" s="9" t="str">
        <f aca="false">IF(A233="","",IF(C233="2P",OPR_2P!B$2,IF(C233="SEG",SEG_6P!B$2,IF(C233="SOL",SOL_4P!B$2,IF(C233="RW",RW_2P!B$2,IF(C233="RW2",RW2_4P!B$2,0))))))</f>
        <v/>
      </c>
      <c r="F233" s="9" t="str">
        <f aca="false">IF(A233="","", QC_Plan!M233)</f>
        <v/>
      </c>
      <c r="G233" s="26" t="str">
        <f aca="false">IF(B233="","",IF(H233&gt;1000,"High",IF(H233&gt;500,"Medium","Low")))</f>
        <v/>
      </c>
      <c r="I233" s="26"/>
    </row>
    <row r="234" customFormat="false" ht="15" hidden="false" customHeight="true" outlineLevel="0" collapsed="false">
      <c r="D234" s="9" t="str">
        <f aca="false">IF(A234="","",IF(C234="2P",OPR_2P!B$2,IF(C234="SEG",SEG_6P!B$2,IF(C234="SOL",SOL_4P!B$2,IF(C234="RW",RW_2P!B$2,IF(C234="RW2",RW2_4P!B$2,0))))))</f>
        <v/>
      </c>
      <c r="F234" s="9" t="str">
        <f aca="false">IF(A234="","", QC_Plan!M234)</f>
        <v/>
      </c>
      <c r="G234" s="26" t="str">
        <f aca="false">IF(B234="","",IF(H234&gt;1000,"High",IF(H234&gt;500,"Medium","Low")))</f>
        <v/>
      </c>
      <c r="I234" s="26"/>
    </row>
    <row r="235" customFormat="false" ht="15" hidden="false" customHeight="true" outlineLevel="0" collapsed="false">
      <c r="D235" s="9" t="str">
        <f aca="false">IF(A235="","",IF(C235="2P",OPR_2P!B$2,IF(C235="SEG",SEG_6P!B$2,IF(C235="SOL",SOL_4P!B$2,IF(C235="RW",RW_2P!B$2,IF(C235="RW2",RW2_4P!B$2,0))))))</f>
        <v/>
      </c>
      <c r="F235" s="9" t="str">
        <f aca="false">IF(A235="","", QC_Plan!M235)</f>
        <v/>
      </c>
      <c r="G235" s="26" t="str">
        <f aca="false">IF(B235="","",IF(H235&gt;1000,"High",IF(H235&gt;500,"Medium","Low")))</f>
        <v/>
      </c>
      <c r="I235" s="26"/>
    </row>
    <row r="236" customFormat="false" ht="15" hidden="false" customHeight="true" outlineLevel="0" collapsed="false">
      <c r="D236" s="9" t="str">
        <f aca="false">IF(A236="","",IF(C236="2P",OPR_2P!B$2,IF(C236="SEG",SEG_6P!B$2,IF(C236="SOL",SOL_4P!B$2,IF(C236="RW",RW_2P!B$2,IF(C236="RW2",RW2_4P!B$2,0))))))</f>
        <v/>
      </c>
      <c r="F236" s="9" t="str">
        <f aca="false">IF(A236="","", QC_Plan!M236)</f>
        <v/>
      </c>
      <c r="G236" s="26" t="str">
        <f aca="false">IF(B236="","",IF(H236&gt;1000,"High",IF(H236&gt;500,"Medium","Low")))</f>
        <v/>
      </c>
      <c r="I236" s="26"/>
    </row>
    <row r="237" customFormat="false" ht="15" hidden="false" customHeight="true" outlineLevel="0" collapsed="false">
      <c r="D237" s="9" t="str">
        <f aca="false">IF(A237="","",IF(C237="2P",OPR_2P!B$2,IF(C237="SEG",SEG_6P!B$2,IF(C237="SOL",SOL_4P!B$2,IF(C237="RW",RW_2P!B$2,IF(C237="RW2",RW2_4P!B$2,0))))))</f>
        <v/>
      </c>
      <c r="F237" s="9" t="str">
        <f aca="false">IF(A237="","", QC_Plan!M237)</f>
        <v/>
      </c>
      <c r="G237" s="26" t="str">
        <f aca="false">IF(B237="","",IF(H237&gt;1000,"High",IF(H237&gt;500,"Medium","Low")))</f>
        <v/>
      </c>
      <c r="I237" s="26"/>
    </row>
    <row r="238" customFormat="false" ht="15" hidden="false" customHeight="true" outlineLevel="0" collapsed="false">
      <c r="D238" s="9" t="str">
        <f aca="false">IF(A238="","",IF(C238="2P",OPR_2P!B$2,IF(C238="SEG",SEG_6P!B$2,IF(C238="SOL",SOL_4P!B$2,IF(C238="RW",RW_2P!B$2,IF(C238="RW2",RW2_4P!B$2,0))))))</f>
        <v/>
      </c>
      <c r="F238" s="9" t="str">
        <f aca="false">IF(A238="","", QC_Plan!M238)</f>
        <v/>
      </c>
      <c r="G238" s="26" t="str">
        <f aca="false">IF(B238="","",IF(H238&gt;1000,"High",IF(H238&gt;500,"Medium","Low")))</f>
        <v/>
      </c>
      <c r="I238" s="26"/>
    </row>
    <row r="239" customFormat="false" ht="15" hidden="false" customHeight="true" outlineLevel="0" collapsed="false">
      <c r="D239" s="9" t="str">
        <f aca="false">IF(A239="","",IF(C239="2P",OPR_2P!B$2,IF(C239="SEG",SEG_6P!B$2,IF(C239="SOL",SOL_4P!B$2,IF(C239="RW",RW_2P!B$2,IF(C239="RW2",RW2_4P!B$2,0))))))</f>
        <v/>
      </c>
      <c r="F239" s="9" t="str">
        <f aca="false">IF(A239="","", QC_Plan!M239)</f>
        <v/>
      </c>
      <c r="G239" s="26" t="str">
        <f aca="false">IF(B239="","",IF(H239&gt;1000,"High",IF(H239&gt;500,"Medium","Low")))</f>
        <v/>
      </c>
      <c r="I239" s="26"/>
    </row>
    <row r="240" customFormat="false" ht="15" hidden="false" customHeight="true" outlineLevel="0" collapsed="false">
      <c r="D240" s="9" t="str">
        <f aca="false">IF(A240="","",IF(C240="2P",OPR_2P!B$2,IF(C240="SEG",SEG_6P!B$2,IF(C240="SOL",SOL_4P!B$2,IF(C240="RW",RW_2P!B$2,IF(C240="RW2",RW2_4P!B$2,0))))))</f>
        <v/>
      </c>
      <c r="F240" s="9" t="str">
        <f aca="false">IF(A240="","", QC_Plan!M240)</f>
        <v/>
      </c>
      <c r="G240" s="26" t="str">
        <f aca="false">IF(B240="","",IF(H240&gt;1000,"High",IF(H240&gt;500,"Medium","Low")))</f>
        <v/>
      </c>
      <c r="I240" s="26"/>
    </row>
    <row r="241" customFormat="false" ht="15" hidden="false" customHeight="true" outlineLevel="0" collapsed="false">
      <c r="D241" s="9" t="str">
        <f aca="false">IF(A241="","",IF(C241="2P",OPR_2P!B$2,IF(C241="SEG",SEG_6P!B$2,IF(C241="SOL",SOL_4P!B$2,IF(C241="RW",RW_2P!B$2,IF(C241="RW2",RW2_4P!B$2,0))))))</f>
        <v/>
      </c>
      <c r="F241" s="9" t="str">
        <f aca="false">IF(A241="","", QC_Plan!M241)</f>
        <v/>
      </c>
      <c r="G241" s="26" t="str">
        <f aca="false">IF(B241="","",IF(H241&gt;1000,"High",IF(H241&gt;500,"Medium","Low")))</f>
        <v/>
      </c>
      <c r="I241" s="26"/>
    </row>
    <row r="242" customFormat="false" ht="15" hidden="false" customHeight="true" outlineLevel="0" collapsed="false">
      <c r="D242" s="9" t="str">
        <f aca="false">IF(A242="","",IF(C242="2P",OPR_2P!B$2,IF(C242="SEG",SEG_6P!B$2,IF(C242="SOL",SOL_4P!B$2,IF(C242="RW",RW_2P!B$2,IF(C242="RW2",RW2_4P!B$2,0))))))</f>
        <v/>
      </c>
      <c r="F242" s="9" t="str">
        <f aca="false">IF(A242="","", QC_Plan!M242)</f>
        <v/>
      </c>
      <c r="G242" s="26" t="str">
        <f aca="false">IF(B242="","",IF(H242&gt;1000,"High",IF(H242&gt;500,"Medium","Low")))</f>
        <v/>
      </c>
      <c r="I242" s="26"/>
    </row>
    <row r="243" customFormat="false" ht="15" hidden="false" customHeight="true" outlineLevel="0" collapsed="false">
      <c r="D243" s="9" t="str">
        <f aca="false">IF(A243="","",IF(C243="2P",OPR_2P!B$2,IF(C243="SEG",SEG_6P!B$2,IF(C243="SOL",SOL_4P!B$2,IF(C243="RW",RW_2P!B$2,IF(C243="RW2",RW2_4P!B$2,0))))))</f>
        <v/>
      </c>
      <c r="F243" s="9" t="str">
        <f aca="false">IF(A243="","", QC_Plan!M243)</f>
        <v/>
      </c>
      <c r="G243" s="26" t="str">
        <f aca="false">IF(B243="","",IF(H243&gt;1000,"High",IF(H243&gt;500,"Medium","Low")))</f>
        <v/>
      </c>
      <c r="I243" s="26"/>
    </row>
    <row r="244" customFormat="false" ht="15" hidden="false" customHeight="true" outlineLevel="0" collapsed="false">
      <c r="D244" s="9" t="str">
        <f aca="false">IF(A244="","",IF(C244="2P",OPR_2P!B$2,IF(C244="SEG",SEG_6P!B$2,IF(C244="SOL",SOL_4P!B$2,IF(C244="RW",RW_2P!B$2,IF(C244="RW2",RW2_4P!B$2,0))))))</f>
        <v/>
      </c>
      <c r="F244" s="9" t="str">
        <f aca="false">IF(A244="","", QC_Plan!M244)</f>
        <v/>
      </c>
      <c r="G244" s="26" t="str">
        <f aca="false">IF(B244="","",IF(H244&gt;1000,"High",IF(H244&gt;500,"Medium","Low")))</f>
        <v/>
      </c>
      <c r="I244" s="26"/>
    </row>
    <row r="245" customFormat="false" ht="15" hidden="false" customHeight="true" outlineLevel="0" collapsed="false">
      <c r="D245" s="9" t="str">
        <f aca="false">IF(A245="","",IF(C245="2P",OPR_2P!B$2,IF(C245="SEG",SEG_6P!B$2,IF(C245="SOL",SOL_4P!B$2,IF(C245="RW",RW_2P!B$2,IF(C245="RW2",RW2_4P!B$2,0))))))</f>
        <v/>
      </c>
      <c r="F245" s="9" t="str">
        <f aca="false">IF(A245="","", QC_Plan!M245)</f>
        <v/>
      </c>
      <c r="G245" s="26" t="str">
        <f aca="false">IF(B245="","",IF(H245&gt;1000,"High",IF(H245&gt;500,"Medium","Low")))</f>
        <v/>
      </c>
      <c r="I245" s="26"/>
    </row>
    <row r="246" customFormat="false" ht="15" hidden="false" customHeight="true" outlineLevel="0" collapsed="false">
      <c r="D246" s="9" t="str">
        <f aca="false">IF(A246="","",IF(C246="2P",OPR_2P!B$2,IF(C246="SEG",SEG_6P!B$2,IF(C246="SOL",SOL_4P!B$2,IF(C246="RW",RW_2P!B$2,IF(C246="RW2",RW2_4P!B$2,0))))))</f>
        <v/>
      </c>
      <c r="F246" s="9" t="str">
        <f aca="false">IF(A246="","", QC_Plan!M246)</f>
        <v/>
      </c>
      <c r="G246" s="26" t="str">
        <f aca="false">IF(B246="","",IF(H246&gt;1000,"High",IF(H246&gt;500,"Medium","Low")))</f>
        <v/>
      </c>
      <c r="I246" s="26"/>
    </row>
    <row r="247" customFormat="false" ht="15" hidden="false" customHeight="true" outlineLevel="0" collapsed="false">
      <c r="D247" s="9" t="str">
        <f aca="false">IF(A247="","",IF(C247="2P",OPR_2P!B$2,IF(C247="SEG",SEG_6P!B$2,IF(C247="SOL",SOL_4P!B$2,IF(C247="RW",RW_2P!B$2,IF(C247="RW2",RW2_4P!B$2,0))))))</f>
        <v/>
      </c>
      <c r="F247" s="9" t="str">
        <f aca="false">IF(A247="","", QC_Plan!M247)</f>
        <v/>
      </c>
      <c r="G247" s="26" t="str">
        <f aca="false">IF(B247="","",IF(H247&gt;1000,"High",IF(H247&gt;500,"Medium","Low")))</f>
        <v/>
      </c>
      <c r="I247" s="26"/>
    </row>
    <row r="248" customFormat="false" ht="15" hidden="false" customHeight="true" outlineLevel="0" collapsed="false">
      <c r="D248" s="9" t="str">
        <f aca="false">IF(A248="","",IF(C248="2P",OPR_2P!B$2,IF(C248="SEG",SEG_6P!B$2,IF(C248="SOL",SOL_4P!B$2,IF(C248="RW",RW_2P!B$2,IF(C248="RW2",RW2_4P!B$2,0))))))</f>
        <v/>
      </c>
      <c r="F248" s="9" t="str">
        <f aca="false">IF(A248="","", QC_Plan!M248)</f>
        <v/>
      </c>
      <c r="G248" s="26" t="str">
        <f aca="false">IF(B248="","",IF(H248&gt;1000,"High",IF(H248&gt;500,"Medium","Low")))</f>
        <v/>
      </c>
      <c r="I248" s="26"/>
    </row>
    <row r="249" customFormat="false" ht="15" hidden="false" customHeight="true" outlineLevel="0" collapsed="false">
      <c r="D249" s="9" t="str">
        <f aca="false">IF(A249="","",IF(C249="2P",OPR_2P!B$2,IF(C249="SEG",SEG_6P!B$2,IF(C249="SOL",SOL_4P!B$2,IF(C249="RW",RW_2P!B$2,IF(C249="RW2",RW2_4P!B$2,0))))))</f>
        <v/>
      </c>
      <c r="F249" s="9" t="str">
        <f aca="false">IF(A249="","", QC_Plan!M249)</f>
        <v/>
      </c>
      <c r="G249" s="26" t="str">
        <f aca="false">IF(B249="","",IF(H249&gt;1000,"High",IF(H249&gt;500,"Medium","Low")))</f>
        <v/>
      </c>
      <c r="I249" s="26"/>
    </row>
    <row r="250" customFormat="false" ht="15" hidden="false" customHeight="true" outlineLevel="0" collapsed="false">
      <c r="D250" s="9" t="str">
        <f aca="false">IF(A250="","",IF(C250="2P",OPR_2P!B$2,IF(C250="SEG",SEG_6P!B$2,IF(C250="SOL",SOL_4P!B$2,IF(C250="RW",RW_2P!B$2,IF(C250="RW2",RW2_4P!B$2,0))))))</f>
        <v/>
      </c>
      <c r="F250" s="9" t="str">
        <f aca="false">IF(A250="","", QC_Plan!M250)</f>
        <v/>
      </c>
      <c r="G250" s="26" t="str">
        <f aca="false">IF(B250="","",IF(H250&gt;1000,"High",IF(H250&gt;500,"Medium","Low")))</f>
        <v/>
      </c>
      <c r="I250" s="26"/>
    </row>
    <row r="251" customFormat="false" ht="15" hidden="false" customHeight="true" outlineLevel="0" collapsed="false">
      <c r="D251" s="9" t="str">
        <f aca="false">IF(A251="","",IF(C251="2P",OPR_2P!B$2,IF(C251="SEG",SEG_6P!B$2,IF(C251="SOL",SOL_4P!B$2,IF(C251="RW",RW_2P!B$2,IF(C251="RW2",RW2_4P!B$2,0))))))</f>
        <v/>
      </c>
      <c r="F251" s="9" t="str">
        <f aca="false">IF(A251="","", QC_Plan!M251)</f>
        <v/>
      </c>
      <c r="G251" s="26" t="str">
        <f aca="false">IF(B251="","",IF(H251&gt;1000,"High",IF(H251&gt;500,"Medium","Low")))</f>
        <v/>
      </c>
      <c r="I251" s="26"/>
    </row>
    <row r="252" customFormat="false" ht="15" hidden="false" customHeight="true" outlineLevel="0" collapsed="false">
      <c r="D252" s="9" t="str">
        <f aca="false">IF(A252="","",IF(C252="2P",OPR_2P!B$2,IF(C252="SEG",SEG_6P!B$2,IF(C252="SOL",SOL_4P!B$2,IF(C252="RW",RW_2P!B$2,IF(C252="RW2",RW2_4P!B$2,0))))))</f>
        <v/>
      </c>
      <c r="F252" s="9" t="str">
        <f aca="false">IF(A252="","", QC_Plan!M252)</f>
        <v/>
      </c>
      <c r="G252" s="26" t="str">
        <f aca="false">IF(B252="","",IF(H252&gt;1000,"High",IF(H252&gt;500,"Medium","Low")))</f>
        <v/>
      </c>
      <c r="I252" s="26"/>
    </row>
    <row r="253" customFormat="false" ht="15" hidden="false" customHeight="true" outlineLevel="0" collapsed="false">
      <c r="D253" s="9" t="str">
        <f aca="false">IF(A253="","",IF(C253="2P",OPR_2P!B$2,IF(C253="SEG",SEG_6P!B$2,IF(C253="SOL",SOL_4P!B$2,IF(C253="RW",RW_2P!B$2,IF(C253="RW2",RW2_4P!B$2,0))))))</f>
        <v/>
      </c>
      <c r="F253" s="9" t="str">
        <f aca="false">IF(A253="","", QC_Plan!M253)</f>
        <v/>
      </c>
      <c r="G253" s="26" t="str">
        <f aca="false">IF(B253="","",IF(H253&gt;1000,"High",IF(H253&gt;500,"Medium","Low")))</f>
        <v/>
      </c>
      <c r="I253" s="26"/>
    </row>
    <row r="254" customFormat="false" ht="15" hidden="false" customHeight="true" outlineLevel="0" collapsed="false">
      <c r="D254" s="9" t="str">
        <f aca="false">IF(A254="","",IF(C254="2P",OPR_2P!B$2,IF(C254="SEG",SEG_6P!B$2,IF(C254="SOL",SOL_4P!B$2,IF(C254="RW",RW_2P!B$2,IF(C254="RW2",RW2_4P!B$2,0))))))</f>
        <v/>
      </c>
      <c r="F254" s="9" t="str">
        <f aca="false">IF(A254="","", QC_Plan!M254)</f>
        <v/>
      </c>
      <c r="G254" s="26" t="str">
        <f aca="false">IF(B254="","",IF(H254&gt;1000,"High",IF(H254&gt;500,"Medium","Low")))</f>
        <v/>
      </c>
      <c r="I254" s="26"/>
    </row>
    <row r="255" customFormat="false" ht="15" hidden="false" customHeight="true" outlineLevel="0" collapsed="false">
      <c r="D255" s="9" t="str">
        <f aca="false">IF(A255="","",IF(C255="2P",OPR_2P!B$2,IF(C255="SEG",SEG_6P!B$2,IF(C255="SOL",SOL_4P!B$2,IF(C255="RW",RW_2P!B$2,IF(C255="RW2",RW2_4P!B$2,0))))))</f>
        <v/>
      </c>
      <c r="F255" s="9" t="str">
        <f aca="false">IF(A255="","", QC_Plan!M255)</f>
        <v/>
      </c>
      <c r="G255" s="26" t="str">
        <f aca="false">IF(B255="","",IF(H255&gt;1000,"High",IF(H255&gt;500,"Medium","Low")))</f>
        <v/>
      </c>
      <c r="I255" s="26"/>
    </row>
    <row r="256" customFormat="false" ht="15" hidden="false" customHeight="true" outlineLevel="0" collapsed="false">
      <c r="D256" s="9" t="str">
        <f aca="false">IF(A256="","",IF(C256="2P",OPR_2P!B$2,IF(C256="SEG",SEG_6P!B$2,IF(C256="SOL",SOL_4P!B$2,IF(C256="RW",RW_2P!B$2,IF(C256="RW2",RW2_4P!B$2,0))))))</f>
        <v/>
      </c>
      <c r="F256" s="9" t="str">
        <f aca="false">IF(A256="","", QC_Plan!M256)</f>
        <v/>
      </c>
      <c r="G256" s="26" t="str">
        <f aca="false">IF(B256="","",IF(H256&gt;1000,"High",IF(H256&gt;500,"Medium","Low")))</f>
        <v/>
      </c>
      <c r="I256" s="26"/>
    </row>
    <row r="257" customFormat="false" ht="15" hidden="false" customHeight="true" outlineLevel="0" collapsed="false">
      <c r="D257" s="9" t="str">
        <f aca="false">IF(A257="","",IF(C257="2P",OPR_2P!B$2,IF(C257="SEG",SEG_6P!B$2,IF(C257="SOL",SOL_4P!B$2,IF(C257="RW",RW_2P!B$2,IF(C257="RW2",RW2_4P!B$2,0))))))</f>
        <v/>
      </c>
      <c r="F257" s="9" t="str">
        <f aca="false">IF(A257="","", QC_Plan!M257)</f>
        <v/>
      </c>
      <c r="G257" s="26" t="str">
        <f aca="false">IF(B257="","",IF(H257&gt;1000,"High",IF(H257&gt;500,"Medium","Low")))</f>
        <v/>
      </c>
      <c r="I257" s="26"/>
    </row>
    <row r="258" customFormat="false" ht="15" hidden="false" customHeight="true" outlineLevel="0" collapsed="false">
      <c r="D258" s="9" t="str">
        <f aca="false">IF(A258="","",IF(C258="2P",OPR_2P!B$2,IF(C258="SEG",SEG_6P!B$2,IF(C258="SOL",SOL_4P!B$2,IF(C258="RW",RW_2P!B$2,IF(C258="RW2",RW2_4P!B$2,0))))))</f>
        <v/>
      </c>
      <c r="F258" s="9" t="str">
        <f aca="false">IF(A258="","", QC_Plan!M258)</f>
        <v/>
      </c>
      <c r="G258" s="26" t="str">
        <f aca="false">IF(B258="","",IF(H258&gt;1000,"High",IF(H258&gt;500,"Medium","Low")))</f>
        <v/>
      </c>
      <c r="I258" s="26"/>
    </row>
    <row r="259" customFormat="false" ht="15" hidden="false" customHeight="true" outlineLevel="0" collapsed="false">
      <c r="D259" s="9" t="str">
        <f aca="false">IF(A259="","",IF(C259="2P",OPR_2P!B$2,IF(C259="SEG",SEG_6P!B$2,IF(C259="SOL",SOL_4P!B$2,IF(C259="RW",RW_2P!B$2,IF(C259="RW2",RW2_4P!B$2,0))))))</f>
        <v/>
      </c>
      <c r="F259" s="9" t="str">
        <f aca="false">IF(A259="","", QC_Plan!M259)</f>
        <v/>
      </c>
      <c r="G259" s="26" t="str">
        <f aca="false">IF(B259="","",IF(H259&gt;1000,"High",IF(H259&gt;500,"Medium","Low")))</f>
        <v/>
      </c>
      <c r="I259" s="26"/>
    </row>
    <row r="260" customFormat="false" ht="15" hidden="false" customHeight="true" outlineLevel="0" collapsed="false">
      <c r="D260" s="9" t="str">
        <f aca="false">IF(A260="","",IF(C260="2P",OPR_2P!B$2,IF(C260="SEG",SEG_6P!B$2,IF(C260="SOL",SOL_4P!B$2,IF(C260="RW",RW_2P!B$2,IF(C260="RW2",RW2_4P!B$2,0))))))</f>
        <v/>
      </c>
      <c r="F260" s="9" t="str">
        <f aca="false">IF(A260="","", QC_Plan!M260)</f>
        <v/>
      </c>
      <c r="G260" s="26" t="str">
        <f aca="false">IF(B260="","",IF(H260&gt;1000,"High",IF(H260&gt;500,"Medium","Low")))</f>
        <v/>
      </c>
      <c r="I260" s="26"/>
    </row>
    <row r="261" customFormat="false" ht="15" hidden="false" customHeight="true" outlineLevel="0" collapsed="false">
      <c r="D261" s="9" t="str">
        <f aca="false">IF(A261="","",IF(C261="2P",OPR_2P!B$2,IF(C261="SEG",SEG_6P!B$2,IF(C261="SOL",SOL_4P!B$2,IF(C261="RW",RW_2P!B$2,IF(C261="RW2",RW2_4P!B$2,0))))))</f>
        <v/>
      </c>
      <c r="F261" s="9" t="str">
        <f aca="false">IF(A261="","", QC_Plan!M261)</f>
        <v/>
      </c>
      <c r="G261" s="26" t="str">
        <f aca="false">IF(B261="","",IF(H261&gt;1000,"High",IF(H261&gt;500,"Medium","Low")))</f>
        <v/>
      </c>
      <c r="I261" s="26"/>
    </row>
    <row r="262" customFormat="false" ht="15" hidden="false" customHeight="true" outlineLevel="0" collapsed="false">
      <c r="D262" s="9" t="str">
        <f aca="false">IF(A262="","",IF(C262="2P",OPR_2P!B$2,IF(C262="SEG",SEG_6P!B$2,IF(C262="SOL",SOL_4P!B$2,IF(C262="RW",RW_2P!B$2,IF(C262="RW2",RW2_4P!B$2,0))))))</f>
        <v/>
      </c>
      <c r="F262" s="9" t="str">
        <f aca="false">IF(A262="","", QC_Plan!M262)</f>
        <v/>
      </c>
      <c r="G262" s="26" t="str">
        <f aca="false">IF(B262="","",IF(H262&gt;1000,"High",IF(H262&gt;500,"Medium","Low")))</f>
        <v/>
      </c>
      <c r="I262" s="26"/>
    </row>
    <row r="263" customFormat="false" ht="15" hidden="false" customHeight="true" outlineLevel="0" collapsed="false">
      <c r="D263" s="9" t="str">
        <f aca="false">IF(A263="","",IF(C263="2P",OPR_2P!B$2,IF(C263="SEG",SEG_6P!B$2,IF(C263="SOL",SOL_4P!B$2,IF(C263="RW",RW_2P!B$2,IF(C263="RW2",RW2_4P!B$2,0))))))</f>
        <v/>
      </c>
      <c r="F263" s="9" t="str">
        <f aca="false">IF(A263="","", QC_Plan!M263)</f>
        <v/>
      </c>
      <c r="G263" s="26" t="str">
        <f aca="false">IF(B263="","",IF(H263&gt;1000,"High",IF(H263&gt;500,"Medium","Low")))</f>
        <v/>
      </c>
      <c r="I263" s="26"/>
    </row>
    <row r="264" customFormat="false" ht="15" hidden="false" customHeight="true" outlineLevel="0" collapsed="false">
      <c r="D264" s="9" t="str">
        <f aca="false">IF(A264="","",IF(C264="2P",OPR_2P!B$2,IF(C264="SEG",SEG_6P!B$2,IF(C264="SOL",SOL_4P!B$2,IF(C264="RW",RW_2P!B$2,IF(C264="RW2",RW2_4P!B$2,0))))))</f>
        <v/>
      </c>
      <c r="F264" s="9" t="str">
        <f aca="false">IF(A264="","", QC_Plan!M264)</f>
        <v/>
      </c>
      <c r="G264" s="26" t="str">
        <f aca="false">IF(B264="","",IF(H264&gt;1000,"High",IF(H264&gt;500,"Medium","Low")))</f>
        <v/>
      </c>
      <c r="I264" s="26"/>
    </row>
    <row r="265" customFormat="false" ht="15" hidden="false" customHeight="true" outlineLevel="0" collapsed="false">
      <c r="D265" s="9" t="str">
        <f aca="false">IF(A265="","",IF(C265="2P",OPR_2P!B$2,IF(C265="SEG",SEG_6P!B$2,IF(C265="SOL",SOL_4P!B$2,IF(C265="RW",RW_2P!B$2,IF(C265="RW2",RW2_4P!B$2,0))))))</f>
        <v/>
      </c>
      <c r="F265" s="9" t="str">
        <f aca="false">IF(A265="","", QC_Plan!M265)</f>
        <v/>
      </c>
      <c r="G265" s="26" t="str">
        <f aca="false">IF(B265="","",IF(H265&gt;1000,"High",IF(H265&gt;500,"Medium","Low")))</f>
        <v/>
      </c>
      <c r="I265" s="26"/>
    </row>
    <row r="266" customFormat="false" ht="15" hidden="false" customHeight="true" outlineLevel="0" collapsed="false">
      <c r="D266" s="9" t="str">
        <f aca="false">IF(A266="","",IF(C266="2P",OPR_2P!B$2,IF(C266="SEG",SEG_6P!B$2,IF(C266="SOL",SOL_4P!B$2,IF(C266="RW",RW_2P!B$2,IF(C266="RW2",RW2_4P!B$2,0))))))</f>
        <v/>
      </c>
      <c r="F266" s="9" t="str">
        <f aca="false">IF(A266="","", QC_Plan!M266)</f>
        <v/>
      </c>
      <c r="G266" s="26" t="str">
        <f aca="false">IF(B266="","",IF(H266&gt;1000,"High",IF(H266&gt;500,"Medium","Low")))</f>
        <v/>
      </c>
      <c r="I266" s="26"/>
    </row>
    <row r="267" customFormat="false" ht="15" hidden="false" customHeight="true" outlineLevel="0" collapsed="false">
      <c r="D267" s="9" t="str">
        <f aca="false">IF(A267="","",IF(C267="2P",OPR_2P!B$2,IF(C267="SEG",SEG_6P!B$2,IF(C267="SOL",SOL_4P!B$2,IF(C267="RW",RW_2P!B$2,IF(C267="RW2",RW2_4P!B$2,0))))))</f>
        <v/>
      </c>
      <c r="F267" s="9" t="str">
        <f aca="false">IF(A267="","", QC_Plan!M267)</f>
        <v/>
      </c>
      <c r="G267" s="26" t="str">
        <f aca="false">IF(B267="","",IF(H267&gt;1000,"High",IF(H267&gt;500,"Medium","Low")))</f>
        <v/>
      </c>
      <c r="I267" s="26"/>
    </row>
    <row r="268" customFormat="false" ht="15" hidden="false" customHeight="true" outlineLevel="0" collapsed="false">
      <c r="D268" s="9" t="str">
        <f aca="false">IF(A268="","",IF(C268="2P",OPR_2P!B$2,IF(C268="SEG",SEG_6P!B$2,IF(C268="SOL",SOL_4P!B$2,IF(C268="RW",RW_2P!B$2,IF(C268="RW2",RW2_4P!B$2,0))))))</f>
        <v/>
      </c>
      <c r="F268" s="9" t="str">
        <f aca="false">IF(A268="","", QC_Plan!M268)</f>
        <v/>
      </c>
      <c r="G268" s="26" t="str">
        <f aca="false">IF(B268="","",IF(H268&gt;1000,"High",IF(H268&gt;500,"Medium","Low")))</f>
        <v/>
      </c>
      <c r="I268" s="26"/>
    </row>
    <row r="269" customFormat="false" ht="15" hidden="false" customHeight="true" outlineLevel="0" collapsed="false">
      <c r="D269" s="9" t="str">
        <f aca="false">IF(A269="","",IF(C269="2P",OPR_2P!B$2,IF(C269="SEG",SEG_6P!B$2,IF(C269="SOL",SOL_4P!B$2,IF(C269="RW",RW_2P!B$2,IF(C269="RW2",RW2_4P!B$2,0))))))</f>
        <v/>
      </c>
      <c r="F269" s="9" t="str">
        <f aca="false">IF(A269="","", QC_Plan!M269)</f>
        <v/>
      </c>
      <c r="G269" s="26" t="str">
        <f aca="false">IF(B269="","",IF(H269&gt;1000,"High",IF(H269&gt;500,"Medium","Low")))</f>
        <v/>
      </c>
      <c r="I269" s="26"/>
    </row>
    <row r="270" customFormat="false" ht="15" hidden="false" customHeight="true" outlineLevel="0" collapsed="false">
      <c r="D270" s="9" t="str">
        <f aca="false">IF(A270="","",IF(C270="2P",OPR_2P!B$2,IF(C270="SEG",SEG_6P!B$2,IF(C270="SOL",SOL_4P!B$2,IF(C270="RW",RW_2P!B$2,IF(C270="RW2",RW2_4P!B$2,0))))))</f>
        <v/>
      </c>
      <c r="F270" s="9" t="str">
        <f aca="false">IF(A270="","", QC_Plan!M270)</f>
        <v/>
      </c>
      <c r="G270" s="26" t="str">
        <f aca="false">IF(B270="","",IF(H270&gt;1000,"High",IF(H270&gt;500,"Medium","Low")))</f>
        <v/>
      </c>
      <c r="I270" s="26"/>
    </row>
    <row r="271" customFormat="false" ht="15" hidden="false" customHeight="true" outlineLevel="0" collapsed="false">
      <c r="D271" s="9" t="str">
        <f aca="false">IF(A271="","",IF(C271="2P",OPR_2P!B$2,IF(C271="SEG",SEG_6P!B$2,IF(C271="SOL",SOL_4P!B$2,IF(C271="RW",RW_2P!B$2,IF(C271="RW2",RW2_4P!B$2,0))))))</f>
        <v/>
      </c>
      <c r="F271" s="9" t="str">
        <f aca="false">IF(A271="","", QC_Plan!M271)</f>
        <v/>
      </c>
      <c r="G271" s="26" t="str">
        <f aca="false">IF(B271="","",IF(H271&gt;1000,"High",IF(H271&gt;500,"Medium","Low")))</f>
        <v/>
      </c>
      <c r="I271" s="26"/>
    </row>
    <row r="272" customFormat="false" ht="15" hidden="false" customHeight="true" outlineLevel="0" collapsed="false">
      <c r="D272" s="9" t="str">
        <f aca="false">IF(A272="","",IF(C272="2P",OPR_2P!B$2,IF(C272="SEG",SEG_6P!B$2,IF(C272="SOL",SOL_4P!B$2,IF(C272="RW",RW_2P!B$2,IF(C272="RW2",RW2_4P!B$2,0))))))</f>
        <v/>
      </c>
      <c r="F272" s="9" t="str">
        <f aca="false">IF(A272="","", QC_Plan!M272)</f>
        <v/>
      </c>
      <c r="G272" s="26" t="str">
        <f aca="false">IF(B272="","",IF(H272&gt;1000,"High",IF(H272&gt;500,"Medium","Low")))</f>
        <v/>
      </c>
      <c r="I272" s="26"/>
    </row>
    <row r="273" customFormat="false" ht="15" hidden="false" customHeight="true" outlineLevel="0" collapsed="false">
      <c r="D273" s="9" t="str">
        <f aca="false">IF(A273="","",IF(C273="2P",OPR_2P!B$2,IF(C273="SEG",SEG_6P!B$2,IF(C273="SOL",SOL_4P!B$2,IF(C273="RW",RW_2P!B$2,IF(C273="RW2",RW2_4P!B$2,0))))))</f>
        <v/>
      </c>
      <c r="F273" s="9" t="str">
        <f aca="false">IF(A273="","", QC_Plan!M273)</f>
        <v/>
      </c>
      <c r="G273" s="26" t="str">
        <f aca="false">IF(B273="","",IF(H273&gt;1000,"High",IF(H273&gt;500,"Medium","Low")))</f>
        <v/>
      </c>
      <c r="I273" s="26"/>
    </row>
    <row r="274" customFormat="false" ht="15" hidden="false" customHeight="true" outlineLevel="0" collapsed="false">
      <c r="D274" s="9" t="str">
        <f aca="false">IF(A274="","",IF(C274="2P",OPR_2P!B$2,IF(C274="SEG",SEG_6P!B$2,IF(C274="SOL",SOL_4P!B$2,IF(C274="RW",RW_2P!B$2,IF(C274="RW2",RW2_4P!B$2,0))))))</f>
        <v/>
      </c>
      <c r="F274" s="9" t="str">
        <f aca="false">IF(A274="","", QC_Plan!M274)</f>
        <v/>
      </c>
      <c r="G274" s="26" t="str">
        <f aca="false">IF(B274="","",IF(H274&gt;1000,"High",IF(H274&gt;500,"Medium","Low")))</f>
        <v/>
      </c>
      <c r="I274" s="26"/>
    </row>
    <row r="275" customFormat="false" ht="15" hidden="false" customHeight="true" outlineLevel="0" collapsed="false">
      <c r="D275" s="9" t="str">
        <f aca="false">IF(A275="","",IF(C275="2P",OPR_2P!B$2,IF(C275="SEG",SEG_6P!B$2,IF(C275="SOL",SOL_4P!B$2,IF(C275="RW",RW_2P!B$2,IF(C275="RW2",RW2_4P!B$2,0))))))</f>
        <v/>
      </c>
      <c r="F275" s="9" t="str">
        <f aca="false">IF(A275="","", QC_Plan!M275)</f>
        <v/>
      </c>
      <c r="G275" s="26" t="str">
        <f aca="false">IF(B275="","",IF(H275&gt;1000,"High",IF(H275&gt;500,"Medium","Low")))</f>
        <v/>
      </c>
      <c r="I275" s="26"/>
    </row>
    <row r="276" customFormat="false" ht="15" hidden="false" customHeight="true" outlineLevel="0" collapsed="false">
      <c r="D276" s="9" t="str">
        <f aca="false">IF(A276="","",IF(C276="2P",OPR_2P!B$2,IF(C276="SEG",SEG_6P!B$2,IF(C276="SOL",SOL_4P!B$2,IF(C276="RW",RW_2P!B$2,IF(C276="RW2",RW2_4P!B$2,0))))))</f>
        <v/>
      </c>
      <c r="F276" s="9" t="str">
        <f aca="false">IF(A276="","", QC_Plan!M276)</f>
        <v/>
      </c>
      <c r="G276" s="26" t="str">
        <f aca="false">IF(B276="","",IF(H276&gt;1000,"High",IF(H276&gt;500,"Medium","Low")))</f>
        <v/>
      </c>
      <c r="I276" s="26"/>
    </row>
    <row r="277" customFormat="false" ht="15" hidden="false" customHeight="true" outlineLevel="0" collapsed="false">
      <c r="D277" s="9" t="str">
        <f aca="false">IF(A277="","",IF(C277="2P",OPR_2P!B$2,IF(C277="SEG",SEG_6P!B$2,IF(C277="SOL",SOL_4P!B$2,IF(C277="RW",RW_2P!B$2,IF(C277="RW2",RW2_4P!B$2,0))))))</f>
        <v/>
      </c>
      <c r="F277" s="9" t="str">
        <f aca="false">IF(A277="","", QC_Plan!M277)</f>
        <v/>
      </c>
      <c r="G277" s="26" t="str">
        <f aca="false">IF(B277="","",IF(H277&gt;1000,"High",IF(H277&gt;500,"Medium","Low")))</f>
        <v/>
      </c>
      <c r="I277" s="26"/>
    </row>
    <row r="278" customFormat="false" ht="15" hidden="false" customHeight="true" outlineLevel="0" collapsed="false">
      <c r="D278" s="9" t="str">
        <f aca="false">IF(A278="","",IF(C278="2P",OPR_2P!B$2,IF(C278="SEG",SEG_6P!B$2,IF(C278="SOL",SOL_4P!B$2,IF(C278="RW",RW_2P!B$2,IF(C278="RW2",RW2_4P!B$2,0))))))</f>
        <v/>
      </c>
      <c r="F278" s="9" t="str">
        <f aca="false">IF(A278="","", QC_Plan!M278)</f>
        <v/>
      </c>
      <c r="G278" s="26" t="str">
        <f aca="false">IF(B278="","",IF(H278&gt;1000,"High",IF(H278&gt;500,"Medium","Low")))</f>
        <v/>
      </c>
      <c r="I278" s="26"/>
    </row>
    <row r="279" customFormat="false" ht="15" hidden="false" customHeight="true" outlineLevel="0" collapsed="false">
      <c r="D279" s="9" t="str">
        <f aca="false">IF(A279="","",IF(C279="2P",OPR_2P!B$2,IF(C279="SEG",SEG_6P!B$2,IF(C279="SOL",SOL_4P!B$2,IF(C279="RW",RW_2P!B$2,IF(C279="RW2",RW2_4P!B$2,0))))))</f>
        <v/>
      </c>
      <c r="F279" s="9" t="str">
        <f aca="false">IF(A279="","", QC_Plan!M279)</f>
        <v/>
      </c>
      <c r="G279" s="26" t="str">
        <f aca="false">IF(B279="","",IF(H279&gt;1000,"High",IF(H279&gt;500,"Medium","Low")))</f>
        <v/>
      </c>
      <c r="I279" s="26"/>
    </row>
    <row r="280" customFormat="false" ht="15" hidden="false" customHeight="true" outlineLevel="0" collapsed="false">
      <c r="D280" s="9" t="str">
        <f aca="false">IF(A280="","",IF(C280="2P",OPR_2P!B$2,IF(C280="SEG",SEG_6P!B$2,IF(C280="SOL",SOL_4P!B$2,IF(C280="RW",RW_2P!B$2,IF(C280="RW2",RW2_4P!B$2,0))))))</f>
        <v/>
      </c>
      <c r="F280" s="9" t="str">
        <f aca="false">IF(A280="","", QC_Plan!M280)</f>
        <v/>
      </c>
      <c r="G280" s="26" t="str">
        <f aca="false">IF(B280="","",IF(H280&gt;1000,"High",IF(H280&gt;500,"Medium","Low")))</f>
        <v/>
      </c>
      <c r="I280" s="26"/>
    </row>
    <row r="281" customFormat="false" ht="15" hidden="false" customHeight="true" outlineLevel="0" collapsed="false">
      <c r="D281" s="9" t="str">
        <f aca="false">IF(A281="","",IF(C281="2P",OPR_2P!B$2,IF(C281="SEG",SEG_6P!B$2,IF(C281="SOL",SOL_4P!B$2,IF(C281="RW",RW_2P!B$2,IF(C281="RW2",RW2_4P!B$2,0))))))</f>
        <v/>
      </c>
      <c r="F281" s="9" t="str">
        <f aca="false">IF(A281="","", QC_Plan!M281)</f>
        <v/>
      </c>
      <c r="G281" s="26" t="str">
        <f aca="false">IF(B281="","",IF(H281&gt;1000,"High",IF(H281&gt;500,"Medium","Low")))</f>
        <v/>
      </c>
      <c r="I281" s="26"/>
    </row>
    <row r="282" customFormat="false" ht="15" hidden="false" customHeight="true" outlineLevel="0" collapsed="false">
      <c r="D282" s="9" t="str">
        <f aca="false">IF(A282="","",IF(C282="2P",OPR_2P!B$2,IF(C282="SEG",SEG_6P!B$2,IF(C282="SOL",SOL_4P!B$2,IF(C282="RW",RW_2P!B$2,IF(C282="RW2",RW2_4P!B$2,0))))))</f>
        <v/>
      </c>
      <c r="F282" s="9" t="str">
        <f aca="false">IF(A282="","", QC_Plan!M282)</f>
        <v/>
      </c>
      <c r="G282" s="26" t="str">
        <f aca="false">IF(B282="","",IF(H282&gt;1000,"High",IF(H282&gt;500,"Medium","Low")))</f>
        <v/>
      </c>
      <c r="I282" s="26"/>
    </row>
    <row r="283" customFormat="false" ht="15" hidden="false" customHeight="true" outlineLevel="0" collapsed="false">
      <c r="D283" s="9" t="str">
        <f aca="false">IF(A283="","",IF(C283="2P",OPR_2P!B$2,IF(C283="SEG",SEG_6P!B$2,IF(C283="SOL",SOL_4P!B$2,IF(C283="RW",RW_2P!B$2,IF(C283="RW2",RW2_4P!B$2,0))))))</f>
        <v/>
      </c>
      <c r="F283" s="9" t="str">
        <f aca="false">IF(A283="","", QC_Plan!M283)</f>
        <v/>
      </c>
      <c r="G283" s="26" t="str">
        <f aca="false">IF(B283="","",IF(H283&gt;1000,"High",IF(H283&gt;500,"Medium","Low")))</f>
        <v/>
      </c>
      <c r="I283" s="26"/>
    </row>
    <row r="284" customFormat="false" ht="15" hidden="false" customHeight="true" outlineLevel="0" collapsed="false">
      <c r="D284" s="9" t="str">
        <f aca="false">IF(A284="","",IF(C284="2P",OPR_2P!B$2,IF(C284="SEG",SEG_6P!B$2,IF(C284="SOL",SOL_4P!B$2,IF(C284="RW",RW_2P!B$2,IF(C284="RW2",RW2_4P!B$2,0))))))</f>
        <v/>
      </c>
      <c r="F284" s="9" t="str">
        <f aca="false">IF(A284="","", QC_Plan!M284)</f>
        <v/>
      </c>
      <c r="G284" s="26" t="str">
        <f aca="false">IF(B284="","",IF(H284&gt;1000,"High",IF(H284&gt;500,"Medium","Low")))</f>
        <v/>
      </c>
      <c r="I284" s="26"/>
    </row>
    <row r="285" customFormat="false" ht="15" hidden="false" customHeight="true" outlineLevel="0" collapsed="false">
      <c r="D285" s="9" t="str">
        <f aca="false">IF(A285="","",IF(C285="2P",OPR_2P!B$2,IF(C285="SEG",SEG_6P!B$2,IF(C285="SOL",SOL_4P!B$2,IF(C285="RW",RW_2P!B$2,IF(C285="RW2",RW2_4P!B$2,0))))))</f>
        <v/>
      </c>
      <c r="F285" s="9" t="str">
        <f aca="false">IF(A285="","", QC_Plan!M285)</f>
        <v/>
      </c>
      <c r="G285" s="26" t="str">
        <f aca="false">IF(B285="","",IF(H285&gt;1000,"High",IF(H285&gt;500,"Medium","Low")))</f>
        <v/>
      </c>
      <c r="I285" s="26"/>
    </row>
    <row r="286" customFormat="false" ht="15" hidden="false" customHeight="true" outlineLevel="0" collapsed="false">
      <c r="D286" s="9" t="str">
        <f aca="false">IF(A286="","",IF(C286="2P",OPR_2P!B$2,IF(C286="SEG",SEG_6P!B$2,IF(C286="SOL",SOL_4P!B$2,IF(C286="RW",RW_2P!B$2,IF(C286="RW2",RW2_4P!B$2,0))))))</f>
        <v/>
      </c>
      <c r="F286" s="9" t="str">
        <f aca="false">IF(A286="","", QC_Plan!M286)</f>
        <v/>
      </c>
      <c r="G286" s="26" t="str">
        <f aca="false">IF(B286="","",IF(H286&gt;1000,"High",IF(H286&gt;500,"Medium","Low")))</f>
        <v/>
      </c>
      <c r="I286" s="26"/>
    </row>
    <row r="287" customFormat="false" ht="15" hidden="false" customHeight="true" outlineLevel="0" collapsed="false">
      <c r="D287" s="9" t="str">
        <f aca="false">IF(A287="","",IF(C287="2P",OPR_2P!B$2,IF(C287="SEG",SEG_6P!B$2,IF(C287="SOL",SOL_4P!B$2,IF(C287="RW",RW_2P!B$2,IF(C287="RW2",RW2_4P!B$2,0))))))</f>
        <v/>
      </c>
      <c r="F287" s="9" t="str">
        <f aca="false">IF(A287="","", QC_Plan!M287)</f>
        <v/>
      </c>
      <c r="G287" s="26" t="str">
        <f aca="false">IF(B287="","",IF(H287&gt;1000,"High",IF(H287&gt;500,"Medium","Low")))</f>
        <v/>
      </c>
      <c r="I287" s="26"/>
    </row>
    <row r="288" customFormat="false" ht="15" hidden="false" customHeight="true" outlineLevel="0" collapsed="false">
      <c r="D288" s="9" t="str">
        <f aca="false">IF(A288="","",IF(C288="2P",OPR_2P!B$2,IF(C288="SEG",SEG_6P!B$2,IF(C288="SOL",SOL_4P!B$2,IF(C288="RW",RW_2P!B$2,IF(C288="RW2",RW2_4P!B$2,0))))))</f>
        <v/>
      </c>
      <c r="F288" s="9" t="str">
        <f aca="false">IF(A288="","", QC_Plan!M288)</f>
        <v/>
      </c>
      <c r="G288" s="26" t="str">
        <f aca="false">IF(B288="","",IF(H288&gt;1000,"High",IF(H288&gt;500,"Medium","Low")))</f>
        <v/>
      </c>
      <c r="I288" s="26"/>
    </row>
    <row r="289" customFormat="false" ht="15" hidden="false" customHeight="true" outlineLevel="0" collapsed="false">
      <c r="D289" s="9" t="str">
        <f aca="false">IF(A289="","",IF(C289="2P",OPR_2P!B$2,IF(C289="SEG",SEG_6P!B$2,IF(C289="SOL",SOL_4P!B$2,IF(C289="RW",RW_2P!B$2,IF(C289="RW2",RW2_4P!B$2,0))))))</f>
        <v/>
      </c>
      <c r="F289" s="9" t="str">
        <f aca="false">IF(A289="","", QC_Plan!M289)</f>
        <v/>
      </c>
      <c r="G289" s="26" t="str">
        <f aca="false">IF(B289="","",IF(H289&gt;1000,"High",IF(H289&gt;500,"Medium","Low")))</f>
        <v/>
      </c>
      <c r="I289" s="26"/>
    </row>
    <row r="290" customFormat="false" ht="15" hidden="false" customHeight="true" outlineLevel="0" collapsed="false">
      <c r="D290" s="9" t="str">
        <f aca="false">IF(A290="","",IF(C290="2P",OPR_2P!B$2,IF(C290="SEG",SEG_6P!B$2,IF(C290="SOL",SOL_4P!B$2,IF(C290="RW",RW_2P!B$2,IF(C290="RW2",RW2_4P!B$2,0))))))</f>
        <v/>
      </c>
      <c r="F290" s="9" t="str">
        <f aca="false">IF(A290="","", QC_Plan!M290)</f>
        <v/>
      </c>
      <c r="G290" s="26" t="str">
        <f aca="false">IF(B290="","",IF(H290&gt;1000,"High",IF(H290&gt;500,"Medium","Low")))</f>
        <v/>
      </c>
      <c r="I290" s="26"/>
    </row>
    <row r="291" customFormat="false" ht="15" hidden="false" customHeight="true" outlineLevel="0" collapsed="false">
      <c r="D291" s="9" t="str">
        <f aca="false">IF(A291="","",IF(C291="2P",OPR_2P!B$2,IF(C291="SEG",SEG_6P!B$2,IF(C291="SOL",SOL_4P!B$2,IF(C291="RW",RW_2P!B$2,IF(C291="RW2",RW2_4P!B$2,0))))))</f>
        <v/>
      </c>
      <c r="F291" s="9" t="str">
        <f aca="false">IF(A291="","", QC_Plan!M291)</f>
        <v/>
      </c>
      <c r="G291" s="26" t="str">
        <f aca="false">IF(B291="","",IF(H291&gt;1000,"High",IF(H291&gt;500,"Medium","Low")))</f>
        <v/>
      </c>
      <c r="I291" s="26"/>
    </row>
    <row r="292" customFormat="false" ht="15" hidden="false" customHeight="true" outlineLevel="0" collapsed="false">
      <c r="D292" s="9" t="str">
        <f aca="false">IF(A292="","",IF(C292="2P",OPR_2P!B$2,IF(C292="SEG",SEG_6P!B$2,IF(C292="SOL",SOL_4P!B$2,IF(C292="RW",RW_2P!B$2,IF(C292="RW2",RW2_4P!B$2,0))))))</f>
        <v/>
      </c>
      <c r="F292" s="9" t="str">
        <f aca="false">IF(A292="","", QC_Plan!M292)</f>
        <v/>
      </c>
      <c r="G292" s="26" t="str">
        <f aca="false">IF(B292="","",IF(H292&gt;1000,"High",IF(H292&gt;500,"Medium","Low")))</f>
        <v/>
      </c>
      <c r="I292" s="26"/>
    </row>
    <row r="293" customFormat="false" ht="15" hidden="false" customHeight="true" outlineLevel="0" collapsed="false">
      <c r="D293" s="9" t="str">
        <f aca="false">IF(A293="","",IF(C293="2P",OPR_2P!B$2,IF(C293="SEG",SEG_6P!B$2,IF(C293="SOL",SOL_4P!B$2,IF(C293="RW",RW_2P!B$2,IF(C293="RW2",RW2_4P!B$2,0))))))</f>
        <v/>
      </c>
      <c r="F293" s="9" t="str">
        <f aca="false">IF(A293="","", QC_Plan!M293)</f>
        <v/>
      </c>
      <c r="G293" s="26" t="str">
        <f aca="false">IF(B293="","",IF(H293&gt;1000,"High",IF(H293&gt;500,"Medium","Low")))</f>
        <v/>
      </c>
      <c r="I293" s="26"/>
    </row>
    <row r="294" customFormat="false" ht="15" hidden="false" customHeight="true" outlineLevel="0" collapsed="false">
      <c r="D294" s="9" t="str">
        <f aca="false">IF(A294="","",IF(C294="2P",OPR_2P!B$2,IF(C294="SEG",SEG_6P!B$2,IF(C294="SOL",SOL_4P!B$2,IF(C294="RW",RW_2P!B$2,IF(C294="RW2",RW2_4P!B$2,0))))))</f>
        <v/>
      </c>
      <c r="F294" s="9" t="str">
        <f aca="false">IF(A294="","", QC_Plan!M294)</f>
        <v/>
      </c>
      <c r="G294" s="26" t="str">
        <f aca="false">IF(B294="","",IF(H294&gt;1000,"High",IF(H294&gt;500,"Medium","Low")))</f>
        <v/>
      </c>
      <c r="I294" s="26"/>
    </row>
    <row r="295" customFormat="false" ht="15" hidden="false" customHeight="true" outlineLevel="0" collapsed="false">
      <c r="D295" s="9" t="str">
        <f aca="false">IF(A295="","",IF(C295="2P",OPR_2P!B$2,IF(C295="SEG",SEG_6P!B$2,IF(C295="SOL",SOL_4P!B$2,IF(C295="RW",RW_2P!B$2,IF(C295="RW2",RW2_4P!B$2,0))))))</f>
        <v/>
      </c>
      <c r="F295" s="9" t="str">
        <f aca="false">IF(A295="","", QC_Plan!M295)</f>
        <v/>
      </c>
      <c r="G295" s="26" t="str">
        <f aca="false">IF(B295="","",IF(H295&gt;1000,"High",IF(H295&gt;500,"Medium","Low")))</f>
        <v/>
      </c>
      <c r="I295" s="26"/>
    </row>
    <row r="296" customFormat="false" ht="15" hidden="false" customHeight="true" outlineLevel="0" collapsed="false">
      <c r="D296" s="9" t="str">
        <f aca="false">IF(A296="","",IF(C296="2P",OPR_2P!B$2,IF(C296="SEG",SEG_6P!B$2,IF(C296="SOL",SOL_4P!B$2,IF(C296="RW",RW_2P!B$2,IF(C296="RW2",RW2_4P!B$2,0))))))</f>
        <v/>
      </c>
      <c r="F296" s="9" t="str">
        <f aca="false">IF(A296="","", QC_Plan!M296)</f>
        <v/>
      </c>
      <c r="G296" s="26" t="str">
        <f aca="false">IF(B296="","",IF(H296&gt;1000,"High",IF(H296&gt;500,"Medium","Low")))</f>
        <v/>
      </c>
      <c r="I296" s="26"/>
    </row>
    <row r="297" customFormat="false" ht="15" hidden="false" customHeight="true" outlineLevel="0" collapsed="false">
      <c r="D297" s="9" t="str">
        <f aca="false">IF(A297="","",IF(C297="2P",OPR_2P!B$2,IF(C297="SEG",SEG_6P!B$2,IF(C297="SOL",SOL_4P!B$2,IF(C297="RW",RW_2P!B$2,IF(C297="RW2",RW2_4P!B$2,0))))))</f>
        <v/>
      </c>
      <c r="F297" s="9" t="str">
        <f aca="false">IF(A297="","", QC_Plan!M297)</f>
        <v/>
      </c>
      <c r="G297" s="26" t="str">
        <f aca="false">IF(B297="","",IF(H297&gt;1000,"High",IF(H297&gt;500,"Medium","Low")))</f>
        <v/>
      </c>
      <c r="I297" s="26"/>
    </row>
    <row r="298" customFormat="false" ht="15" hidden="false" customHeight="true" outlineLevel="0" collapsed="false">
      <c r="D298" s="9" t="str">
        <f aca="false">IF(A298="","",IF(C298="2P",OPR_2P!B$2,IF(C298="SEG",SEG_6P!B$2,IF(C298="SOL",SOL_4P!B$2,IF(C298="RW",RW_2P!B$2,IF(C298="RW2",RW2_4P!B$2,0))))))</f>
        <v/>
      </c>
      <c r="F298" s="9" t="str">
        <f aca="false">IF(A298="","", QC_Plan!M298)</f>
        <v/>
      </c>
      <c r="G298" s="26" t="str">
        <f aca="false">IF(B298="","",IF(H298&gt;1000,"High",IF(H298&gt;500,"Medium","Low")))</f>
        <v/>
      </c>
      <c r="I298" s="26"/>
    </row>
    <row r="299" customFormat="false" ht="15" hidden="false" customHeight="true" outlineLevel="0" collapsed="false">
      <c r="D299" s="9" t="str">
        <f aca="false">IF(A299="","",IF(C299="2P",OPR_2P!B$2,IF(C299="SEG",SEG_6P!B$2,IF(C299="SOL",SOL_4P!B$2,IF(C299="RW",RW_2P!B$2,IF(C299="RW2",RW2_4P!B$2,0))))))</f>
        <v/>
      </c>
      <c r="F299" s="9" t="str">
        <f aca="false">IF(A299="","", QC_Plan!M299)</f>
        <v/>
      </c>
      <c r="G299" s="26" t="str">
        <f aca="false">IF(B299="","",IF(H299&gt;1000,"High",IF(H299&gt;500,"Medium","Low")))</f>
        <v/>
      </c>
      <c r="I299" s="26"/>
    </row>
    <row r="300" customFormat="false" ht="15" hidden="false" customHeight="true" outlineLevel="0" collapsed="false">
      <c r="D300" s="9" t="str">
        <f aca="false">IF(A300="","",IF(C300="2P",OPR_2P!B$2,IF(C300="SEG",SEG_6P!B$2,IF(C300="SOL",SOL_4P!B$2,IF(C300="RW",RW_2P!B$2,IF(C300="RW2",RW2_4P!B$2,0))))))</f>
        <v/>
      </c>
      <c r="F300" s="9" t="str">
        <f aca="false">IF(A300="","", QC_Plan!M300)</f>
        <v/>
      </c>
      <c r="G300" s="26" t="str">
        <f aca="false">IF(B300="","",IF(H300&gt;1000,"High",IF(H300&gt;500,"Medium","Low")))</f>
        <v/>
      </c>
      <c r="I300" s="26"/>
    </row>
    <row r="301" customFormat="false" ht="15" hidden="false" customHeight="true" outlineLevel="0" collapsed="false">
      <c r="D301" s="9" t="str">
        <f aca="false">IF(A301="","",IF(C301="2P",OPR_2P!B$2,IF(C301="SEG",SEG_6P!B$2,IF(C301="SOL",SOL_4P!B$2,IF(C301="RW",RW_2P!B$2,IF(C301="RW2",RW2_4P!B$2,0))))))</f>
        <v/>
      </c>
      <c r="F301" s="9" t="str">
        <f aca="false">IF(A301="","", QC_Plan!M301)</f>
        <v/>
      </c>
      <c r="G301" s="26" t="str">
        <f aca="false">IF(B301="","",IF(H301&gt;1000,"High",IF(H301&gt;500,"Medium","Low")))</f>
        <v/>
      </c>
      <c r="I301" s="26"/>
    </row>
    <row r="302" customFormat="false" ht="15" hidden="false" customHeight="true" outlineLevel="0" collapsed="false">
      <c r="D302" s="9" t="str">
        <f aca="false">IF(A302="","",IF(C302="2P",OPR_2P!B$2,IF(C302="SEG",SEG_6P!B$2,IF(C302="SOL",SOL_4P!B$2,IF(C302="RW",RW_2P!B$2,IF(C302="RW2",RW2_4P!B$2,0))))))</f>
        <v/>
      </c>
      <c r="F302" s="9" t="str">
        <f aca="false">IF(A302="","", QC_Plan!M302)</f>
        <v/>
      </c>
      <c r="G302" s="26" t="str">
        <f aca="false">IF(B302="","",IF(H302&gt;1000,"High",IF(H302&gt;500,"Medium","Low")))</f>
        <v/>
      </c>
      <c r="I302" s="26"/>
    </row>
    <row r="303" customFormat="false" ht="15" hidden="false" customHeight="true" outlineLevel="0" collapsed="false">
      <c r="D303" s="9" t="str">
        <f aca="false">IF(A303="","",IF(C303="2P",OPR_2P!B$2,IF(C303="SEG",SEG_6P!B$2,IF(C303="SOL",SOL_4P!B$2,IF(C303="RW",RW_2P!B$2,IF(C303="RW2",RW2_4P!B$2,0))))))</f>
        <v/>
      </c>
      <c r="F303" s="9" t="str">
        <f aca="false">IF(A303="","", QC_Plan!M303)</f>
        <v/>
      </c>
      <c r="G303" s="26" t="str">
        <f aca="false">IF(B303="","",IF(H303&gt;1000,"High",IF(H303&gt;500,"Medium","Low")))</f>
        <v/>
      </c>
      <c r="I303" s="26"/>
    </row>
    <row r="304" customFormat="false" ht="15" hidden="false" customHeight="true" outlineLevel="0" collapsed="false">
      <c r="D304" s="9" t="str">
        <f aca="false">IF(A304="","",IF(C304="2P",OPR_2P!B$2,IF(C304="SEG",SEG_6P!B$2,IF(C304="SOL",SOL_4P!B$2,IF(C304="RW",RW_2P!B$2,IF(C304="RW2",RW2_4P!B$2,0))))))</f>
        <v/>
      </c>
      <c r="F304" s="9" t="str">
        <f aca="false">IF(A304="","", QC_Plan!M304)</f>
        <v/>
      </c>
      <c r="G304" s="26" t="str">
        <f aca="false">IF(B304="","",IF(H304&gt;1000,"High",IF(H304&gt;500,"Medium","Low")))</f>
        <v/>
      </c>
      <c r="I304" s="26"/>
    </row>
    <row r="305" customFormat="false" ht="15" hidden="false" customHeight="true" outlineLevel="0" collapsed="false">
      <c r="D305" s="9" t="str">
        <f aca="false">IF(A305="","",IF(C305="2P",OPR_2P!B$2,IF(C305="SEG",SEG_6P!B$2,IF(C305="SOL",SOL_4P!B$2,IF(C305="RW",RW_2P!B$2,IF(C305="RW2",RW2_4P!B$2,0))))))</f>
        <v/>
      </c>
      <c r="F305" s="9" t="str">
        <f aca="false">IF(A305="","", QC_Plan!M305)</f>
        <v/>
      </c>
      <c r="G305" s="26" t="str">
        <f aca="false">IF(B305="","",IF(H305&gt;1000,"High",IF(H305&gt;500,"Medium","Low")))</f>
        <v/>
      </c>
      <c r="I305" s="26"/>
    </row>
    <row r="306" customFormat="false" ht="15" hidden="false" customHeight="true" outlineLevel="0" collapsed="false">
      <c r="D306" s="9" t="str">
        <f aca="false">IF(A306="","",IF(C306="2P",OPR_2P!B$2,IF(C306="SEG",SEG_6P!B$2,IF(C306="SOL",SOL_4P!B$2,IF(C306="RW",RW_2P!B$2,IF(C306="RW2",RW2_4P!B$2,0))))))</f>
        <v/>
      </c>
      <c r="F306" s="9" t="str">
        <f aca="false">IF(A306="","", QC_Plan!M306)</f>
        <v/>
      </c>
      <c r="G306" s="26" t="str">
        <f aca="false">IF(B306="","",IF(H306&gt;1000,"High",IF(H306&gt;500,"Medium","Low")))</f>
        <v/>
      </c>
      <c r="I306" s="26"/>
    </row>
    <row r="307" customFormat="false" ht="15" hidden="false" customHeight="true" outlineLevel="0" collapsed="false">
      <c r="D307" s="9" t="str">
        <f aca="false">IF(A307="","",IF(C307="2P",OPR_2P!B$2,IF(C307="SEG",SEG_6P!B$2,IF(C307="SOL",SOL_4P!B$2,IF(C307="RW",RW_2P!B$2,IF(C307="RW2",RW2_4P!B$2,0))))))</f>
        <v/>
      </c>
      <c r="F307" s="9" t="str">
        <f aca="false">IF(A307="","", QC_Plan!M307)</f>
        <v/>
      </c>
      <c r="G307" s="26" t="str">
        <f aca="false">IF(B307="","",IF(H307&gt;1000,"High",IF(H307&gt;500,"Medium","Low")))</f>
        <v/>
      </c>
      <c r="I307" s="26"/>
    </row>
    <row r="308" customFormat="false" ht="15" hidden="false" customHeight="true" outlineLevel="0" collapsed="false">
      <c r="D308" s="9" t="str">
        <f aca="false">IF(A308="","",IF(C308="2P",OPR_2P!B$2,IF(C308="SEG",SEG_6P!B$2,IF(C308="SOL",SOL_4P!B$2,IF(C308="RW",RW_2P!B$2,IF(C308="RW2",RW2_4P!B$2,0))))))</f>
        <v/>
      </c>
      <c r="F308" s="9" t="str">
        <f aca="false">IF(A308="","", QC_Plan!M308)</f>
        <v/>
      </c>
      <c r="G308" s="26" t="str">
        <f aca="false">IF(B308="","",IF(H308&gt;1000,"High",IF(H308&gt;500,"Medium","Low")))</f>
        <v/>
      </c>
      <c r="I308" s="26"/>
    </row>
    <row r="309" customFormat="false" ht="15" hidden="false" customHeight="true" outlineLevel="0" collapsed="false">
      <c r="D309" s="9" t="str">
        <f aca="false">IF(A309="","",IF(C309="2P",OPR_2P!B$2,IF(C309="SEG",SEG_6P!B$2,IF(C309="SOL",SOL_4P!B$2,IF(C309="RW",RW_2P!B$2,IF(C309="RW2",RW2_4P!B$2,0))))))</f>
        <v/>
      </c>
      <c r="F309" s="9" t="str">
        <f aca="false">IF(A309="","", QC_Plan!M309)</f>
        <v/>
      </c>
      <c r="G309" s="26" t="str">
        <f aca="false">IF(B309="","",IF(H309&gt;1000,"High",IF(H309&gt;500,"Medium","Low")))</f>
        <v/>
      </c>
      <c r="I309" s="26"/>
    </row>
    <row r="310" customFormat="false" ht="15" hidden="false" customHeight="true" outlineLevel="0" collapsed="false">
      <c r="D310" s="9" t="str">
        <f aca="false">IF(A310="","",IF(C310="2P",OPR_2P!B$2,IF(C310="SEG",SEG_6P!B$2,IF(C310="SOL",SOL_4P!B$2,IF(C310="RW",RW_2P!B$2,IF(C310="RW2",RW2_4P!B$2,0))))))</f>
        <v/>
      </c>
      <c r="F310" s="9" t="str">
        <f aca="false">IF(A310="","", QC_Plan!M310)</f>
        <v/>
      </c>
      <c r="G310" s="26" t="str">
        <f aca="false">IF(B310="","",IF(H310&gt;1000,"High",IF(H310&gt;500,"Medium","Low")))</f>
        <v/>
      </c>
      <c r="I310" s="26"/>
    </row>
    <row r="311" customFormat="false" ht="15" hidden="false" customHeight="true" outlineLevel="0" collapsed="false">
      <c r="D311" s="9" t="str">
        <f aca="false">IF(A311="","",IF(C311="2P",OPR_2P!B$2,IF(C311="SEG",SEG_6P!B$2,IF(C311="SOL",SOL_4P!B$2,IF(C311="RW",RW_2P!B$2,IF(C311="RW2",RW2_4P!B$2,0))))))</f>
        <v/>
      </c>
      <c r="F311" s="9" t="str">
        <f aca="false">IF(A311="","", QC_Plan!M311)</f>
        <v/>
      </c>
      <c r="G311" s="26" t="str">
        <f aca="false">IF(B311="","",IF(H311&gt;1000,"High",IF(H311&gt;500,"Medium","Low")))</f>
        <v/>
      </c>
      <c r="I311" s="26"/>
    </row>
    <row r="312" customFormat="false" ht="15" hidden="false" customHeight="true" outlineLevel="0" collapsed="false">
      <c r="D312" s="9" t="str">
        <f aca="false">IF(A312="","",IF(C312="2P",OPR_2P!B$2,IF(C312="SEG",SEG_6P!B$2,IF(C312="SOL",SOL_4P!B$2,IF(C312="RW",RW_2P!B$2,IF(C312="RW2",RW2_4P!B$2,0))))))</f>
        <v/>
      </c>
      <c r="F312" s="9" t="str">
        <f aca="false">IF(A312="","", QC_Plan!M312)</f>
        <v/>
      </c>
      <c r="G312" s="26" t="str">
        <f aca="false">IF(B312="","",IF(H312&gt;1000,"High",IF(H312&gt;500,"Medium","Low")))</f>
        <v/>
      </c>
      <c r="I312" s="26"/>
    </row>
    <row r="313" customFormat="false" ht="15" hidden="false" customHeight="true" outlineLevel="0" collapsed="false">
      <c r="D313" s="9" t="str">
        <f aca="false">IF(A313="","",IF(C313="2P",OPR_2P!B$2,IF(C313="SEG",SEG_6P!B$2,IF(C313="SOL",SOL_4P!B$2,IF(C313="RW",RW_2P!B$2,IF(C313="RW2",RW2_4P!B$2,0))))))</f>
        <v/>
      </c>
      <c r="F313" s="9" t="str">
        <f aca="false">IF(A313="","", QC_Plan!M313)</f>
        <v/>
      </c>
      <c r="G313" s="26" t="str">
        <f aca="false">IF(B313="","",IF(H313&gt;1000,"High",IF(H313&gt;500,"Medium","Low")))</f>
        <v/>
      </c>
      <c r="I313" s="26"/>
    </row>
    <row r="314" customFormat="false" ht="15" hidden="false" customHeight="true" outlineLevel="0" collapsed="false">
      <c r="D314" s="9" t="str">
        <f aca="false">IF(A314="","",IF(C314="2P",OPR_2P!B$2,IF(C314="SEG",SEG_6P!B$2,IF(C314="SOL",SOL_4P!B$2,IF(C314="RW",RW_2P!B$2,IF(C314="RW2",RW2_4P!B$2,0))))))</f>
        <v/>
      </c>
      <c r="F314" s="9" t="str">
        <f aca="false">IF(A314="","", QC_Plan!M314)</f>
        <v/>
      </c>
      <c r="G314" s="26" t="str">
        <f aca="false">IF(B314="","",IF(H314&gt;1000,"High",IF(H314&gt;500,"Medium","Low")))</f>
        <v/>
      </c>
      <c r="I314" s="26"/>
    </row>
    <row r="315" customFormat="false" ht="15" hidden="false" customHeight="true" outlineLevel="0" collapsed="false">
      <c r="D315" s="9" t="str">
        <f aca="false">IF(A315="","",IF(C315="2P",OPR_2P!B$2,IF(C315="SEG",SEG_6P!B$2,IF(C315="SOL",SOL_4P!B$2,IF(C315="RW",RW_2P!B$2,IF(C315="RW2",RW2_4P!B$2,0))))))</f>
        <v/>
      </c>
      <c r="F315" s="9" t="str">
        <f aca="false">IF(A315="","", QC_Plan!M315)</f>
        <v/>
      </c>
      <c r="G315" s="26" t="str">
        <f aca="false">IF(B315="","",IF(H315&gt;1000,"High",IF(H315&gt;500,"Medium","Low")))</f>
        <v/>
      </c>
      <c r="I315" s="26"/>
    </row>
    <row r="316" customFormat="false" ht="15" hidden="false" customHeight="true" outlineLevel="0" collapsed="false">
      <c r="D316" s="9" t="str">
        <f aca="false">IF(A316="","",IF(C316="2P",OPR_2P!B$2,IF(C316="SEG",SEG_6P!B$2,IF(C316="SOL",SOL_4P!B$2,IF(C316="RW",RW_2P!B$2,IF(C316="RW2",RW2_4P!B$2,0))))))</f>
        <v/>
      </c>
      <c r="F316" s="9" t="str">
        <f aca="false">IF(A316="","", QC_Plan!M316)</f>
        <v/>
      </c>
      <c r="G316" s="26" t="str">
        <f aca="false">IF(B316="","",IF(H316&gt;1000,"High",IF(H316&gt;500,"Medium","Low")))</f>
        <v/>
      </c>
      <c r="I316" s="26"/>
    </row>
    <row r="317" customFormat="false" ht="15" hidden="false" customHeight="true" outlineLevel="0" collapsed="false">
      <c r="D317" s="9" t="str">
        <f aca="false">IF(A317="","",IF(C317="2P",OPR_2P!B$2,IF(C317="SEG",SEG_6P!B$2,IF(C317="SOL",SOL_4P!B$2,IF(C317="RW",RW_2P!B$2,IF(C317="RW2",RW2_4P!B$2,0))))))</f>
        <v/>
      </c>
      <c r="F317" s="9" t="str">
        <f aca="false">IF(A317="","", QC_Plan!M317)</f>
        <v/>
      </c>
      <c r="G317" s="26" t="str">
        <f aca="false">IF(B317="","",IF(H317&gt;1000,"High",IF(H317&gt;500,"Medium","Low")))</f>
        <v/>
      </c>
      <c r="I317" s="26"/>
    </row>
    <row r="318" customFormat="false" ht="15" hidden="false" customHeight="true" outlineLevel="0" collapsed="false">
      <c r="D318" s="9" t="str">
        <f aca="false">IF(A318="","",IF(C318="2P",OPR_2P!B$2,IF(C318="SEG",SEG_6P!B$2,IF(C318="SOL",SOL_4P!B$2,IF(C318="RW",RW_2P!B$2,IF(C318="RW2",RW2_4P!B$2,0))))))</f>
        <v/>
      </c>
      <c r="F318" s="9" t="str">
        <f aca="false">IF(A318="","", QC_Plan!M318)</f>
        <v/>
      </c>
      <c r="G318" s="26" t="str">
        <f aca="false">IF(B318="","",IF(H318&gt;1000,"High",IF(H318&gt;500,"Medium","Low")))</f>
        <v/>
      </c>
      <c r="I318" s="26"/>
    </row>
    <row r="319" customFormat="false" ht="15" hidden="false" customHeight="true" outlineLevel="0" collapsed="false">
      <c r="D319" s="9" t="str">
        <f aca="false">IF(A319="","",IF(C319="2P",OPR_2P!B$2,IF(C319="SEG",SEG_6P!B$2,IF(C319="SOL",SOL_4P!B$2,IF(C319="RW",RW_2P!B$2,IF(C319="RW2",RW2_4P!B$2,0))))))</f>
        <v/>
      </c>
      <c r="F319" s="9" t="str">
        <f aca="false">IF(A319="","", QC_Plan!M319)</f>
        <v/>
      </c>
      <c r="G319" s="26" t="str">
        <f aca="false">IF(B319="","",IF(H319&gt;1000,"High",IF(H319&gt;500,"Medium","Low")))</f>
        <v/>
      </c>
      <c r="I319" s="26"/>
    </row>
    <row r="320" customFormat="false" ht="15" hidden="false" customHeight="true" outlineLevel="0" collapsed="false">
      <c r="D320" s="9" t="str">
        <f aca="false">IF(A320="","",IF(C320="2P",OPR_2P!B$2,IF(C320="SEG",SEG_6P!B$2,IF(C320="SOL",SOL_4P!B$2,IF(C320="RW",RW_2P!B$2,IF(C320="RW2",RW2_4P!B$2,0))))))</f>
        <v/>
      </c>
      <c r="F320" s="9" t="str">
        <f aca="false">IF(A320="","", QC_Plan!M320)</f>
        <v/>
      </c>
      <c r="G320" s="26" t="str">
        <f aca="false">IF(B320="","",IF(H320&gt;1000,"High",IF(H320&gt;500,"Medium","Low")))</f>
        <v/>
      </c>
      <c r="I320" s="26"/>
    </row>
    <row r="321" customFormat="false" ht="15" hidden="false" customHeight="true" outlineLevel="0" collapsed="false">
      <c r="D321" s="9" t="str">
        <f aca="false">IF(A321="","",IF(C321="2P",OPR_2P!B$2,IF(C321="SEG",SEG_6P!B$2,IF(C321="SOL",SOL_4P!B$2,IF(C321="RW",RW_2P!B$2,IF(C321="RW2",RW2_4P!B$2,0))))))</f>
        <v/>
      </c>
      <c r="F321" s="9" t="str">
        <f aca="false">IF(A321="","", QC_Plan!M321)</f>
        <v/>
      </c>
      <c r="G321" s="26" t="str">
        <f aca="false">IF(B321="","",IF(H321&gt;1000,"High",IF(H321&gt;500,"Medium","Low")))</f>
        <v/>
      </c>
      <c r="I321" s="26"/>
    </row>
    <row r="322" customFormat="false" ht="15" hidden="false" customHeight="true" outlineLevel="0" collapsed="false">
      <c r="D322" s="9" t="str">
        <f aca="false">IF(A322="","",IF(C322="2P",OPR_2P!B$2,IF(C322="SEG",SEG_6P!B$2,IF(C322="SOL",SOL_4P!B$2,IF(C322="RW",RW_2P!B$2,IF(C322="RW2",RW2_4P!B$2,0))))))</f>
        <v/>
      </c>
      <c r="F322" s="9" t="str">
        <f aca="false">IF(A322="","", QC_Plan!M322)</f>
        <v/>
      </c>
      <c r="G322" s="26" t="str">
        <f aca="false">IF(B322="","",IF(H322&gt;1000,"High",IF(H322&gt;500,"Medium","Low")))</f>
        <v/>
      </c>
      <c r="I322" s="26"/>
    </row>
    <row r="323" customFormat="false" ht="15" hidden="false" customHeight="true" outlineLevel="0" collapsed="false">
      <c r="D323" s="9" t="str">
        <f aca="false">IF(A323="","",IF(C323="2P",OPR_2P!B$2,IF(C323="SEG",SEG_6P!B$2,IF(C323="SOL",SOL_4P!B$2,IF(C323="RW",RW_2P!B$2,IF(C323="RW2",RW2_4P!B$2,0))))))</f>
        <v/>
      </c>
      <c r="F323" s="9" t="str">
        <f aca="false">IF(A323="","", QC_Plan!M323)</f>
        <v/>
      </c>
      <c r="G323" s="26" t="str">
        <f aca="false">IF(B323="","",IF(H323&gt;1000,"High",IF(H323&gt;500,"Medium","Low")))</f>
        <v/>
      </c>
      <c r="I323" s="26"/>
    </row>
    <row r="324" customFormat="false" ht="15" hidden="false" customHeight="true" outlineLevel="0" collapsed="false">
      <c r="D324" s="9" t="str">
        <f aca="false">IF(A324="","",IF(C324="2P",OPR_2P!B$2,IF(C324="SEG",SEG_6P!B$2,IF(C324="SOL",SOL_4P!B$2,IF(C324="RW",RW_2P!B$2,IF(C324="RW2",RW2_4P!B$2,0))))))</f>
        <v/>
      </c>
      <c r="F324" s="9" t="str">
        <f aca="false">IF(A324="","", QC_Plan!M324)</f>
        <v/>
      </c>
      <c r="G324" s="26" t="str">
        <f aca="false">IF(B324="","",IF(H324&gt;1000,"High",IF(H324&gt;500,"Medium","Low")))</f>
        <v/>
      </c>
      <c r="I324" s="26"/>
    </row>
    <row r="325" customFormat="false" ht="15" hidden="false" customHeight="true" outlineLevel="0" collapsed="false">
      <c r="D325" s="9" t="str">
        <f aca="false">IF(A325="","",IF(C325="2P",OPR_2P!B$2,IF(C325="SEG",SEG_6P!B$2,IF(C325="SOL",SOL_4P!B$2,IF(C325="RW",RW_2P!B$2,IF(C325="RW2",RW2_4P!B$2,0))))))</f>
        <v/>
      </c>
      <c r="F325" s="9" t="str">
        <f aca="false">IF(A325="","", QC_Plan!M325)</f>
        <v/>
      </c>
      <c r="G325" s="26" t="str">
        <f aca="false">IF(B325="","",IF(H325&gt;1000,"High",IF(H325&gt;500,"Medium","Low")))</f>
        <v/>
      </c>
      <c r="I325" s="26"/>
    </row>
    <row r="326" customFormat="false" ht="15" hidden="false" customHeight="true" outlineLevel="0" collapsed="false">
      <c r="D326" s="9" t="str">
        <f aca="false">IF(A326="","",IF(C326="2P",OPR_2P!B$2,IF(C326="SEG",SEG_6P!B$2,IF(C326="SOL",SOL_4P!B$2,IF(C326="RW",RW_2P!B$2,IF(C326="RW2",RW2_4P!B$2,0))))))</f>
        <v/>
      </c>
      <c r="F326" s="9" t="str">
        <f aca="false">IF(A326="","", QC_Plan!M326)</f>
        <v/>
      </c>
      <c r="G326" s="26" t="str">
        <f aca="false">IF(B326="","",IF(H326&gt;1000,"High",IF(H326&gt;500,"Medium","Low")))</f>
        <v/>
      </c>
      <c r="I326" s="26"/>
    </row>
    <row r="327" customFormat="false" ht="15" hidden="false" customHeight="true" outlineLevel="0" collapsed="false">
      <c r="D327" s="9" t="str">
        <f aca="false">IF(A327="","",IF(C327="2P",OPR_2P!B$2,IF(C327="SEG",SEG_6P!B$2,IF(C327="SOL",SOL_4P!B$2,IF(C327="RW",RW_2P!B$2,IF(C327="RW2",RW2_4P!B$2,0))))))</f>
        <v/>
      </c>
      <c r="F327" s="9" t="str">
        <f aca="false">IF(A327="","", QC_Plan!M327)</f>
        <v/>
      </c>
      <c r="G327" s="26" t="str">
        <f aca="false">IF(B327="","",IF(H327&gt;1000,"High",IF(H327&gt;500,"Medium","Low")))</f>
        <v/>
      </c>
      <c r="I327" s="26"/>
    </row>
    <row r="328" customFormat="false" ht="15" hidden="false" customHeight="true" outlineLevel="0" collapsed="false">
      <c r="D328" s="9" t="str">
        <f aca="false">IF(A328="","",IF(C328="2P",OPR_2P!B$2,IF(C328="SEG",SEG_6P!B$2,IF(C328="SOL",SOL_4P!B$2,IF(C328="RW",RW_2P!B$2,IF(C328="RW2",RW2_4P!B$2,0))))))</f>
        <v/>
      </c>
      <c r="F328" s="9" t="str">
        <f aca="false">IF(A328="","", QC_Plan!M328)</f>
        <v/>
      </c>
      <c r="G328" s="26" t="str">
        <f aca="false">IF(B328="","",IF(H328&gt;1000,"High",IF(H328&gt;500,"Medium","Low")))</f>
        <v/>
      </c>
      <c r="I328" s="26"/>
    </row>
    <row r="329" customFormat="false" ht="15" hidden="false" customHeight="true" outlineLevel="0" collapsed="false">
      <c r="D329" s="9" t="str">
        <f aca="false">IF(A329="","",IF(C329="2P",OPR_2P!B$2,IF(C329="SEG",SEG_6P!B$2,IF(C329="SOL",SOL_4P!B$2,IF(C329="RW",RW_2P!B$2,IF(C329="RW2",RW2_4P!B$2,0))))))</f>
        <v/>
      </c>
      <c r="F329" s="9" t="str">
        <f aca="false">IF(A329="","", QC_Plan!M329)</f>
        <v/>
      </c>
      <c r="G329" s="26" t="str">
        <f aca="false">IF(B329="","",IF(H329&gt;1000,"High",IF(H329&gt;500,"Medium","Low")))</f>
        <v/>
      </c>
      <c r="I329" s="26"/>
    </row>
    <row r="330" customFormat="false" ht="15" hidden="false" customHeight="true" outlineLevel="0" collapsed="false">
      <c r="D330" s="9" t="str">
        <f aca="false">IF(A330="","",IF(C330="2P",OPR_2P!B$2,IF(C330="SEG",SEG_6P!B$2,IF(C330="SOL",SOL_4P!B$2,IF(C330="RW",RW_2P!B$2,IF(C330="RW2",RW2_4P!B$2,0))))))</f>
        <v/>
      </c>
      <c r="F330" s="9" t="str">
        <f aca="false">IF(A330="","", QC_Plan!M330)</f>
        <v/>
      </c>
      <c r="G330" s="26" t="str">
        <f aca="false">IF(B330="","",IF(H330&gt;1000,"High",IF(H330&gt;500,"Medium","Low")))</f>
        <v/>
      </c>
      <c r="I330" s="26"/>
    </row>
    <row r="331" customFormat="false" ht="15" hidden="false" customHeight="true" outlineLevel="0" collapsed="false">
      <c r="D331" s="9" t="str">
        <f aca="false">IF(A331="","",IF(C331="2P",OPR_2P!B$2,IF(C331="SEG",SEG_6P!B$2,IF(C331="SOL",SOL_4P!B$2,IF(C331="RW",RW_2P!B$2,IF(C331="RW2",RW2_4P!B$2,0))))))</f>
        <v/>
      </c>
      <c r="F331" s="9" t="str">
        <f aca="false">IF(A331="","", QC_Plan!M331)</f>
        <v/>
      </c>
      <c r="G331" s="26" t="str">
        <f aca="false">IF(B331="","",IF(H331&gt;1000,"High",IF(H331&gt;500,"Medium","Low")))</f>
        <v/>
      </c>
      <c r="I331" s="26"/>
    </row>
    <row r="332" customFormat="false" ht="15" hidden="false" customHeight="true" outlineLevel="0" collapsed="false">
      <c r="D332" s="9" t="str">
        <f aca="false">IF(A332="","",IF(C332="2P",OPR_2P!B$2,IF(C332="SEG",SEG_6P!B$2,IF(C332="SOL",SOL_4P!B$2,IF(C332="RW",RW_2P!B$2,IF(C332="RW2",RW2_4P!B$2,0))))))</f>
        <v/>
      </c>
      <c r="F332" s="9" t="str">
        <f aca="false">IF(A332="","", QC_Plan!M332)</f>
        <v/>
      </c>
      <c r="G332" s="26" t="str">
        <f aca="false">IF(B332="","",IF(H332&gt;1000,"High",IF(H332&gt;500,"Medium","Low")))</f>
        <v/>
      </c>
      <c r="I332" s="26"/>
    </row>
    <row r="333" customFormat="false" ht="15" hidden="false" customHeight="true" outlineLevel="0" collapsed="false">
      <c r="D333" s="9" t="str">
        <f aca="false">IF(A333="","",IF(C333="2P",OPR_2P!B$2,IF(C333="SEG",SEG_6P!B$2,IF(C333="SOL",SOL_4P!B$2,IF(C333="RW",RW_2P!B$2,IF(C333="RW2",RW2_4P!B$2,0))))))</f>
        <v/>
      </c>
      <c r="F333" s="9" t="str">
        <f aca="false">IF(A333="","", QC_Plan!M333)</f>
        <v/>
      </c>
      <c r="G333" s="26" t="str">
        <f aca="false">IF(B333="","",IF(H333&gt;1000,"High",IF(H333&gt;500,"Medium","Low")))</f>
        <v/>
      </c>
      <c r="I333" s="26"/>
    </row>
    <row r="334" customFormat="false" ht="15" hidden="false" customHeight="true" outlineLevel="0" collapsed="false">
      <c r="D334" s="9" t="str">
        <f aca="false">IF(A334="","",IF(C334="2P",OPR_2P!B$2,IF(C334="SEG",SEG_6P!B$2,IF(C334="SOL",SOL_4P!B$2,IF(C334="RW",RW_2P!B$2,IF(C334="RW2",RW2_4P!B$2,0))))))</f>
        <v/>
      </c>
      <c r="F334" s="9" t="str">
        <f aca="false">IF(A334="","", QC_Plan!M334)</f>
        <v/>
      </c>
      <c r="G334" s="26" t="str">
        <f aca="false">IF(B334="","",IF(H334&gt;1000,"High",IF(H334&gt;500,"Medium","Low")))</f>
        <v/>
      </c>
      <c r="I334" s="26"/>
    </row>
    <row r="335" customFormat="false" ht="15" hidden="false" customHeight="true" outlineLevel="0" collapsed="false">
      <c r="D335" s="9" t="str">
        <f aca="false">IF(A335="","",IF(C335="2P",OPR_2P!B$2,IF(C335="SEG",SEG_6P!B$2,IF(C335="SOL",SOL_4P!B$2,IF(C335="RW",RW_2P!B$2,IF(C335="RW2",RW2_4P!B$2,0))))))</f>
        <v/>
      </c>
      <c r="F335" s="9" t="str">
        <f aca="false">IF(A335="","", QC_Plan!M335)</f>
        <v/>
      </c>
      <c r="G335" s="26" t="str">
        <f aca="false">IF(B335="","",IF(H335&gt;1000,"High",IF(H335&gt;500,"Medium","Low")))</f>
        <v/>
      </c>
      <c r="I335" s="26"/>
    </row>
    <row r="336" customFormat="false" ht="15" hidden="false" customHeight="true" outlineLevel="0" collapsed="false">
      <c r="D336" s="9" t="str">
        <f aca="false">IF(A336="","",IF(C336="2P",OPR_2P!B$2,IF(C336="SEG",SEG_6P!B$2,IF(C336="SOL",SOL_4P!B$2,IF(C336="RW",RW_2P!B$2,IF(C336="RW2",RW2_4P!B$2,0))))))</f>
        <v/>
      </c>
      <c r="F336" s="9" t="str">
        <f aca="false">IF(A336="","", QC_Plan!M336)</f>
        <v/>
      </c>
      <c r="G336" s="26" t="str">
        <f aca="false">IF(B336="","",IF(H336&gt;1000,"High",IF(H336&gt;500,"Medium","Low")))</f>
        <v/>
      </c>
      <c r="I336" s="26"/>
    </row>
    <row r="337" customFormat="false" ht="15" hidden="false" customHeight="true" outlineLevel="0" collapsed="false">
      <c r="D337" s="9" t="str">
        <f aca="false">IF(A337="","",IF(C337="2P",OPR_2P!B$2,IF(C337="SEG",SEG_6P!B$2,IF(C337="SOL",SOL_4P!B$2,IF(C337="RW",RW_2P!B$2,IF(C337="RW2",RW2_4P!B$2,0))))))</f>
        <v/>
      </c>
      <c r="F337" s="9" t="str">
        <f aca="false">IF(A337="","", QC_Plan!M337)</f>
        <v/>
      </c>
      <c r="G337" s="26" t="str">
        <f aca="false">IF(B337="","",IF(H337&gt;1000,"High",IF(H337&gt;500,"Medium","Low")))</f>
        <v/>
      </c>
      <c r="I337" s="26"/>
    </row>
    <row r="338" customFormat="false" ht="15" hidden="false" customHeight="true" outlineLevel="0" collapsed="false">
      <c r="D338" s="9" t="str">
        <f aca="false">IF(A338="","",IF(C338="2P",OPR_2P!B$2,IF(C338="SEG",SEG_6P!B$2,IF(C338="SOL",SOL_4P!B$2,IF(C338="RW",RW_2P!B$2,IF(C338="RW2",RW2_4P!B$2,0))))))</f>
        <v/>
      </c>
      <c r="F338" s="9" t="str">
        <f aca="false">IF(A338="","", QC_Plan!M338)</f>
        <v/>
      </c>
      <c r="G338" s="26" t="str">
        <f aca="false">IF(B338="","",IF(H338&gt;1000,"High",IF(H338&gt;500,"Medium","Low")))</f>
        <v/>
      </c>
      <c r="I338" s="26"/>
    </row>
    <row r="339" customFormat="false" ht="15" hidden="false" customHeight="true" outlineLevel="0" collapsed="false">
      <c r="D339" s="9" t="str">
        <f aca="false">IF(A339="","",IF(C339="2P",OPR_2P!B$2,IF(C339="SEG",SEG_6P!B$2,IF(C339="SOL",SOL_4P!B$2,IF(C339="RW",RW_2P!B$2,IF(C339="RW2",RW2_4P!B$2,0))))))</f>
        <v/>
      </c>
      <c r="F339" s="9" t="str">
        <f aca="false">IF(A339="","", QC_Plan!M339)</f>
        <v/>
      </c>
      <c r="G339" s="26" t="str">
        <f aca="false">IF(B339="","",IF(H339&gt;1000,"High",IF(H339&gt;500,"Medium","Low")))</f>
        <v/>
      </c>
      <c r="I339" s="26"/>
    </row>
    <row r="340" customFormat="false" ht="15" hidden="false" customHeight="true" outlineLevel="0" collapsed="false">
      <c r="D340" s="9" t="str">
        <f aca="false">IF(A340="","",IF(C340="2P",OPR_2P!B$2,IF(C340="SEG",SEG_6P!B$2,IF(C340="SOL",SOL_4P!B$2,IF(C340="RW",RW_2P!B$2,IF(C340="RW2",RW2_4P!B$2,0))))))</f>
        <v/>
      </c>
      <c r="F340" s="9" t="str">
        <f aca="false">IF(A340="","", QC_Plan!M340)</f>
        <v/>
      </c>
      <c r="G340" s="26" t="str">
        <f aca="false">IF(B340="","",IF(H340&gt;1000,"High",IF(H340&gt;500,"Medium","Low")))</f>
        <v/>
      </c>
      <c r="I340" s="26"/>
    </row>
    <row r="341" customFormat="false" ht="15" hidden="false" customHeight="true" outlineLevel="0" collapsed="false">
      <c r="D341" s="9" t="str">
        <f aca="false">IF(A341="","",IF(C341="2P",OPR_2P!B$2,IF(C341="SEG",SEG_6P!B$2,IF(C341="SOL",SOL_4P!B$2,IF(C341="RW",RW_2P!B$2,IF(C341="RW2",RW2_4P!B$2,0))))))</f>
        <v/>
      </c>
      <c r="F341" s="9" t="str">
        <f aca="false">IF(A341="","", QC_Plan!M341)</f>
        <v/>
      </c>
      <c r="G341" s="26" t="str">
        <f aca="false">IF(B341="","",IF(H341&gt;1000,"High",IF(H341&gt;500,"Medium","Low")))</f>
        <v/>
      </c>
      <c r="I341" s="26"/>
    </row>
    <row r="342" customFormat="false" ht="15" hidden="false" customHeight="true" outlineLevel="0" collapsed="false">
      <c r="D342" s="9" t="str">
        <f aca="false">IF(A342="","",IF(C342="2P",OPR_2P!B$2,IF(C342="SEG",SEG_6P!B$2,IF(C342="SOL",SOL_4P!B$2,IF(C342="RW",RW_2P!B$2,IF(C342="RW2",RW2_4P!B$2,0))))))</f>
        <v/>
      </c>
      <c r="F342" s="9" t="str">
        <f aca="false">IF(A342="","", QC_Plan!M342)</f>
        <v/>
      </c>
      <c r="G342" s="26" t="str">
        <f aca="false">IF(B342="","",IF(H342&gt;1000,"High",IF(H342&gt;500,"Medium","Low")))</f>
        <v/>
      </c>
      <c r="I342" s="26"/>
    </row>
    <row r="343" customFormat="false" ht="15" hidden="false" customHeight="true" outlineLevel="0" collapsed="false">
      <c r="D343" s="9" t="str">
        <f aca="false">IF(A343="","",IF(C343="2P",OPR_2P!B$2,IF(C343="SEG",SEG_6P!B$2,IF(C343="SOL",SOL_4P!B$2,IF(C343="RW",RW_2P!B$2,IF(C343="RW2",RW2_4P!B$2,0))))))</f>
        <v/>
      </c>
      <c r="F343" s="9" t="str">
        <f aca="false">IF(A343="","", QC_Plan!M343)</f>
        <v/>
      </c>
      <c r="G343" s="26" t="str">
        <f aca="false">IF(B343="","",IF(H343&gt;1000,"High",IF(H343&gt;500,"Medium","Low")))</f>
        <v/>
      </c>
      <c r="I343" s="26"/>
    </row>
    <row r="344" customFormat="false" ht="15" hidden="false" customHeight="true" outlineLevel="0" collapsed="false">
      <c r="D344" s="9" t="str">
        <f aca="false">IF(A344="","",IF(C344="2P",OPR_2P!B$2,IF(C344="SEG",SEG_6P!B$2,IF(C344="SOL",SOL_4P!B$2,IF(C344="RW",RW_2P!B$2,IF(C344="RW2",RW2_4P!B$2,0))))))</f>
        <v/>
      </c>
      <c r="F344" s="9" t="str">
        <f aca="false">IF(A344="","", QC_Plan!M344)</f>
        <v/>
      </c>
      <c r="G344" s="26" t="str">
        <f aca="false">IF(B344="","",IF(H344&gt;1000,"High",IF(H344&gt;500,"Medium","Low")))</f>
        <v/>
      </c>
      <c r="I344" s="26"/>
    </row>
    <row r="345" customFormat="false" ht="15" hidden="false" customHeight="true" outlineLevel="0" collapsed="false">
      <c r="D345" s="9" t="str">
        <f aca="false">IF(A345="","",IF(C345="2P",OPR_2P!B$2,IF(C345="SEG",SEG_6P!B$2,IF(C345="SOL",SOL_4P!B$2,IF(C345="RW",RW_2P!B$2,IF(C345="RW2",RW2_4P!B$2,0))))))</f>
        <v/>
      </c>
      <c r="F345" s="9" t="str">
        <f aca="false">IF(A345="","", QC_Plan!M345)</f>
        <v/>
      </c>
      <c r="G345" s="26" t="str">
        <f aca="false">IF(B345="","",IF(H345&gt;1000,"High",IF(H345&gt;500,"Medium","Low")))</f>
        <v/>
      </c>
      <c r="I345" s="26"/>
    </row>
    <row r="346" customFormat="false" ht="15" hidden="false" customHeight="true" outlineLevel="0" collapsed="false">
      <c r="D346" s="9" t="str">
        <f aca="false">IF(A346="","",IF(C346="2P",OPR_2P!B$2,IF(C346="SEG",SEG_6P!B$2,IF(C346="SOL",SOL_4P!B$2,IF(C346="RW",RW_2P!B$2,IF(C346="RW2",RW2_4P!B$2,0))))))</f>
        <v/>
      </c>
      <c r="F346" s="9" t="str">
        <f aca="false">IF(A346="","", QC_Plan!M346)</f>
        <v/>
      </c>
      <c r="G346" s="26" t="str">
        <f aca="false">IF(B346="","",IF(H346&gt;1000,"High",IF(H346&gt;500,"Medium","Low")))</f>
        <v/>
      </c>
      <c r="I346" s="26"/>
    </row>
    <row r="347" customFormat="false" ht="15" hidden="false" customHeight="true" outlineLevel="0" collapsed="false">
      <c r="D347" s="9" t="str">
        <f aca="false">IF(A347="","",IF(C347="2P",OPR_2P!B$2,IF(C347="SEG",SEG_6P!B$2,IF(C347="SOL",SOL_4P!B$2,IF(C347="RW",RW_2P!B$2,IF(C347="RW2",RW2_4P!B$2,0))))))</f>
        <v/>
      </c>
      <c r="F347" s="9" t="str">
        <f aca="false">IF(A347="","", QC_Plan!M347)</f>
        <v/>
      </c>
      <c r="G347" s="26" t="str">
        <f aca="false">IF(B347="","",IF(H347&gt;1000,"High",IF(H347&gt;500,"Medium","Low")))</f>
        <v/>
      </c>
      <c r="I347" s="26"/>
    </row>
    <row r="348" customFormat="false" ht="15" hidden="false" customHeight="true" outlineLevel="0" collapsed="false">
      <c r="D348" s="9" t="str">
        <f aca="false">IF(A348="","",IF(C348="2P",OPR_2P!B$2,IF(C348="SEG",SEG_6P!B$2,IF(C348="SOL",SOL_4P!B$2,IF(C348="RW",RW_2P!B$2,IF(C348="RW2",RW2_4P!B$2,0))))))</f>
        <v/>
      </c>
      <c r="F348" s="9" t="str">
        <f aca="false">IF(A348="","", QC_Plan!M348)</f>
        <v/>
      </c>
      <c r="G348" s="26" t="str">
        <f aca="false">IF(B348="","",IF(H348&gt;1000,"High",IF(H348&gt;500,"Medium","Low")))</f>
        <v/>
      </c>
      <c r="I348" s="26"/>
    </row>
    <row r="349" customFormat="false" ht="15" hidden="false" customHeight="true" outlineLevel="0" collapsed="false">
      <c r="D349" s="9" t="str">
        <f aca="false">IF(A349="","",IF(C349="2P",OPR_2P!B$2,IF(C349="SEG",SEG_6P!B$2,IF(C349="SOL",SOL_4P!B$2,IF(C349="RW",RW_2P!B$2,IF(C349="RW2",RW2_4P!B$2,0))))))</f>
        <v/>
      </c>
      <c r="F349" s="9" t="str">
        <f aca="false">IF(A349="","", QC_Plan!M349)</f>
        <v/>
      </c>
      <c r="G349" s="26" t="str">
        <f aca="false">IF(B349="","",IF(H349&gt;1000,"High",IF(H349&gt;500,"Medium","Low")))</f>
        <v/>
      </c>
      <c r="I349" s="26"/>
    </row>
    <row r="350" customFormat="false" ht="15" hidden="false" customHeight="true" outlineLevel="0" collapsed="false">
      <c r="D350" s="9" t="str">
        <f aca="false">IF(A350="","",IF(C350="2P",OPR_2P!B$2,IF(C350="SEG",SEG_6P!B$2,IF(C350="SOL",SOL_4P!B$2,IF(C350="RW",RW_2P!B$2,IF(C350="RW2",RW2_4P!B$2,0))))))</f>
        <v/>
      </c>
      <c r="F350" s="9" t="str">
        <f aca="false">IF(A350="","", QC_Plan!M350)</f>
        <v/>
      </c>
      <c r="G350" s="26" t="str">
        <f aca="false">IF(B350="","",IF(H350&gt;1000,"High",IF(H350&gt;500,"Medium","Low")))</f>
        <v/>
      </c>
      <c r="I350" s="26"/>
    </row>
    <row r="351" customFormat="false" ht="15" hidden="false" customHeight="true" outlineLevel="0" collapsed="false">
      <c r="D351" s="9" t="str">
        <f aca="false">IF(A351="","",IF(C351="2P",OPR_2P!B$2,IF(C351="SEG",SEG_6P!B$2,IF(C351="SOL",SOL_4P!B$2,IF(C351="RW",RW_2P!B$2,IF(C351="RW2",RW2_4P!B$2,0))))))</f>
        <v/>
      </c>
      <c r="F351" s="9" t="str">
        <f aca="false">IF(A351="","", QC_Plan!M351)</f>
        <v/>
      </c>
      <c r="G351" s="26" t="str">
        <f aca="false">IF(B351="","",IF(H351&gt;1000,"High",IF(H351&gt;500,"Medium","Low")))</f>
        <v/>
      </c>
      <c r="I351" s="26"/>
    </row>
    <row r="352" customFormat="false" ht="15" hidden="false" customHeight="true" outlineLevel="0" collapsed="false">
      <c r="D352" s="9" t="str">
        <f aca="false">IF(A352="","",IF(C352="2P",OPR_2P!B$2,IF(C352="SEG",SEG_6P!B$2,IF(C352="SOL",SOL_4P!B$2,IF(C352="RW",RW_2P!B$2,IF(C352="RW2",RW2_4P!B$2,0))))))</f>
        <v/>
      </c>
      <c r="F352" s="9" t="str">
        <f aca="false">IF(A352="","", QC_Plan!M352)</f>
        <v/>
      </c>
      <c r="G352" s="26" t="str">
        <f aca="false">IF(B352="","",IF(H352&gt;1000,"High",IF(H352&gt;500,"Medium","Low")))</f>
        <v/>
      </c>
      <c r="I352" s="26"/>
    </row>
    <row r="353" customFormat="false" ht="15" hidden="false" customHeight="true" outlineLevel="0" collapsed="false">
      <c r="D353" s="9" t="str">
        <f aca="false">IF(A353="","",IF(C353="2P",OPR_2P!B$2,IF(C353="SEG",SEG_6P!B$2,IF(C353="SOL",SOL_4P!B$2,IF(C353="RW",RW_2P!B$2,IF(C353="RW2",RW2_4P!B$2,0))))))</f>
        <v/>
      </c>
      <c r="F353" s="9" t="str">
        <f aca="false">IF(A353="","", QC_Plan!M353)</f>
        <v/>
      </c>
      <c r="G353" s="26" t="str">
        <f aca="false">IF(B353="","",IF(H353&gt;1000,"High",IF(H353&gt;500,"Medium","Low")))</f>
        <v/>
      </c>
      <c r="I353" s="26"/>
    </row>
    <row r="354" customFormat="false" ht="15" hidden="false" customHeight="true" outlineLevel="0" collapsed="false">
      <c r="D354" s="9" t="str">
        <f aca="false">IF(A354="","",IF(C354="2P",OPR_2P!B$2,IF(C354="SEG",SEG_6P!B$2,IF(C354="SOL",SOL_4P!B$2,IF(C354="RW",RW_2P!B$2,IF(C354="RW2",RW2_4P!B$2,0))))))</f>
        <v/>
      </c>
      <c r="F354" s="9" t="str">
        <f aca="false">IF(A354="","", QC_Plan!M354)</f>
        <v/>
      </c>
      <c r="G354" s="26" t="str">
        <f aca="false">IF(B354="","",IF(H354&gt;1000,"High",IF(H354&gt;500,"Medium","Low")))</f>
        <v/>
      </c>
      <c r="I354" s="26"/>
    </row>
    <row r="355" customFormat="false" ht="15" hidden="false" customHeight="true" outlineLevel="0" collapsed="false">
      <c r="D355" s="9" t="str">
        <f aca="false">IF(A355="","",IF(C355="2P",OPR_2P!B$2,IF(C355="SEG",SEG_6P!B$2,IF(C355="SOL",SOL_4P!B$2,IF(C355="RW",RW_2P!B$2,IF(C355="RW2",RW2_4P!B$2,0))))))</f>
        <v/>
      </c>
      <c r="F355" s="9" t="str">
        <f aca="false">IF(A355="","", QC_Plan!M355)</f>
        <v/>
      </c>
      <c r="G355" s="26" t="str">
        <f aca="false">IF(B355="","",IF(H355&gt;1000,"High",IF(H355&gt;500,"Medium","Low")))</f>
        <v/>
      </c>
      <c r="I355" s="26"/>
    </row>
    <row r="356" customFormat="false" ht="15" hidden="false" customHeight="true" outlineLevel="0" collapsed="false">
      <c r="D356" s="9" t="str">
        <f aca="false">IF(A356="","",IF(C356="2P",OPR_2P!B$2,IF(C356="SEG",SEG_6P!B$2,IF(C356="SOL",SOL_4P!B$2,IF(C356="RW",RW_2P!B$2,IF(C356="RW2",RW2_4P!B$2,0))))))</f>
        <v/>
      </c>
      <c r="F356" s="9" t="str">
        <f aca="false">IF(A356="","", QC_Plan!M356)</f>
        <v/>
      </c>
      <c r="G356" s="26" t="str">
        <f aca="false">IF(B356="","",IF(H356&gt;1000,"High",IF(H356&gt;500,"Medium","Low")))</f>
        <v/>
      </c>
      <c r="I356" s="26"/>
    </row>
    <row r="357" customFormat="false" ht="15" hidden="false" customHeight="true" outlineLevel="0" collapsed="false">
      <c r="D357" s="9" t="str">
        <f aca="false">IF(A357="","",IF(C357="2P",OPR_2P!B$2,IF(C357="SEG",SEG_6P!B$2,IF(C357="SOL",SOL_4P!B$2,IF(C357="RW",RW_2P!B$2,IF(C357="RW2",RW2_4P!B$2,0))))))</f>
        <v/>
      </c>
      <c r="F357" s="9" t="str">
        <f aca="false">IF(A357="","", QC_Plan!M357)</f>
        <v/>
      </c>
      <c r="G357" s="26" t="str">
        <f aca="false">IF(B357="","",IF(H357&gt;1000,"High",IF(H357&gt;500,"Medium","Low")))</f>
        <v/>
      </c>
      <c r="I357" s="26"/>
    </row>
    <row r="358" customFormat="false" ht="15" hidden="false" customHeight="true" outlineLevel="0" collapsed="false">
      <c r="D358" s="9" t="str">
        <f aca="false">IF(A358="","",IF(C358="2P",OPR_2P!B$2,IF(C358="SEG",SEG_6P!B$2,IF(C358="SOL",SOL_4P!B$2,IF(C358="RW",RW_2P!B$2,IF(C358="RW2",RW2_4P!B$2,0))))))</f>
        <v/>
      </c>
      <c r="F358" s="9" t="str">
        <f aca="false">IF(A358="","", QC_Plan!M358)</f>
        <v/>
      </c>
      <c r="G358" s="26" t="str">
        <f aca="false">IF(B358="","",IF(H358&gt;1000,"High",IF(H358&gt;500,"Medium","Low")))</f>
        <v/>
      </c>
      <c r="I358" s="26"/>
    </row>
    <row r="359" customFormat="false" ht="15" hidden="false" customHeight="true" outlineLevel="0" collapsed="false">
      <c r="D359" s="9" t="str">
        <f aca="false">IF(A359="","",IF(C359="2P",OPR_2P!B$2,IF(C359="SEG",SEG_6P!B$2,IF(C359="SOL",SOL_4P!B$2,IF(C359="RW",RW_2P!B$2,IF(C359="RW2",RW2_4P!B$2,0))))))</f>
        <v/>
      </c>
      <c r="F359" s="9" t="str">
        <f aca="false">IF(A359="","", QC_Plan!M359)</f>
        <v/>
      </c>
      <c r="G359" s="26" t="str">
        <f aca="false">IF(B359="","",IF(H359&gt;1000,"High",IF(H359&gt;500,"Medium","Low")))</f>
        <v/>
      </c>
      <c r="I359" s="26"/>
    </row>
    <row r="360" customFormat="false" ht="15" hidden="false" customHeight="true" outlineLevel="0" collapsed="false">
      <c r="D360" s="9" t="str">
        <f aca="false">IF(A360="","",IF(C360="2P",OPR_2P!B$2,IF(C360="SEG",SEG_6P!B$2,IF(C360="SOL",SOL_4P!B$2,IF(C360="RW",RW_2P!B$2,IF(C360="RW2",RW2_4P!B$2,0))))))</f>
        <v/>
      </c>
      <c r="F360" s="9" t="str">
        <f aca="false">IF(A360="","", QC_Plan!M360)</f>
        <v/>
      </c>
      <c r="G360" s="26" t="str">
        <f aca="false">IF(B360="","",IF(H360&gt;1000,"High",IF(H360&gt;500,"Medium","Low")))</f>
        <v/>
      </c>
      <c r="I360" s="26"/>
    </row>
    <row r="361" customFormat="false" ht="15" hidden="false" customHeight="true" outlineLevel="0" collapsed="false">
      <c r="D361" s="9" t="str">
        <f aca="false">IF(A361="","",IF(C361="2P",OPR_2P!B$2,IF(C361="SEG",SEG_6P!B$2,IF(C361="SOL",SOL_4P!B$2,IF(C361="RW",RW_2P!B$2,IF(C361="RW2",RW2_4P!B$2,0))))))</f>
        <v/>
      </c>
      <c r="F361" s="9" t="str">
        <f aca="false">IF(A361="","", QC_Plan!M361)</f>
        <v/>
      </c>
      <c r="G361" s="26" t="str">
        <f aca="false">IF(B361="","",IF(H361&gt;1000,"High",IF(H361&gt;500,"Medium","Low")))</f>
        <v/>
      </c>
      <c r="I361" s="26"/>
    </row>
    <row r="362" customFormat="false" ht="15" hidden="false" customHeight="true" outlineLevel="0" collapsed="false">
      <c r="D362" s="9" t="str">
        <f aca="false">IF(A362="","",IF(C362="2P",OPR_2P!B$2,IF(C362="SEG",SEG_6P!B$2,IF(C362="SOL",SOL_4P!B$2,IF(C362="RW",RW_2P!B$2,IF(C362="RW2",RW2_4P!B$2,0))))))</f>
        <v/>
      </c>
      <c r="F362" s="9" t="str">
        <f aca="false">IF(A362="","", QC_Plan!M362)</f>
        <v/>
      </c>
      <c r="G362" s="26" t="str">
        <f aca="false">IF(B362="","",IF(H362&gt;1000,"High",IF(H362&gt;500,"Medium","Low")))</f>
        <v/>
      </c>
      <c r="I362" s="26"/>
    </row>
    <row r="363" customFormat="false" ht="15" hidden="false" customHeight="true" outlineLevel="0" collapsed="false">
      <c r="D363" s="9" t="str">
        <f aca="false">IF(A363="","",IF(C363="2P",OPR_2P!B$2,IF(C363="SEG",SEG_6P!B$2,IF(C363="SOL",SOL_4P!B$2,IF(C363="RW",RW_2P!B$2,IF(C363="RW2",RW2_4P!B$2,0))))))</f>
        <v/>
      </c>
      <c r="F363" s="9" t="str">
        <f aca="false">IF(A363="","", QC_Plan!M363)</f>
        <v/>
      </c>
      <c r="G363" s="26" t="str">
        <f aca="false">IF(B363="","",IF(H363&gt;1000,"High",IF(H363&gt;500,"Medium","Low")))</f>
        <v/>
      </c>
      <c r="I363" s="26"/>
    </row>
    <row r="364" customFormat="false" ht="15" hidden="false" customHeight="true" outlineLevel="0" collapsed="false">
      <c r="D364" s="9" t="str">
        <f aca="false">IF(A364="","",IF(C364="2P",OPR_2P!B$2,IF(C364="SEG",SEG_6P!B$2,IF(C364="SOL",SOL_4P!B$2,IF(C364="RW",RW_2P!B$2,IF(C364="RW2",RW2_4P!B$2,0))))))</f>
        <v/>
      </c>
      <c r="F364" s="9" t="str">
        <f aca="false">IF(A364="","", QC_Plan!M364)</f>
        <v/>
      </c>
      <c r="G364" s="26" t="str">
        <f aca="false">IF(B364="","",IF(H364&gt;1000,"High",IF(H364&gt;500,"Medium","Low")))</f>
        <v/>
      </c>
      <c r="I364" s="26"/>
    </row>
    <row r="365" customFormat="false" ht="15" hidden="false" customHeight="true" outlineLevel="0" collapsed="false">
      <c r="D365" s="9" t="str">
        <f aca="false">IF(A365="","",IF(C365="2P",OPR_2P!B$2,IF(C365="SEG",SEG_6P!B$2,IF(C365="SOL",SOL_4P!B$2,IF(C365="RW",RW_2P!B$2,IF(C365="RW2",RW2_4P!B$2,0))))))</f>
        <v/>
      </c>
      <c r="F365" s="9" t="str">
        <f aca="false">IF(A365="","", QC_Plan!M365)</f>
        <v/>
      </c>
      <c r="G365" s="26" t="str">
        <f aca="false">IF(B365="","",IF(H365&gt;1000,"High",IF(H365&gt;500,"Medium","Low")))</f>
        <v/>
      </c>
      <c r="I365" s="26"/>
    </row>
    <row r="366" customFormat="false" ht="15" hidden="false" customHeight="true" outlineLevel="0" collapsed="false">
      <c r="D366" s="9" t="str">
        <f aca="false">IF(A366="","",IF(C366="2P",OPR_2P!B$2,IF(C366="SEG",SEG_6P!B$2,IF(C366="SOL",SOL_4P!B$2,IF(C366="RW",RW_2P!B$2,IF(C366="RW2",RW2_4P!B$2,0))))))</f>
        <v/>
      </c>
      <c r="F366" s="9" t="str">
        <f aca="false">IF(A366="","", QC_Plan!M366)</f>
        <v/>
      </c>
      <c r="G366" s="26" t="str">
        <f aca="false">IF(B366="","",IF(H366&gt;1000,"High",IF(H366&gt;500,"Medium","Low")))</f>
        <v/>
      </c>
      <c r="I366" s="26"/>
    </row>
    <row r="367" customFormat="false" ht="15" hidden="false" customHeight="true" outlineLevel="0" collapsed="false">
      <c r="D367" s="9" t="str">
        <f aca="false">IF(A367="","",IF(C367="2P",OPR_2P!B$2,IF(C367="SEG",SEG_6P!B$2,IF(C367="SOL",SOL_4P!B$2,IF(C367="RW",RW_2P!B$2,IF(C367="RW2",RW2_4P!B$2,0))))))</f>
        <v/>
      </c>
      <c r="F367" s="9" t="str">
        <f aca="false">IF(A367="","", QC_Plan!M367)</f>
        <v/>
      </c>
      <c r="G367" s="26" t="str">
        <f aca="false">IF(B367="","",IF(H367&gt;1000,"High",IF(H367&gt;500,"Medium","Low")))</f>
        <v/>
      </c>
      <c r="I367" s="26"/>
    </row>
    <row r="368" customFormat="false" ht="15" hidden="false" customHeight="true" outlineLevel="0" collapsed="false">
      <c r="D368" s="9" t="str">
        <f aca="false">IF(A368="","",IF(C368="2P",OPR_2P!B$2,IF(C368="SEG",SEG_6P!B$2,IF(C368="SOL",SOL_4P!B$2,IF(C368="RW",RW_2P!B$2,IF(C368="RW2",RW2_4P!B$2,0))))))</f>
        <v/>
      </c>
      <c r="F368" s="9" t="str">
        <f aca="false">IF(A368="","", QC_Plan!M368)</f>
        <v/>
      </c>
      <c r="G368" s="26" t="str">
        <f aca="false">IF(B368="","",IF(H368&gt;1000,"High",IF(H368&gt;500,"Medium","Low")))</f>
        <v/>
      </c>
      <c r="I368" s="26"/>
    </row>
    <row r="369" customFormat="false" ht="15" hidden="false" customHeight="true" outlineLevel="0" collapsed="false">
      <c r="D369" s="9" t="str">
        <f aca="false">IF(A369="","",IF(C369="2P",OPR_2P!B$2,IF(C369="SEG",SEG_6P!B$2,IF(C369="SOL",SOL_4P!B$2,IF(C369="RW",RW_2P!B$2,IF(C369="RW2",RW2_4P!B$2,0))))))</f>
        <v/>
      </c>
      <c r="F369" s="9" t="str">
        <f aca="false">IF(A369="","", QC_Plan!M369)</f>
        <v/>
      </c>
      <c r="G369" s="26" t="str">
        <f aca="false">IF(B369="","",IF(H369&gt;1000,"High",IF(H369&gt;500,"Medium","Low")))</f>
        <v/>
      </c>
      <c r="I369" s="26"/>
    </row>
    <row r="370" customFormat="false" ht="15" hidden="false" customHeight="true" outlineLevel="0" collapsed="false">
      <c r="D370" s="9" t="str">
        <f aca="false">IF(A370="","",IF(C370="2P",OPR_2P!B$2,IF(C370="SEG",SEG_6P!B$2,IF(C370="SOL",SOL_4P!B$2,IF(C370="RW",RW_2P!B$2,IF(C370="RW2",RW2_4P!B$2,0))))))</f>
        <v/>
      </c>
      <c r="F370" s="9" t="str">
        <f aca="false">IF(A370="","", QC_Plan!M370)</f>
        <v/>
      </c>
      <c r="G370" s="26" t="str">
        <f aca="false">IF(B370="","",IF(H370&gt;1000,"High",IF(H370&gt;500,"Medium","Low")))</f>
        <v/>
      </c>
      <c r="I370" s="26"/>
    </row>
    <row r="371" customFormat="false" ht="15" hidden="false" customHeight="true" outlineLevel="0" collapsed="false">
      <c r="D371" s="9" t="str">
        <f aca="false">IF(A371="","",IF(C371="2P",OPR_2P!B$2,IF(C371="SEG",SEG_6P!B$2,IF(C371="SOL",SOL_4P!B$2,IF(C371="RW",RW_2P!B$2,IF(C371="RW2",RW2_4P!B$2,0))))))</f>
        <v/>
      </c>
      <c r="F371" s="9" t="str">
        <f aca="false">IF(A371="","", QC_Plan!M371)</f>
        <v/>
      </c>
      <c r="G371" s="26" t="str">
        <f aca="false">IF(B371="","",IF(H371&gt;1000,"High",IF(H371&gt;500,"Medium","Low")))</f>
        <v/>
      </c>
      <c r="I371" s="26"/>
    </row>
    <row r="372" customFormat="false" ht="15" hidden="false" customHeight="true" outlineLevel="0" collapsed="false">
      <c r="D372" s="9" t="str">
        <f aca="false">IF(A372="","",IF(C372="2P",OPR_2P!B$2,IF(C372="SEG",SEG_6P!B$2,IF(C372="SOL",SOL_4P!B$2,IF(C372="RW",RW_2P!B$2,IF(C372="RW2",RW2_4P!B$2,0))))))</f>
        <v/>
      </c>
      <c r="F372" s="9" t="str">
        <f aca="false">IF(A372="","", QC_Plan!M372)</f>
        <v/>
      </c>
      <c r="G372" s="26" t="str">
        <f aca="false">IF(B372="","",IF(H372&gt;1000,"High",IF(H372&gt;500,"Medium","Low")))</f>
        <v/>
      </c>
      <c r="I372" s="26"/>
    </row>
    <row r="373" customFormat="false" ht="15" hidden="false" customHeight="true" outlineLevel="0" collapsed="false">
      <c r="D373" s="9" t="str">
        <f aca="false">IF(A373="","",IF(C373="2P",OPR_2P!B$2,IF(C373="SEG",SEG_6P!B$2,IF(C373="SOL",SOL_4P!B$2,IF(C373="RW",RW_2P!B$2,IF(C373="RW2",RW2_4P!B$2,0))))))</f>
        <v/>
      </c>
      <c r="F373" s="9" t="str">
        <f aca="false">IF(A373="","", QC_Plan!M373)</f>
        <v/>
      </c>
      <c r="G373" s="26" t="str">
        <f aca="false">IF(B373="","",IF(H373&gt;1000,"High",IF(H373&gt;500,"Medium","Low")))</f>
        <v/>
      </c>
      <c r="I373" s="26"/>
    </row>
    <row r="374" customFormat="false" ht="15" hidden="false" customHeight="true" outlineLevel="0" collapsed="false">
      <c r="D374" s="9" t="str">
        <f aca="false">IF(A374="","",IF(C374="2P",OPR_2P!B$2,IF(C374="SEG",SEG_6P!B$2,IF(C374="SOL",SOL_4P!B$2,IF(C374="RW",RW_2P!B$2,IF(C374="RW2",RW2_4P!B$2,0))))))</f>
        <v/>
      </c>
      <c r="F374" s="9" t="str">
        <f aca="false">IF(A374="","", QC_Plan!M374)</f>
        <v/>
      </c>
      <c r="G374" s="26" t="str">
        <f aca="false">IF(B374="","",IF(H374&gt;1000,"High",IF(H374&gt;500,"Medium","Low")))</f>
        <v/>
      </c>
      <c r="I374" s="26"/>
    </row>
    <row r="375" customFormat="false" ht="15" hidden="false" customHeight="true" outlineLevel="0" collapsed="false">
      <c r="D375" s="9" t="str">
        <f aca="false">IF(A375="","",IF(C375="2P",OPR_2P!B$2,IF(C375="SEG",SEG_6P!B$2,IF(C375="SOL",SOL_4P!B$2,IF(C375="RW",RW_2P!B$2,IF(C375="RW2",RW2_4P!B$2,0))))))</f>
        <v/>
      </c>
      <c r="F375" s="9" t="str">
        <f aca="false">IF(A375="","", QC_Plan!M375)</f>
        <v/>
      </c>
      <c r="G375" s="26" t="str">
        <f aca="false">IF(B375="","",IF(H375&gt;1000,"High",IF(H375&gt;500,"Medium","Low")))</f>
        <v/>
      </c>
      <c r="I375" s="26"/>
    </row>
    <row r="376" customFormat="false" ht="15" hidden="false" customHeight="true" outlineLevel="0" collapsed="false">
      <c r="D376" s="9" t="str">
        <f aca="false">IF(A376="","",IF(C376="2P",OPR_2P!B$2,IF(C376="SEG",SEG_6P!B$2,IF(C376="SOL",SOL_4P!B$2,IF(C376="RW",RW_2P!B$2,IF(C376="RW2",RW2_4P!B$2,0))))))</f>
        <v/>
      </c>
      <c r="F376" s="9" t="str">
        <f aca="false">IF(A376="","", QC_Plan!M376)</f>
        <v/>
      </c>
      <c r="G376" s="26" t="str">
        <f aca="false">IF(B376="","",IF(H376&gt;1000,"High",IF(H376&gt;500,"Medium","Low")))</f>
        <v/>
      </c>
      <c r="I376" s="26"/>
    </row>
    <row r="377" customFormat="false" ht="15" hidden="false" customHeight="true" outlineLevel="0" collapsed="false">
      <c r="D377" s="9" t="str">
        <f aca="false">IF(A377="","",IF(C377="2P",OPR_2P!B$2,IF(C377="SEG",SEG_6P!B$2,IF(C377="SOL",SOL_4P!B$2,IF(C377="RW",RW_2P!B$2,IF(C377="RW2",RW2_4P!B$2,0))))))</f>
        <v/>
      </c>
      <c r="F377" s="9" t="str">
        <f aca="false">IF(A377="","", QC_Plan!M377)</f>
        <v/>
      </c>
      <c r="G377" s="26" t="str">
        <f aca="false">IF(B377="","",IF(H377&gt;1000,"High",IF(H377&gt;500,"Medium","Low")))</f>
        <v/>
      </c>
      <c r="I377" s="26"/>
    </row>
    <row r="378" customFormat="false" ht="15" hidden="false" customHeight="true" outlineLevel="0" collapsed="false">
      <c r="D378" s="9" t="str">
        <f aca="false">IF(A378="","",IF(C378="2P",OPR_2P!B$2,IF(C378="SEG",SEG_6P!B$2,IF(C378="SOL",SOL_4P!B$2,IF(C378="RW",RW_2P!B$2,IF(C378="RW2",RW2_4P!B$2,0))))))</f>
        <v/>
      </c>
      <c r="F378" s="9" t="str">
        <f aca="false">IF(A378="","", QC_Plan!M378)</f>
        <v/>
      </c>
      <c r="G378" s="26" t="str">
        <f aca="false">IF(B378="","",IF(H378&gt;1000,"High",IF(H378&gt;500,"Medium","Low")))</f>
        <v/>
      </c>
      <c r="I378" s="26"/>
    </row>
    <row r="379" customFormat="false" ht="15" hidden="false" customHeight="true" outlineLevel="0" collapsed="false">
      <c r="D379" s="9" t="str">
        <f aca="false">IF(A379="","",IF(C379="2P",OPR_2P!B$2,IF(C379="SEG",SEG_6P!B$2,IF(C379="SOL",SOL_4P!B$2,IF(C379="RW",RW_2P!B$2,IF(C379="RW2",RW2_4P!B$2,0))))))</f>
        <v/>
      </c>
      <c r="F379" s="9" t="str">
        <f aca="false">IF(A379="","", QC_Plan!M379)</f>
        <v/>
      </c>
      <c r="G379" s="26" t="str">
        <f aca="false">IF(B379="","",IF(H379&gt;1000,"High",IF(H379&gt;500,"Medium","Low")))</f>
        <v/>
      </c>
      <c r="I379" s="26"/>
    </row>
    <row r="380" customFormat="false" ht="15" hidden="false" customHeight="true" outlineLevel="0" collapsed="false">
      <c r="D380" s="9" t="str">
        <f aca="false">IF(A380="","",IF(C380="2P",OPR_2P!B$2,IF(C380="SEG",SEG_6P!B$2,IF(C380="SOL",SOL_4P!B$2,IF(C380="RW",RW_2P!B$2,IF(C380="RW2",RW2_4P!B$2,0))))))</f>
        <v/>
      </c>
      <c r="F380" s="9" t="str">
        <f aca="false">IF(A380="","", QC_Plan!M380)</f>
        <v/>
      </c>
      <c r="G380" s="26" t="str">
        <f aca="false">IF(B380="","",IF(H380&gt;1000,"High",IF(H380&gt;500,"Medium","Low")))</f>
        <v/>
      </c>
      <c r="I380" s="26"/>
    </row>
    <row r="381" customFormat="false" ht="15" hidden="false" customHeight="true" outlineLevel="0" collapsed="false">
      <c r="D381" s="9" t="str">
        <f aca="false">IF(A381="","",IF(C381="2P",OPR_2P!B$2,IF(C381="SEG",SEG_6P!B$2,IF(C381="SOL",SOL_4P!B$2,IF(C381="RW",RW_2P!B$2,IF(C381="RW2",RW2_4P!B$2,0))))))</f>
        <v/>
      </c>
      <c r="F381" s="9" t="str">
        <f aca="false">IF(A381="","", QC_Plan!M381)</f>
        <v/>
      </c>
      <c r="G381" s="26" t="str">
        <f aca="false">IF(B381="","",IF(H381&gt;1000,"High",IF(H381&gt;500,"Medium","Low")))</f>
        <v/>
      </c>
      <c r="I381" s="26"/>
    </row>
    <row r="382" customFormat="false" ht="15" hidden="false" customHeight="true" outlineLevel="0" collapsed="false">
      <c r="D382" s="9" t="str">
        <f aca="false">IF(A382="","",IF(C382="2P",OPR_2P!B$2,IF(C382="SEG",SEG_6P!B$2,IF(C382="SOL",SOL_4P!B$2,IF(C382="RW",RW_2P!B$2,IF(C382="RW2",RW2_4P!B$2,0))))))</f>
        <v/>
      </c>
      <c r="F382" s="9" t="str">
        <f aca="false">IF(A382="","", QC_Plan!M382)</f>
        <v/>
      </c>
      <c r="G382" s="26" t="str">
        <f aca="false">IF(B382="","",IF(H382&gt;1000,"High",IF(H382&gt;500,"Medium","Low")))</f>
        <v/>
      </c>
      <c r="I382" s="26"/>
    </row>
    <row r="383" customFormat="false" ht="15" hidden="false" customHeight="true" outlineLevel="0" collapsed="false">
      <c r="D383" s="9" t="str">
        <f aca="false">IF(A383="","",IF(C383="2P",OPR_2P!B$2,IF(C383="SEG",SEG_6P!B$2,IF(C383="SOL",SOL_4P!B$2,IF(C383="RW",RW_2P!B$2,IF(C383="RW2",RW2_4P!B$2,0))))))</f>
        <v/>
      </c>
      <c r="F383" s="9" t="str">
        <f aca="false">IF(A383="","", QC_Plan!M383)</f>
        <v/>
      </c>
      <c r="G383" s="26" t="str">
        <f aca="false">IF(B383="","",IF(H383&gt;1000,"High",IF(H383&gt;500,"Medium","Low")))</f>
        <v/>
      </c>
      <c r="I383" s="26"/>
    </row>
    <row r="384" customFormat="false" ht="15" hidden="false" customHeight="true" outlineLevel="0" collapsed="false">
      <c r="D384" s="9" t="str">
        <f aca="false">IF(A384="","",IF(C384="2P",OPR_2P!B$2,IF(C384="SEG",SEG_6P!B$2,IF(C384="SOL",SOL_4P!B$2,IF(C384="RW",RW_2P!B$2,IF(C384="RW2",RW2_4P!B$2,0))))))</f>
        <v/>
      </c>
      <c r="F384" s="9" t="str">
        <f aca="false">IF(A384="","", QC_Plan!M384)</f>
        <v/>
      </c>
      <c r="G384" s="26" t="str">
        <f aca="false">IF(B384="","",IF(H384&gt;1000,"High",IF(H384&gt;500,"Medium","Low")))</f>
        <v/>
      </c>
      <c r="I384" s="26"/>
    </row>
    <row r="385" customFormat="false" ht="15" hidden="false" customHeight="true" outlineLevel="0" collapsed="false">
      <c r="D385" s="9" t="str">
        <f aca="false">IF(A385="","",IF(C385="2P",OPR_2P!B$2,IF(C385="SEG",SEG_6P!B$2,IF(C385="SOL",SOL_4P!B$2,IF(C385="RW",RW_2P!B$2,IF(C385="RW2",RW2_4P!B$2,0))))))</f>
        <v/>
      </c>
      <c r="F385" s="9" t="str">
        <f aca="false">IF(A385="","", QC_Plan!M385)</f>
        <v/>
      </c>
      <c r="G385" s="26" t="str">
        <f aca="false">IF(B385="","",IF(H385&gt;1000,"High",IF(H385&gt;500,"Medium","Low")))</f>
        <v/>
      </c>
      <c r="I385" s="26"/>
    </row>
    <row r="386" customFormat="false" ht="15" hidden="false" customHeight="true" outlineLevel="0" collapsed="false">
      <c r="D386" s="9" t="str">
        <f aca="false">IF(A386="","",IF(C386="2P",OPR_2P!B$2,IF(C386="SEG",SEG_6P!B$2,IF(C386="SOL",SOL_4P!B$2,IF(C386="RW",RW_2P!B$2,IF(C386="RW2",RW2_4P!B$2,0))))))</f>
        <v/>
      </c>
      <c r="F386" s="9" t="str">
        <f aca="false">IF(A386="","", QC_Plan!M386)</f>
        <v/>
      </c>
      <c r="G386" s="26" t="str">
        <f aca="false">IF(B386="","",IF(H386&gt;1000,"High",IF(H386&gt;500,"Medium","Low")))</f>
        <v/>
      </c>
      <c r="I386" s="26"/>
    </row>
    <row r="387" customFormat="false" ht="15" hidden="false" customHeight="true" outlineLevel="0" collapsed="false">
      <c r="D387" s="9" t="str">
        <f aca="false">IF(A387="","",IF(C387="2P",OPR_2P!B$2,IF(C387="SEG",SEG_6P!B$2,IF(C387="SOL",SOL_4P!B$2,IF(C387="RW",RW_2P!B$2,IF(C387="RW2",RW2_4P!B$2,0))))))</f>
        <v/>
      </c>
      <c r="F387" s="9" t="str">
        <f aca="false">IF(A387="","", QC_Plan!M387)</f>
        <v/>
      </c>
      <c r="G387" s="26" t="str">
        <f aca="false">IF(B387="","",IF(H387&gt;1000,"High",IF(H387&gt;500,"Medium","Low")))</f>
        <v/>
      </c>
      <c r="I387" s="26"/>
    </row>
    <row r="388" customFormat="false" ht="15" hidden="false" customHeight="true" outlineLevel="0" collapsed="false">
      <c r="D388" s="9" t="str">
        <f aca="false">IF(A388="","",IF(C388="2P",OPR_2P!B$2,IF(C388="SEG",SEG_6P!B$2,IF(C388="SOL",SOL_4P!B$2,IF(C388="RW",RW_2P!B$2,IF(C388="RW2",RW2_4P!B$2,0))))))</f>
        <v/>
      </c>
      <c r="F388" s="9" t="str">
        <f aca="false">IF(A388="","", QC_Plan!M388)</f>
        <v/>
      </c>
      <c r="G388" s="26" t="str">
        <f aca="false">IF(B388="","",IF(H388&gt;1000,"High",IF(H388&gt;500,"Medium","Low")))</f>
        <v/>
      </c>
      <c r="I388" s="26"/>
    </row>
    <row r="389" customFormat="false" ht="15" hidden="false" customHeight="true" outlineLevel="0" collapsed="false">
      <c r="D389" s="9" t="str">
        <f aca="false">IF(A389="","",IF(C389="2P",OPR_2P!B$2,IF(C389="SEG",SEG_6P!B$2,IF(C389="SOL",SOL_4P!B$2,IF(C389="RW",RW_2P!B$2,IF(C389="RW2",RW2_4P!B$2,0))))))</f>
        <v/>
      </c>
      <c r="F389" s="9" t="str">
        <f aca="false">IF(A389="","", QC_Plan!M389)</f>
        <v/>
      </c>
      <c r="G389" s="26" t="str">
        <f aca="false">IF(B389="","",IF(H389&gt;1000,"High",IF(H389&gt;500,"Medium","Low")))</f>
        <v/>
      </c>
      <c r="I389" s="26"/>
    </row>
    <row r="390" customFormat="false" ht="15" hidden="false" customHeight="true" outlineLevel="0" collapsed="false">
      <c r="D390" s="9" t="str">
        <f aca="false">IF(A390="","",IF(C390="2P",OPR_2P!B$2,IF(C390="SEG",SEG_6P!B$2,IF(C390="SOL",SOL_4P!B$2,IF(C390="RW",RW_2P!B$2,IF(C390="RW2",RW2_4P!B$2,0))))))</f>
        <v/>
      </c>
      <c r="F390" s="9" t="str">
        <f aca="false">IF(A390="","", QC_Plan!M390)</f>
        <v/>
      </c>
      <c r="G390" s="26" t="str">
        <f aca="false">IF(B390="","",IF(H390&gt;1000,"High",IF(H390&gt;500,"Medium","Low")))</f>
        <v/>
      </c>
      <c r="I390" s="26"/>
    </row>
    <row r="391" customFormat="false" ht="15" hidden="false" customHeight="true" outlineLevel="0" collapsed="false">
      <c r="D391" s="9" t="str">
        <f aca="false">IF(A391="","",IF(C391="2P",OPR_2P!B$2,IF(C391="SEG",SEG_6P!B$2,IF(C391="SOL",SOL_4P!B$2,IF(C391="RW",RW_2P!B$2,IF(C391="RW2",RW2_4P!B$2,0))))))</f>
        <v/>
      </c>
      <c r="F391" s="9" t="str">
        <f aca="false">IF(A391="","", QC_Plan!M391)</f>
        <v/>
      </c>
      <c r="G391" s="26" t="str">
        <f aca="false">IF(B391="","",IF(H391&gt;1000,"High",IF(H391&gt;500,"Medium","Low")))</f>
        <v/>
      </c>
      <c r="I391" s="26"/>
    </row>
    <row r="392" customFormat="false" ht="15" hidden="false" customHeight="true" outlineLevel="0" collapsed="false">
      <c r="D392" s="9" t="str">
        <f aca="false">IF(A392="","",IF(C392="2P",OPR_2P!B$2,IF(C392="SEG",SEG_6P!B$2,IF(C392="SOL",SOL_4P!B$2,IF(C392="RW",RW_2P!B$2,IF(C392="RW2",RW2_4P!B$2,0))))))</f>
        <v/>
      </c>
      <c r="F392" s="9" t="str">
        <f aca="false">IF(A392="","", QC_Plan!M392)</f>
        <v/>
      </c>
      <c r="G392" s="26" t="str">
        <f aca="false">IF(B392="","",IF(H392&gt;1000,"High",IF(H392&gt;500,"Medium","Low")))</f>
        <v/>
      </c>
      <c r="I392" s="26"/>
    </row>
    <row r="393" customFormat="false" ht="15" hidden="false" customHeight="true" outlineLevel="0" collapsed="false">
      <c r="D393" s="9" t="str">
        <f aca="false">IF(A393="","",IF(C393="2P",OPR_2P!B$2,IF(C393="SEG",SEG_6P!B$2,IF(C393="SOL",SOL_4P!B$2,IF(C393="RW",RW_2P!B$2,IF(C393="RW2",RW2_4P!B$2,0))))))</f>
        <v/>
      </c>
      <c r="F393" s="9" t="str">
        <f aca="false">IF(A393="","", QC_Plan!M393)</f>
        <v/>
      </c>
      <c r="G393" s="26" t="str">
        <f aca="false">IF(B393="","",IF(H393&gt;1000,"High",IF(H393&gt;500,"Medium","Low")))</f>
        <v/>
      </c>
      <c r="I393" s="26"/>
    </row>
    <row r="394" customFormat="false" ht="15" hidden="false" customHeight="true" outlineLevel="0" collapsed="false">
      <c r="D394" s="9" t="str">
        <f aca="false">IF(A394="","",IF(C394="2P",OPR_2P!B$2,IF(C394="SEG",SEG_6P!B$2,IF(C394="SOL",SOL_4P!B$2,IF(C394="RW",RW_2P!B$2,IF(C394="RW2",RW2_4P!B$2,0))))))</f>
        <v/>
      </c>
      <c r="F394" s="9" t="str">
        <f aca="false">IF(A394="","", QC_Plan!M394)</f>
        <v/>
      </c>
      <c r="G394" s="26" t="str">
        <f aca="false">IF(B394="","",IF(H394&gt;1000,"High",IF(H394&gt;500,"Medium","Low")))</f>
        <v/>
      </c>
      <c r="I394" s="26"/>
    </row>
    <row r="395" customFormat="false" ht="15" hidden="false" customHeight="true" outlineLevel="0" collapsed="false">
      <c r="D395" s="9" t="str">
        <f aca="false">IF(A395="","",IF(C395="2P",OPR_2P!B$2,IF(C395="SEG",SEG_6P!B$2,IF(C395="SOL",SOL_4P!B$2,IF(C395="RW",RW_2P!B$2,IF(C395="RW2",RW2_4P!B$2,0))))))</f>
        <v/>
      </c>
      <c r="F395" s="9" t="str">
        <f aca="false">IF(A395="","", QC_Plan!M395)</f>
        <v/>
      </c>
      <c r="G395" s="26" t="str">
        <f aca="false">IF(B395="","",IF(H395&gt;1000,"High",IF(H395&gt;500,"Medium","Low")))</f>
        <v/>
      </c>
      <c r="I395" s="26"/>
    </row>
    <row r="396" customFormat="false" ht="15" hidden="false" customHeight="true" outlineLevel="0" collapsed="false">
      <c r="D396" s="9" t="str">
        <f aca="false">IF(A396="","",IF(C396="2P",OPR_2P!B$2,IF(C396="SEG",SEG_6P!B$2,IF(C396="SOL",SOL_4P!B$2,IF(C396="RW",RW_2P!B$2,IF(C396="RW2",RW2_4P!B$2,0))))))</f>
        <v/>
      </c>
      <c r="F396" s="9" t="str">
        <f aca="false">IF(A396="","", QC_Plan!M396)</f>
        <v/>
      </c>
      <c r="G396" s="26" t="str">
        <f aca="false">IF(B396="","",IF(H396&gt;1000,"High",IF(H396&gt;500,"Medium","Low")))</f>
        <v/>
      </c>
      <c r="I396" s="26"/>
    </row>
    <row r="397" customFormat="false" ht="15" hidden="false" customHeight="true" outlineLevel="0" collapsed="false">
      <c r="D397" s="9" t="str">
        <f aca="false">IF(A397="","",IF(C397="2P",OPR_2P!B$2,IF(C397="SEG",SEG_6P!B$2,IF(C397="SOL",SOL_4P!B$2,IF(C397="RW",RW_2P!B$2,IF(C397="RW2",RW2_4P!B$2,0))))))</f>
        <v/>
      </c>
      <c r="F397" s="9" t="str">
        <f aca="false">IF(A397="","", QC_Plan!M397)</f>
        <v/>
      </c>
      <c r="G397" s="26" t="str">
        <f aca="false">IF(B397="","",IF(H397&gt;1000,"High",IF(H397&gt;500,"Medium","Low")))</f>
        <v/>
      </c>
      <c r="I397" s="26"/>
    </row>
    <row r="398" customFormat="false" ht="15" hidden="false" customHeight="true" outlineLevel="0" collapsed="false">
      <c r="D398" s="9" t="str">
        <f aca="false">IF(A398="","",IF(C398="2P",OPR_2P!B$2,IF(C398="SEG",SEG_6P!B$2,IF(C398="SOL",SOL_4P!B$2,IF(C398="RW",RW_2P!B$2,IF(C398="RW2",RW2_4P!B$2,0))))))</f>
        <v/>
      </c>
      <c r="F398" s="9" t="str">
        <f aca="false">IF(A398="","", QC_Plan!M398)</f>
        <v/>
      </c>
      <c r="G398" s="26" t="str">
        <f aca="false">IF(B398="","",IF(H398&gt;1000,"High",IF(H398&gt;500,"Medium","Low")))</f>
        <v/>
      </c>
      <c r="I398" s="26"/>
    </row>
    <row r="399" customFormat="false" ht="15" hidden="false" customHeight="true" outlineLevel="0" collapsed="false">
      <c r="D399" s="9" t="str">
        <f aca="false">IF(A399="","",IF(C399="2P",OPR_2P!B$2,IF(C399="SEG",SEG_6P!B$2,IF(C399="SOL",SOL_4P!B$2,IF(C399="RW",RW_2P!B$2,IF(C399="RW2",RW2_4P!B$2,0))))))</f>
        <v/>
      </c>
      <c r="F399" s="9" t="str">
        <f aca="false">IF(A399="","", QC_Plan!M399)</f>
        <v/>
      </c>
      <c r="G399" s="26" t="str">
        <f aca="false">IF(B399="","",IF(H399&gt;1000,"High",IF(H399&gt;500,"Medium","Low")))</f>
        <v/>
      </c>
      <c r="I399" s="26"/>
    </row>
    <row r="400" customFormat="false" ht="15" hidden="false" customHeight="true" outlineLevel="0" collapsed="false">
      <c r="D400" s="9" t="str">
        <f aca="false">IF(A400="","",IF(C400="2P",OPR_2P!B$2,IF(C400="SEG",SEG_6P!B$2,IF(C400="SOL",SOL_4P!B$2,IF(C400="RW",RW_2P!B$2,IF(C400="RW2",RW2_4P!B$2,0))))))</f>
        <v/>
      </c>
      <c r="F400" s="9" t="str">
        <f aca="false">IF(A400="","", QC_Plan!M400)</f>
        <v/>
      </c>
      <c r="G400" s="26" t="str">
        <f aca="false">IF(B400="","",IF(H400&gt;1000,"High",IF(H400&gt;500,"Medium","Low")))</f>
        <v/>
      </c>
      <c r="I400" s="26"/>
    </row>
    <row r="401" customFormat="false" ht="15" hidden="false" customHeight="true" outlineLevel="0" collapsed="false">
      <c r="D401" s="9" t="str">
        <f aca="false">IF(A401="","",IF(C401="2P",OPR_2P!B$2,IF(C401="SEG",SEG_6P!B$2,IF(C401="SOL",SOL_4P!B$2,IF(C401="RW",RW_2P!B$2,IF(C401="RW2",RW2_4P!B$2,0))))))</f>
        <v/>
      </c>
      <c r="F401" s="9" t="str">
        <f aca="false">IF(A401="","", QC_Plan!M401)</f>
        <v/>
      </c>
      <c r="G401" s="26" t="str">
        <f aca="false">IF(B401="","",IF(H401&gt;1000,"High",IF(H401&gt;500,"Medium","Low")))</f>
        <v/>
      </c>
      <c r="I401" s="26"/>
    </row>
    <row r="402" customFormat="false" ht="15" hidden="false" customHeight="true" outlineLevel="0" collapsed="false">
      <c r="D402" s="9" t="str">
        <f aca="false">IF(A402="","",IF(C402="2P",OPR_2P!B$2,IF(C402="SEG",SEG_6P!B$2,IF(C402="SOL",SOL_4P!B$2,IF(C402="RW",RW_2P!B$2,IF(C402="RW2",RW2_4P!B$2,0))))))</f>
        <v/>
      </c>
      <c r="F402" s="9" t="str">
        <f aca="false">IF(A402="","", QC_Plan!M402)</f>
        <v/>
      </c>
      <c r="G402" s="26" t="str">
        <f aca="false">IF(B402="","",IF(H402&gt;1000,"High",IF(H402&gt;500,"Medium","Low")))</f>
        <v/>
      </c>
      <c r="I402" s="26"/>
    </row>
    <row r="403" customFormat="false" ht="15" hidden="false" customHeight="true" outlineLevel="0" collapsed="false">
      <c r="D403" s="9" t="str">
        <f aca="false">IF(A403="","",IF(C403="2P",OPR_2P!B$2,IF(C403="SEG",SEG_6P!B$2,IF(C403="SOL",SOL_4P!B$2,IF(C403="RW",RW_2P!B$2,IF(C403="RW2",RW2_4P!B$2,0))))))</f>
        <v/>
      </c>
      <c r="F403" s="9" t="str">
        <f aca="false">IF(A403="","", QC_Plan!M403)</f>
        <v/>
      </c>
      <c r="G403" s="26" t="str">
        <f aca="false">IF(B403="","",IF(H403&gt;1000,"High",IF(H403&gt;500,"Medium","Low")))</f>
        <v/>
      </c>
      <c r="I403" s="26"/>
    </row>
    <row r="404" customFormat="false" ht="15" hidden="false" customHeight="true" outlineLevel="0" collapsed="false">
      <c r="D404" s="9" t="str">
        <f aca="false">IF(A404="","",IF(C404="2P",OPR_2P!B$2,IF(C404="SEG",SEG_6P!B$2,IF(C404="SOL",SOL_4P!B$2,IF(C404="RW",RW_2P!B$2,IF(C404="RW2",RW2_4P!B$2,0))))))</f>
        <v/>
      </c>
      <c r="F404" s="9" t="str">
        <f aca="false">IF(A404="","", QC_Plan!M404)</f>
        <v/>
      </c>
      <c r="G404" s="26" t="str">
        <f aca="false">IF(B404="","",IF(H404&gt;1000,"High",IF(H404&gt;500,"Medium","Low")))</f>
        <v/>
      </c>
      <c r="I404" s="26"/>
    </row>
    <row r="405" customFormat="false" ht="15" hidden="false" customHeight="true" outlineLevel="0" collapsed="false">
      <c r="D405" s="9" t="str">
        <f aca="false">IF(A405="","",IF(C405="2P",OPR_2P!B$2,IF(C405="SEG",SEG_6P!B$2,IF(C405="SOL",SOL_4P!B$2,IF(C405="RW",RW_2P!B$2,IF(C405="RW2",RW2_4P!B$2,0))))))</f>
        <v/>
      </c>
      <c r="F405" s="9" t="str">
        <f aca="false">IF(A405="","", QC_Plan!M405)</f>
        <v/>
      </c>
      <c r="G405" s="26" t="str">
        <f aca="false">IF(B405="","",IF(H405&gt;1000,"High",IF(H405&gt;500,"Medium","Low")))</f>
        <v/>
      </c>
      <c r="I405" s="26"/>
    </row>
    <row r="406" customFormat="false" ht="15" hidden="false" customHeight="true" outlineLevel="0" collapsed="false">
      <c r="D406" s="9" t="str">
        <f aca="false">IF(A406="","",IF(C406="2P",OPR_2P!B$2,IF(C406="SEG",SEG_6P!B$2,IF(C406="SOL",SOL_4P!B$2,IF(C406="RW",RW_2P!B$2,IF(C406="RW2",RW2_4P!B$2,0))))))</f>
        <v/>
      </c>
      <c r="F406" s="9" t="str">
        <f aca="false">IF(A406="","", QC_Plan!M406)</f>
        <v/>
      </c>
      <c r="G406" s="26" t="str">
        <f aca="false">IF(B406="","",IF(H406&gt;1000,"High",IF(H406&gt;500,"Medium","Low")))</f>
        <v/>
      </c>
      <c r="I406" s="26"/>
    </row>
    <row r="407" customFormat="false" ht="15" hidden="false" customHeight="true" outlineLevel="0" collapsed="false">
      <c r="D407" s="9" t="str">
        <f aca="false">IF(A407="","",IF(C407="2P",OPR_2P!B$2,IF(C407="SEG",SEG_6P!B$2,IF(C407="SOL",SOL_4P!B$2,IF(C407="RW",RW_2P!B$2,IF(C407="RW2",RW2_4P!B$2,0))))))</f>
        <v/>
      </c>
      <c r="F407" s="9" t="str">
        <f aca="false">IF(A407="","", QC_Plan!M407)</f>
        <v/>
      </c>
      <c r="G407" s="26" t="str">
        <f aca="false">IF(B407="","",IF(H407&gt;1000,"High",IF(H407&gt;500,"Medium","Low")))</f>
        <v/>
      </c>
      <c r="I407" s="26"/>
    </row>
    <row r="408" customFormat="false" ht="15" hidden="false" customHeight="true" outlineLevel="0" collapsed="false">
      <c r="D408" s="9" t="str">
        <f aca="false">IF(A408="","",IF(C408="2P",OPR_2P!B$2,IF(C408="SEG",SEG_6P!B$2,IF(C408="SOL",SOL_4P!B$2,IF(C408="RW",RW_2P!B$2,IF(C408="RW2",RW2_4P!B$2,0))))))</f>
        <v/>
      </c>
      <c r="F408" s="9" t="str">
        <f aca="false">IF(A408="","", QC_Plan!M408)</f>
        <v/>
      </c>
      <c r="G408" s="26" t="str">
        <f aca="false">IF(B408="","",IF(H408&gt;1000,"High",IF(H408&gt;500,"Medium","Low")))</f>
        <v/>
      </c>
      <c r="I408" s="26"/>
    </row>
    <row r="409" customFormat="false" ht="15" hidden="false" customHeight="true" outlineLevel="0" collapsed="false">
      <c r="D409" s="9" t="str">
        <f aca="false">IF(A409="","",IF(C409="2P",OPR_2P!B$2,IF(C409="SEG",SEG_6P!B$2,IF(C409="SOL",SOL_4P!B$2,IF(C409="RW",RW_2P!B$2,IF(C409="RW2",RW2_4P!B$2,0))))))</f>
        <v/>
      </c>
      <c r="F409" s="9" t="str">
        <f aca="false">IF(A409="","", QC_Plan!M409)</f>
        <v/>
      </c>
      <c r="G409" s="26" t="str">
        <f aca="false">IF(B409="","",IF(H409&gt;1000,"High",IF(H409&gt;500,"Medium","Low")))</f>
        <v/>
      </c>
      <c r="I409" s="26"/>
    </row>
    <row r="410" customFormat="false" ht="15" hidden="false" customHeight="true" outlineLevel="0" collapsed="false">
      <c r="D410" s="9" t="str">
        <f aca="false">IF(A410="","",IF(C410="2P",OPR_2P!B$2,IF(C410="SEG",SEG_6P!B$2,IF(C410="SOL",SOL_4P!B$2,IF(C410="RW",RW_2P!B$2,IF(C410="RW2",RW2_4P!B$2,0))))))</f>
        <v/>
      </c>
      <c r="F410" s="9" t="str">
        <f aca="false">IF(A410="","", QC_Plan!M410)</f>
        <v/>
      </c>
      <c r="G410" s="26" t="str">
        <f aca="false">IF(B410="","",IF(H410&gt;1000,"High",IF(H410&gt;500,"Medium","Low")))</f>
        <v/>
      </c>
      <c r="I410" s="26"/>
    </row>
    <row r="411" customFormat="false" ht="15" hidden="false" customHeight="true" outlineLevel="0" collapsed="false">
      <c r="D411" s="9" t="str">
        <f aca="false">IF(A411="","",IF(C411="2P",OPR_2P!B$2,IF(C411="SEG",SEG_6P!B$2,IF(C411="SOL",SOL_4P!B$2,IF(C411="RW",RW_2P!B$2,IF(C411="RW2",RW2_4P!B$2,0))))))</f>
        <v/>
      </c>
      <c r="F411" s="9" t="str">
        <f aca="false">IF(A411="","", QC_Plan!M411)</f>
        <v/>
      </c>
      <c r="G411" s="26" t="str">
        <f aca="false">IF(B411="","",IF(H411&gt;1000,"High",IF(H411&gt;500,"Medium","Low")))</f>
        <v/>
      </c>
      <c r="I411" s="26"/>
    </row>
    <row r="412" customFormat="false" ht="15" hidden="false" customHeight="true" outlineLevel="0" collapsed="false">
      <c r="D412" s="9" t="str">
        <f aca="false">IF(A412="","",IF(C412="2P",OPR_2P!B$2,IF(C412="SEG",SEG_6P!B$2,IF(C412="SOL",SOL_4P!B$2,IF(C412="RW",RW_2P!B$2,IF(C412="RW2",RW2_4P!B$2,0))))))</f>
        <v/>
      </c>
      <c r="F412" s="9" t="str">
        <f aca="false">IF(A412="","", QC_Plan!M412)</f>
        <v/>
      </c>
      <c r="G412" s="26" t="str">
        <f aca="false">IF(B412="","",IF(H412&gt;1000,"High",IF(H412&gt;500,"Medium","Low")))</f>
        <v/>
      </c>
      <c r="I412" s="26"/>
    </row>
    <row r="413" customFormat="false" ht="15" hidden="false" customHeight="true" outlineLevel="0" collapsed="false">
      <c r="D413" s="9" t="str">
        <f aca="false">IF(A413="","",IF(C413="2P",OPR_2P!B$2,IF(C413="SEG",SEG_6P!B$2,IF(C413="SOL",SOL_4P!B$2,IF(C413="RW",RW_2P!B$2,IF(C413="RW2",RW2_4P!B$2,0))))))</f>
        <v/>
      </c>
      <c r="F413" s="9" t="str">
        <f aca="false">IF(A413="","", QC_Plan!M413)</f>
        <v/>
      </c>
      <c r="G413" s="26" t="str">
        <f aca="false">IF(B413="","",IF(H413&gt;1000,"High",IF(H413&gt;500,"Medium","Low")))</f>
        <v/>
      </c>
      <c r="I413" s="26"/>
    </row>
    <row r="414" customFormat="false" ht="15" hidden="false" customHeight="true" outlineLevel="0" collapsed="false">
      <c r="D414" s="9" t="str">
        <f aca="false">IF(A414="","",IF(C414="2P",OPR_2P!B$2,IF(C414="SEG",SEG_6P!B$2,IF(C414="SOL",SOL_4P!B$2,IF(C414="RW",RW_2P!B$2,IF(C414="RW2",RW2_4P!B$2,0))))))</f>
        <v/>
      </c>
      <c r="F414" s="9" t="str">
        <f aca="false">IF(A414="","", QC_Plan!M414)</f>
        <v/>
      </c>
      <c r="G414" s="26" t="str">
        <f aca="false">IF(B414="","",IF(H414&gt;1000,"High",IF(H414&gt;500,"Medium","Low")))</f>
        <v/>
      </c>
      <c r="I414" s="26"/>
    </row>
    <row r="415" customFormat="false" ht="15" hidden="false" customHeight="true" outlineLevel="0" collapsed="false">
      <c r="D415" s="9" t="str">
        <f aca="false">IF(A415="","",IF(C415="2P",OPR_2P!B$2,IF(C415="SEG",SEG_6P!B$2,IF(C415="SOL",SOL_4P!B$2,IF(C415="RW",RW_2P!B$2,IF(C415="RW2",RW2_4P!B$2,0))))))</f>
        <v/>
      </c>
      <c r="F415" s="9" t="str">
        <f aca="false">IF(A415="","", QC_Plan!M415)</f>
        <v/>
      </c>
      <c r="G415" s="26" t="str">
        <f aca="false">IF(B415="","",IF(H415&gt;1000,"High",IF(H415&gt;500,"Medium","Low")))</f>
        <v/>
      </c>
      <c r="I415" s="26"/>
    </row>
    <row r="416" customFormat="false" ht="15" hidden="false" customHeight="true" outlineLevel="0" collapsed="false">
      <c r="D416" s="9" t="str">
        <f aca="false">IF(A416="","",IF(C416="2P",OPR_2P!B$2,IF(C416="SEG",SEG_6P!B$2,IF(C416="SOL",SOL_4P!B$2,IF(C416="RW",RW_2P!B$2,IF(C416="RW2",RW2_4P!B$2,0))))))</f>
        <v/>
      </c>
      <c r="F416" s="9" t="str">
        <f aca="false">IF(A416="","", QC_Plan!M416)</f>
        <v/>
      </c>
      <c r="G416" s="26" t="str">
        <f aca="false">IF(B416="","",IF(H416&gt;1000,"High",IF(H416&gt;500,"Medium","Low")))</f>
        <v/>
      </c>
      <c r="I416" s="26"/>
    </row>
    <row r="417" customFormat="false" ht="15" hidden="false" customHeight="true" outlineLevel="0" collapsed="false">
      <c r="D417" s="9" t="str">
        <f aca="false">IF(A417="","",IF(C417="2P",OPR_2P!B$2,IF(C417="SEG",SEG_6P!B$2,IF(C417="SOL",SOL_4P!B$2,IF(C417="RW",RW_2P!B$2,IF(C417="RW2",RW2_4P!B$2,0))))))</f>
        <v/>
      </c>
      <c r="F417" s="9" t="str">
        <f aca="false">IF(A417="","", QC_Plan!M417)</f>
        <v/>
      </c>
      <c r="G417" s="26" t="str">
        <f aca="false">IF(B417="","",IF(H417&gt;1000,"High",IF(H417&gt;500,"Medium","Low")))</f>
        <v/>
      </c>
      <c r="I417" s="26"/>
    </row>
    <row r="418" customFormat="false" ht="15" hidden="false" customHeight="true" outlineLevel="0" collapsed="false">
      <c r="D418" s="9" t="str">
        <f aca="false">IF(A418="","",IF(C418="2P",OPR_2P!B$2,IF(C418="SEG",SEG_6P!B$2,IF(C418="SOL",SOL_4P!B$2,IF(C418="RW",RW_2P!B$2,IF(C418="RW2",RW2_4P!B$2,0))))))</f>
        <v/>
      </c>
      <c r="F418" s="9" t="str">
        <f aca="false">IF(A418="","", QC_Plan!M418)</f>
        <v/>
      </c>
      <c r="G418" s="26" t="str">
        <f aca="false">IF(B418="","",IF(H418&gt;1000,"High",IF(H418&gt;500,"Medium","Low")))</f>
        <v/>
      </c>
      <c r="I418" s="26"/>
    </row>
    <row r="419" customFormat="false" ht="15" hidden="false" customHeight="true" outlineLevel="0" collapsed="false">
      <c r="D419" s="9" t="str">
        <f aca="false">IF(A419="","",IF(C419="2P",OPR_2P!B$2,IF(C419="SEG",SEG_6P!B$2,IF(C419="SOL",SOL_4P!B$2,IF(C419="RW",RW_2P!B$2,IF(C419="RW2",RW2_4P!B$2,0))))))</f>
        <v/>
      </c>
      <c r="F419" s="9" t="str">
        <f aca="false">IF(A419="","", QC_Plan!M419)</f>
        <v/>
      </c>
      <c r="G419" s="26" t="str">
        <f aca="false">IF(B419="","",IF(H419&gt;1000,"High",IF(H419&gt;500,"Medium","Low")))</f>
        <v/>
      </c>
      <c r="I419" s="26"/>
    </row>
    <row r="420" customFormat="false" ht="15" hidden="false" customHeight="true" outlineLevel="0" collapsed="false">
      <c r="D420" s="9" t="str">
        <f aca="false">IF(A420="","",IF(C420="2P",OPR_2P!B$2,IF(C420="SEG",SEG_6P!B$2,IF(C420="SOL",SOL_4P!B$2,IF(C420="RW",RW_2P!B$2,IF(C420="RW2",RW2_4P!B$2,0))))))</f>
        <v/>
      </c>
      <c r="F420" s="9" t="str">
        <f aca="false">IF(A420="","", QC_Plan!M420)</f>
        <v/>
      </c>
      <c r="G420" s="26" t="str">
        <f aca="false">IF(B420="","",IF(H420&gt;1000,"High",IF(H420&gt;500,"Medium","Low")))</f>
        <v/>
      </c>
      <c r="I420" s="26"/>
    </row>
    <row r="421" customFormat="false" ht="15" hidden="false" customHeight="true" outlineLevel="0" collapsed="false">
      <c r="D421" s="9" t="str">
        <f aca="false">IF(A421="","",IF(C421="2P",OPR_2P!B$2,IF(C421="SEG",SEG_6P!B$2,IF(C421="SOL",SOL_4P!B$2,IF(C421="RW",RW_2P!B$2,IF(C421="RW2",RW2_4P!B$2,0))))))</f>
        <v/>
      </c>
      <c r="F421" s="9" t="str">
        <f aca="false">IF(A421="","", QC_Plan!M421)</f>
        <v/>
      </c>
      <c r="G421" s="26" t="str">
        <f aca="false">IF(B421="","",IF(H421&gt;1000,"High",IF(H421&gt;500,"Medium","Low")))</f>
        <v/>
      </c>
      <c r="I421" s="26"/>
    </row>
    <row r="422" customFormat="false" ht="15" hidden="false" customHeight="true" outlineLevel="0" collapsed="false">
      <c r="D422" s="9" t="str">
        <f aca="false">IF(A422="","",IF(C422="2P",OPR_2P!B$2,IF(C422="SEG",SEG_6P!B$2,IF(C422="SOL",SOL_4P!B$2,IF(C422="RW",RW_2P!B$2,IF(C422="RW2",RW2_4P!B$2,0))))))</f>
        <v/>
      </c>
      <c r="F422" s="9" t="str">
        <f aca="false">IF(A422="","", QC_Plan!M422)</f>
        <v/>
      </c>
      <c r="G422" s="26" t="str">
        <f aca="false">IF(B422="","",IF(H422&gt;1000,"High",IF(H422&gt;500,"Medium","Low")))</f>
        <v/>
      </c>
      <c r="I422" s="26"/>
    </row>
    <row r="423" customFormat="false" ht="15" hidden="false" customHeight="true" outlineLevel="0" collapsed="false">
      <c r="D423" s="9" t="str">
        <f aca="false">IF(A423="","",IF(C423="2P",OPR_2P!B$2,IF(C423="SEG",SEG_6P!B$2,IF(C423="SOL",SOL_4P!B$2,IF(C423="RW",RW_2P!B$2,IF(C423="RW2",RW2_4P!B$2,0))))))</f>
        <v/>
      </c>
      <c r="F423" s="9" t="str">
        <f aca="false">IF(A423="","", QC_Plan!M423)</f>
        <v/>
      </c>
      <c r="G423" s="26" t="str">
        <f aca="false">IF(B423="","",IF(H423&gt;1000,"High",IF(H423&gt;500,"Medium","Low")))</f>
        <v/>
      </c>
      <c r="I423" s="26"/>
    </row>
    <row r="424" customFormat="false" ht="15" hidden="false" customHeight="true" outlineLevel="0" collapsed="false">
      <c r="D424" s="9" t="str">
        <f aca="false">IF(A424="","",IF(C424="2P",OPR_2P!B$2,IF(C424="SEG",SEG_6P!B$2,IF(C424="SOL",SOL_4P!B$2,IF(C424="RW",RW_2P!B$2,IF(C424="RW2",RW2_4P!B$2,0))))))</f>
        <v/>
      </c>
      <c r="F424" s="9" t="str">
        <f aca="false">IF(A424="","", QC_Plan!M424)</f>
        <v/>
      </c>
      <c r="G424" s="26" t="str">
        <f aca="false">IF(B424="","",IF(H424&gt;1000,"High",IF(H424&gt;500,"Medium","Low")))</f>
        <v/>
      </c>
      <c r="I424" s="26"/>
    </row>
    <row r="425" customFormat="false" ht="15" hidden="false" customHeight="true" outlineLevel="0" collapsed="false">
      <c r="D425" s="9" t="str">
        <f aca="false">IF(A425="","",IF(C425="2P",OPR_2P!B$2,IF(C425="SEG",SEG_6P!B$2,IF(C425="SOL",SOL_4P!B$2,IF(C425="RW",RW_2P!B$2,IF(C425="RW2",RW2_4P!B$2,0))))))</f>
        <v/>
      </c>
      <c r="F425" s="9" t="str">
        <f aca="false">IF(A425="","", QC_Plan!M425)</f>
        <v/>
      </c>
      <c r="G425" s="26" t="str">
        <f aca="false">IF(B425="","",IF(H425&gt;1000,"High",IF(H425&gt;500,"Medium","Low")))</f>
        <v/>
      </c>
      <c r="I425" s="26"/>
    </row>
    <row r="426" customFormat="false" ht="15" hidden="false" customHeight="true" outlineLevel="0" collapsed="false">
      <c r="D426" s="9" t="str">
        <f aca="false">IF(A426="","",IF(C426="2P",OPR_2P!B$2,IF(C426="SEG",SEG_6P!B$2,IF(C426="SOL",SOL_4P!B$2,IF(C426="RW",RW_2P!B$2,IF(C426="RW2",RW2_4P!B$2,0))))))</f>
        <v/>
      </c>
      <c r="F426" s="9" t="str">
        <f aca="false">IF(A426="","", QC_Plan!M426)</f>
        <v/>
      </c>
      <c r="G426" s="26" t="str">
        <f aca="false">IF(B426="","",IF(H426&gt;1000,"High",IF(H426&gt;500,"Medium","Low")))</f>
        <v/>
      </c>
      <c r="I426" s="26"/>
    </row>
    <row r="427" customFormat="false" ht="15" hidden="false" customHeight="true" outlineLevel="0" collapsed="false">
      <c r="D427" s="9" t="str">
        <f aca="false">IF(A427="","",IF(C427="2P",OPR_2P!B$2,IF(C427="SEG",SEG_6P!B$2,IF(C427="SOL",SOL_4P!B$2,IF(C427="RW",RW_2P!B$2,IF(C427="RW2",RW2_4P!B$2,0))))))</f>
        <v/>
      </c>
      <c r="F427" s="9" t="str">
        <f aca="false">IF(A427="","", QC_Plan!M427)</f>
        <v/>
      </c>
      <c r="G427" s="26" t="str">
        <f aca="false">IF(B427="","",IF(H427&gt;1000,"High",IF(H427&gt;500,"Medium","Low")))</f>
        <v/>
      </c>
      <c r="I427" s="26"/>
    </row>
    <row r="428" customFormat="false" ht="15" hidden="false" customHeight="true" outlineLevel="0" collapsed="false">
      <c r="D428" s="9" t="str">
        <f aca="false">IF(A428="","",IF(C428="2P",OPR_2P!B$2,IF(C428="SEG",SEG_6P!B$2,IF(C428="SOL",SOL_4P!B$2,IF(C428="RW",RW_2P!B$2,IF(C428="RW2",RW2_4P!B$2,0))))))</f>
        <v/>
      </c>
      <c r="F428" s="9" t="str">
        <f aca="false">IF(A428="","", QC_Plan!M428)</f>
        <v/>
      </c>
      <c r="G428" s="26" t="str">
        <f aca="false">IF(B428="","",IF(H428&gt;1000,"High",IF(H428&gt;500,"Medium","Low")))</f>
        <v/>
      </c>
      <c r="I428" s="26"/>
    </row>
    <row r="429" customFormat="false" ht="15" hidden="false" customHeight="true" outlineLevel="0" collapsed="false">
      <c r="D429" s="9" t="str">
        <f aca="false">IF(A429="","",IF(C429="2P",OPR_2P!B$2,IF(C429="SEG",SEG_6P!B$2,IF(C429="SOL",SOL_4P!B$2,IF(C429="RW",RW_2P!B$2,IF(C429="RW2",RW2_4P!B$2,0))))))</f>
        <v/>
      </c>
      <c r="F429" s="9" t="str">
        <f aca="false">IF(A429="","", QC_Plan!M429)</f>
        <v/>
      </c>
      <c r="G429" s="26" t="str">
        <f aca="false">IF(B429="","",IF(H429&gt;1000,"High",IF(H429&gt;500,"Medium","Low")))</f>
        <v/>
      </c>
      <c r="I429" s="26"/>
    </row>
    <row r="430" customFormat="false" ht="15" hidden="false" customHeight="true" outlineLevel="0" collapsed="false">
      <c r="D430" s="9" t="str">
        <f aca="false">IF(A430="","",IF(C430="2P",OPR_2P!B$2,IF(C430="SEG",SEG_6P!B$2,IF(C430="SOL",SOL_4P!B$2,IF(C430="RW",RW_2P!B$2,IF(C430="RW2",RW2_4P!B$2,0))))))</f>
        <v/>
      </c>
      <c r="F430" s="9" t="str">
        <f aca="false">IF(A430="","", QC_Plan!M430)</f>
        <v/>
      </c>
      <c r="G430" s="26" t="str">
        <f aca="false">IF(B430="","",IF(H430&gt;1000,"High",IF(H430&gt;500,"Medium","Low")))</f>
        <v/>
      </c>
      <c r="I430" s="26"/>
    </row>
    <row r="431" customFormat="false" ht="15" hidden="false" customHeight="true" outlineLevel="0" collapsed="false">
      <c r="D431" s="9" t="str">
        <f aca="false">IF(A431="","",IF(C431="2P",OPR_2P!B$2,IF(C431="SEG",SEG_6P!B$2,IF(C431="SOL",SOL_4P!B$2,IF(C431="RW",RW_2P!B$2,IF(C431="RW2",RW2_4P!B$2,0))))))</f>
        <v/>
      </c>
      <c r="F431" s="9" t="str">
        <f aca="false">IF(A431="","", QC_Plan!M431)</f>
        <v/>
      </c>
      <c r="G431" s="26" t="str">
        <f aca="false">IF(B431="","",IF(H431&gt;1000,"High",IF(H431&gt;500,"Medium","Low")))</f>
        <v/>
      </c>
      <c r="I431" s="26"/>
    </row>
    <row r="432" customFormat="false" ht="15" hidden="false" customHeight="true" outlineLevel="0" collapsed="false">
      <c r="D432" s="9" t="str">
        <f aca="false">IF(A432="","",IF(C432="2P",OPR_2P!B$2,IF(C432="SEG",SEG_6P!B$2,IF(C432="SOL",SOL_4P!B$2,IF(C432="RW",RW_2P!B$2,IF(C432="RW2",RW2_4P!B$2,0))))))</f>
        <v/>
      </c>
      <c r="F432" s="9" t="str">
        <f aca="false">IF(A432="","", QC_Plan!M432)</f>
        <v/>
      </c>
      <c r="G432" s="26" t="str">
        <f aca="false">IF(B432="","",IF(H432&gt;1000,"High",IF(H432&gt;500,"Medium","Low")))</f>
        <v/>
      </c>
      <c r="I432" s="26"/>
    </row>
    <row r="433" customFormat="false" ht="15" hidden="false" customHeight="true" outlineLevel="0" collapsed="false">
      <c r="D433" s="9" t="str">
        <f aca="false">IF(A433="","",IF(C433="2P",OPR_2P!B$2,IF(C433="SEG",SEG_6P!B$2,IF(C433="SOL",SOL_4P!B$2,IF(C433="RW",RW_2P!B$2,IF(C433="RW2",RW2_4P!B$2,0))))))</f>
        <v/>
      </c>
      <c r="F433" s="9" t="str">
        <f aca="false">IF(A433="","", QC_Plan!M433)</f>
        <v/>
      </c>
      <c r="G433" s="26" t="str">
        <f aca="false">IF(B433="","",IF(H433&gt;1000,"High",IF(H433&gt;500,"Medium","Low")))</f>
        <v/>
      </c>
      <c r="I433" s="26"/>
    </row>
    <row r="434" customFormat="false" ht="15" hidden="false" customHeight="true" outlineLevel="0" collapsed="false">
      <c r="D434" s="9" t="str">
        <f aca="false">IF(A434="","",IF(C434="2P",OPR_2P!B$2,IF(C434="SEG",SEG_6P!B$2,IF(C434="SOL",SOL_4P!B$2,IF(C434="RW",RW_2P!B$2,IF(C434="RW2",RW2_4P!B$2,0))))))</f>
        <v/>
      </c>
      <c r="F434" s="9" t="str">
        <f aca="false">IF(A434="","", QC_Plan!M434)</f>
        <v/>
      </c>
      <c r="G434" s="26" t="str">
        <f aca="false">IF(B434="","",IF(H434&gt;1000,"High",IF(H434&gt;500,"Medium","Low")))</f>
        <v/>
      </c>
      <c r="I434" s="26"/>
    </row>
    <row r="435" customFormat="false" ht="15" hidden="false" customHeight="true" outlineLevel="0" collapsed="false">
      <c r="D435" s="9" t="str">
        <f aca="false">IF(A435="","",IF(C435="2P",OPR_2P!B$2,IF(C435="SEG",SEG_6P!B$2,IF(C435="SOL",SOL_4P!B$2,IF(C435="RW",RW_2P!B$2,IF(C435="RW2",RW2_4P!B$2,0))))))</f>
        <v/>
      </c>
      <c r="F435" s="9" t="str">
        <f aca="false">IF(A435="","", QC_Plan!M435)</f>
        <v/>
      </c>
      <c r="G435" s="26" t="str">
        <f aca="false">IF(B435="","",IF(H435&gt;1000,"High",IF(H435&gt;500,"Medium","Low")))</f>
        <v/>
      </c>
      <c r="I435" s="26"/>
    </row>
    <row r="436" customFormat="false" ht="15" hidden="false" customHeight="true" outlineLevel="0" collapsed="false">
      <c r="D436" s="9" t="str">
        <f aca="false">IF(A436="","",IF(C436="2P",OPR_2P!B$2,IF(C436="SEG",SEG_6P!B$2,IF(C436="SOL",SOL_4P!B$2,IF(C436="RW",RW_2P!B$2,IF(C436="RW2",RW2_4P!B$2,0))))))</f>
        <v/>
      </c>
      <c r="F436" s="9" t="str">
        <f aca="false">IF(A436="","", QC_Plan!M436)</f>
        <v/>
      </c>
      <c r="G436" s="26" t="str">
        <f aca="false">IF(B436="","",IF(H436&gt;1000,"High",IF(H436&gt;500,"Medium","Low")))</f>
        <v/>
      </c>
      <c r="I436" s="26"/>
    </row>
    <row r="437" customFormat="false" ht="15" hidden="false" customHeight="true" outlineLevel="0" collapsed="false">
      <c r="D437" s="9" t="str">
        <f aca="false">IF(A437="","",IF(C437="2P",OPR_2P!B$2,IF(C437="SEG",SEG_6P!B$2,IF(C437="SOL",SOL_4P!B$2,IF(C437="RW",RW_2P!B$2,IF(C437="RW2",RW2_4P!B$2,0))))))</f>
        <v/>
      </c>
      <c r="F437" s="9" t="str">
        <f aca="false">IF(A437="","", QC_Plan!M437)</f>
        <v/>
      </c>
      <c r="G437" s="26" t="str">
        <f aca="false">IF(B437="","",IF(H437&gt;1000,"High",IF(H437&gt;500,"Medium","Low")))</f>
        <v/>
      </c>
      <c r="I437" s="26"/>
    </row>
    <row r="438" customFormat="false" ht="15" hidden="false" customHeight="true" outlineLevel="0" collapsed="false">
      <c r="D438" s="9" t="str">
        <f aca="false">IF(A438="","",IF(C438="2P",OPR_2P!B$2,IF(C438="SEG",SEG_6P!B$2,IF(C438="SOL",SOL_4P!B$2,IF(C438="RW",RW_2P!B$2,IF(C438="RW2",RW2_4P!B$2,0))))))</f>
        <v/>
      </c>
      <c r="F438" s="9" t="str">
        <f aca="false">IF(A438="","", QC_Plan!M438)</f>
        <v/>
      </c>
      <c r="G438" s="26" t="str">
        <f aca="false">IF(B438="","",IF(H438&gt;1000,"High",IF(H438&gt;500,"Medium","Low")))</f>
        <v/>
      </c>
      <c r="I438" s="26"/>
    </row>
    <row r="439" customFormat="false" ht="15" hidden="false" customHeight="true" outlineLevel="0" collapsed="false">
      <c r="D439" s="9" t="str">
        <f aca="false">IF(A439="","",IF(C439="2P",OPR_2P!B$2,IF(C439="SEG",SEG_6P!B$2,IF(C439="SOL",SOL_4P!B$2,IF(C439="RW",RW_2P!B$2,IF(C439="RW2",RW2_4P!B$2,0))))))</f>
        <v/>
      </c>
      <c r="F439" s="9" t="str">
        <f aca="false">IF(A439="","", QC_Plan!M439)</f>
        <v/>
      </c>
      <c r="G439" s="26" t="str">
        <f aca="false">IF(B439="","",IF(H439&gt;1000,"High",IF(H439&gt;500,"Medium","Low")))</f>
        <v/>
      </c>
      <c r="I439" s="26"/>
    </row>
    <row r="440" customFormat="false" ht="15" hidden="false" customHeight="true" outlineLevel="0" collapsed="false">
      <c r="D440" s="9" t="str">
        <f aca="false">IF(A440="","",IF(C440="2P",OPR_2P!B$2,IF(C440="SEG",SEG_6P!B$2,IF(C440="SOL",SOL_4P!B$2,IF(C440="RW",RW_2P!B$2,IF(C440="RW2",RW2_4P!B$2,0))))))</f>
        <v/>
      </c>
      <c r="F440" s="9" t="str">
        <f aca="false">IF(A440="","", QC_Plan!M440)</f>
        <v/>
      </c>
      <c r="G440" s="26" t="str">
        <f aca="false">IF(B440="","",IF(H440&gt;1000,"High",IF(H440&gt;500,"Medium","Low")))</f>
        <v/>
      </c>
      <c r="I440" s="26"/>
    </row>
    <row r="441" customFormat="false" ht="15" hidden="false" customHeight="true" outlineLevel="0" collapsed="false">
      <c r="D441" s="9" t="str">
        <f aca="false">IF(A441="","",IF(C441="2P",OPR_2P!B$2,IF(C441="SEG",SEG_6P!B$2,IF(C441="SOL",SOL_4P!B$2,IF(C441="RW",RW_2P!B$2,IF(C441="RW2",RW2_4P!B$2,0))))))</f>
        <v/>
      </c>
      <c r="F441" s="9" t="str">
        <f aca="false">IF(A441="","", QC_Plan!M441)</f>
        <v/>
      </c>
      <c r="G441" s="26" t="str">
        <f aca="false">IF(B441="","",IF(H441&gt;1000,"High",IF(H441&gt;500,"Medium","Low")))</f>
        <v/>
      </c>
      <c r="I441" s="26"/>
    </row>
    <row r="442" customFormat="false" ht="15" hidden="false" customHeight="true" outlineLevel="0" collapsed="false">
      <c r="D442" s="9" t="str">
        <f aca="false">IF(A442="","",IF(C442="2P",OPR_2P!B$2,IF(C442="SEG",SEG_6P!B$2,IF(C442="SOL",SOL_4P!B$2,IF(C442="RW",RW_2P!B$2,IF(C442="RW2",RW2_4P!B$2,0))))))</f>
        <v/>
      </c>
      <c r="F442" s="9" t="str">
        <f aca="false">IF(A442="","", QC_Plan!M442)</f>
        <v/>
      </c>
      <c r="G442" s="26" t="str">
        <f aca="false">IF(B442="","",IF(H442&gt;1000,"High",IF(H442&gt;500,"Medium","Low")))</f>
        <v/>
      </c>
      <c r="I442" s="26"/>
    </row>
    <row r="443" customFormat="false" ht="15" hidden="false" customHeight="true" outlineLevel="0" collapsed="false">
      <c r="D443" s="9" t="str">
        <f aca="false">IF(A443="","",IF(C443="2P",OPR_2P!B$2,IF(C443="SEG",SEG_6P!B$2,IF(C443="SOL",SOL_4P!B$2,IF(C443="RW",RW_2P!B$2,IF(C443="RW2",RW2_4P!B$2,0))))))</f>
        <v/>
      </c>
      <c r="F443" s="9" t="str">
        <f aca="false">IF(A443="","", QC_Plan!M443)</f>
        <v/>
      </c>
      <c r="G443" s="26" t="str">
        <f aca="false">IF(B443="","",IF(H443&gt;1000,"High",IF(H443&gt;500,"Medium","Low")))</f>
        <v/>
      </c>
      <c r="I443" s="26"/>
    </row>
    <row r="444" customFormat="false" ht="15" hidden="false" customHeight="true" outlineLevel="0" collapsed="false">
      <c r="D444" s="9" t="str">
        <f aca="false">IF(A444="","",IF(C444="2P",OPR_2P!B$2,IF(C444="SEG",SEG_6P!B$2,IF(C444="SOL",SOL_4P!B$2,IF(C444="RW",RW_2P!B$2,IF(C444="RW2",RW2_4P!B$2,0))))))</f>
        <v/>
      </c>
      <c r="F444" s="9" t="str">
        <f aca="false">IF(A444="","", QC_Plan!M444)</f>
        <v/>
      </c>
      <c r="G444" s="26" t="str">
        <f aca="false">IF(B444="","",IF(H444&gt;1000,"High",IF(H444&gt;500,"Medium","Low")))</f>
        <v/>
      </c>
      <c r="I444" s="26"/>
    </row>
    <row r="445" customFormat="false" ht="15" hidden="false" customHeight="true" outlineLevel="0" collapsed="false">
      <c r="D445" s="9" t="str">
        <f aca="false">IF(A445="","",IF(C445="2P",OPR_2P!B$2,IF(C445="SEG",SEG_6P!B$2,IF(C445="SOL",SOL_4P!B$2,IF(C445="RW",RW_2P!B$2,IF(C445="RW2",RW2_4P!B$2,0))))))</f>
        <v/>
      </c>
      <c r="F445" s="9" t="str">
        <f aca="false">IF(A445="","", QC_Plan!M445)</f>
        <v/>
      </c>
      <c r="G445" s="26" t="str">
        <f aca="false">IF(B445="","",IF(H445&gt;1000,"High",IF(H445&gt;500,"Medium","Low")))</f>
        <v/>
      </c>
      <c r="I445" s="26"/>
    </row>
    <row r="446" customFormat="false" ht="15" hidden="false" customHeight="true" outlineLevel="0" collapsed="false">
      <c r="D446" s="9" t="str">
        <f aca="false">IF(A446="","",IF(C446="2P",OPR_2P!B$2,IF(C446="SEG",SEG_6P!B$2,IF(C446="SOL",SOL_4P!B$2,IF(C446="RW",RW_2P!B$2,IF(C446="RW2",RW2_4P!B$2,0))))))</f>
        <v/>
      </c>
      <c r="F446" s="9" t="str">
        <f aca="false">IF(A446="","", QC_Plan!M446)</f>
        <v/>
      </c>
      <c r="G446" s="26" t="str">
        <f aca="false">IF(B446="","",IF(H446&gt;1000,"High",IF(H446&gt;500,"Medium","Low")))</f>
        <v/>
      </c>
      <c r="I446" s="26"/>
    </row>
    <row r="447" customFormat="false" ht="15" hidden="false" customHeight="true" outlineLevel="0" collapsed="false">
      <c r="D447" s="9" t="str">
        <f aca="false">IF(A447="","",IF(C447="2P",OPR_2P!B$2,IF(C447="SEG",SEG_6P!B$2,IF(C447="SOL",SOL_4P!B$2,IF(C447="RW",RW_2P!B$2,IF(C447="RW2",RW2_4P!B$2,0))))))</f>
        <v/>
      </c>
      <c r="F447" s="9" t="str">
        <f aca="false">IF(A447="","", QC_Plan!M447)</f>
        <v/>
      </c>
      <c r="G447" s="26" t="str">
        <f aca="false">IF(B447="","",IF(H447&gt;1000,"High",IF(H447&gt;500,"Medium","Low")))</f>
        <v/>
      </c>
      <c r="I447" s="26"/>
    </row>
    <row r="448" customFormat="false" ht="15" hidden="false" customHeight="true" outlineLevel="0" collapsed="false">
      <c r="D448" s="9" t="str">
        <f aca="false">IF(A448="","",IF(C448="2P",OPR_2P!B$2,IF(C448="SEG",SEG_6P!B$2,IF(C448="SOL",SOL_4P!B$2,IF(C448="RW",RW_2P!B$2,IF(C448="RW2",RW2_4P!B$2,0))))))</f>
        <v/>
      </c>
      <c r="F448" s="9" t="str">
        <f aca="false">IF(A448="","", QC_Plan!M448)</f>
        <v/>
      </c>
      <c r="G448" s="26" t="str">
        <f aca="false">IF(B448="","",IF(H448&gt;1000,"High",IF(H448&gt;500,"Medium","Low")))</f>
        <v/>
      </c>
      <c r="I448" s="26"/>
    </row>
    <row r="449" customFormat="false" ht="15" hidden="false" customHeight="true" outlineLevel="0" collapsed="false">
      <c r="D449" s="9" t="str">
        <f aca="false">IF(A449="","",IF(C449="2P",OPR_2P!B$2,IF(C449="SEG",SEG_6P!B$2,IF(C449="SOL",SOL_4P!B$2,IF(C449="RW",RW_2P!B$2,IF(C449="RW2",RW2_4P!B$2,0))))))</f>
        <v/>
      </c>
      <c r="F449" s="9" t="str">
        <f aca="false">IF(A449="","", QC_Plan!M449)</f>
        <v/>
      </c>
      <c r="G449" s="26" t="str">
        <f aca="false">IF(B449="","",IF(H449&gt;1000,"High",IF(H449&gt;500,"Medium","Low")))</f>
        <v/>
      </c>
      <c r="I449" s="26"/>
    </row>
    <row r="450" customFormat="false" ht="15" hidden="false" customHeight="true" outlineLevel="0" collapsed="false">
      <c r="D450" s="9" t="str">
        <f aca="false">IF(A450="","",IF(C450="2P",OPR_2P!B$2,IF(C450="SEG",SEG_6P!B$2,IF(C450="SOL",SOL_4P!B$2,IF(C450="RW",RW_2P!B$2,IF(C450="RW2",RW2_4P!B$2,0))))))</f>
        <v/>
      </c>
      <c r="F450" s="9" t="str">
        <f aca="false">IF(A450="","", QC_Plan!M450)</f>
        <v/>
      </c>
      <c r="G450" s="26" t="str">
        <f aca="false">IF(B450="","",IF(H450&gt;1000,"High",IF(H450&gt;500,"Medium","Low")))</f>
        <v/>
      </c>
      <c r="I450" s="26"/>
    </row>
    <row r="451" customFormat="false" ht="15" hidden="false" customHeight="true" outlineLevel="0" collapsed="false">
      <c r="D451" s="9" t="str">
        <f aca="false">IF(A451="","",IF(C451="2P",OPR_2P!B$2,IF(C451="SEG",SEG_6P!B$2,IF(C451="SOL",SOL_4P!B$2,IF(C451="RW",RW_2P!B$2,IF(C451="RW2",RW2_4P!B$2,0))))))</f>
        <v/>
      </c>
      <c r="F451" s="9" t="str">
        <f aca="false">IF(A451="","", QC_Plan!M451)</f>
        <v/>
      </c>
      <c r="G451" s="26" t="str">
        <f aca="false">IF(B451="","",IF(H451&gt;1000,"High",IF(H451&gt;500,"Medium","Low")))</f>
        <v/>
      </c>
      <c r="I451" s="26"/>
    </row>
    <row r="452" customFormat="false" ht="15" hidden="false" customHeight="true" outlineLevel="0" collapsed="false">
      <c r="D452" s="9" t="str">
        <f aca="false">IF(A452="","",IF(C452="2P",OPR_2P!B$2,IF(C452="SEG",SEG_6P!B$2,IF(C452="SOL",SOL_4P!B$2,IF(C452="RW",RW_2P!B$2,IF(C452="RW2",RW2_4P!B$2,0))))))</f>
        <v/>
      </c>
      <c r="F452" s="9" t="str">
        <f aca="false">IF(A452="","", QC_Plan!M452)</f>
        <v/>
      </c>
      <c r="G452" s="26" t="str">
        <f aca="false">IF(B452="","",IF(H452&gt;1000,"High",IF(H452&gt;500,"Medium","Low")))</f>
        <v/>
      </c>
      <c r="I452" s="26"/>
    </row>
    <row r="453" customFormat="false" ht="15" hidden="false" customHeight="true" outlineLevel="0" collapsed="false">
      <c r="D453" s="9" t="str">
        <f aca="false">IF(A453="","",IF(C453="2P",OPR_2P!B$2,IF(C453="SEG",SEG_6P!B$2,IF(C453="SOL",SOL_4P!B$2,IF(C453="RW",RW_2P!B$2,IF(C453="RW2",RW2_4P!B$2,0))))))</f>
        <v/>
      </c>
      <c r="F453" s="9" t="str">
        <f aca="false">IF(A453="","", QC_Plan!M453)</f>
        <v/>
      </c>
      <c r="G453" s="26" t="str">
        <f aca="false">IF(B453="","",IF(H453&gt;1000,"High",IF(H453&gt;500,"Medium","Low")))</f>
        <v/>
      </c>
      <c r="I453" s="26"/>
    </row>
    <row r="454" customFormat="false" ht="15" hidden="false" customHeight="true" outlineLevel="0" collapsed="false">
      <c r="D454" s="9" t="str">
        <f aca="false">IF(A454="","",IF(C454="2P",OPR_2P!B$2,IF(C454="SEG",SEG_6P!B$2,IF(C454="SOL",SOL_4P!B$2,IF(C454="RW",RW_2P!B$2,IF(C454="RW2",RW2_4P!B$2,0))))))</f>
        <v/>
      </c>
      <c r="F454" s="9" t="str">
        <f aca="false">IF(A454="","", QC_Plan!M454)</f>
        <v/>
      </c>
      <c r="G454" s="26" t="str">
        <f aca="false">IF(B454="","",IF(H454&gt;1000,"High",IF(H454&gt;500,"Medium","Low")))</f>
        <v/>
      </c>
      <c r="I454" s="26"/>
    </row>
    <row r="455" customFormat="false" ht="15" hidden="false" customHeight="true" outlineLevel="0" collapsed="false">
      <c r="D455" s="9" t="str">
        <f aca="false">IF(A455="","",IF(C455="2P",OPR_2P!B$2,IF(C455="SEG",SEG_6P!B$2,IF(C455="SOL",SOL_4P!B$2,IF(C455="RW",RW_2P!B$2,IF(C455="RW2",RW2_4P!B$2,0))))))</f>
        <v/>
      </c>
      <c r="F455" s="9" t="str">
        <f aca="false">IF(A455="","", QC_Plan!M455)</f>
        <v/>
      </c>
      <c r="G455" s="26" t="str">
        <f aca="false">IF(B455="","",IF(H455&gt;1000,"High",IF(H455&gt;500,"Medium","Low")))</f>
        <v/>
      </c>
      <c r="I455" s="26"/>
    </row>
    <row r="456" customFormat="false" ht="15" hidden="false" customHeight="true" outlineLevel="0" collapsed="false">
      <c r="D456" s="9" t="str">
        <f aca="false">IF(A456="","",IF(C456="2P",OPR_2P!B$2,IF(C456="SEG",SEG_6P!B$2,IF(C456="SOL",SOL_4P!B$2,IF(C456="RW",RW_2P!B$2,IF(C456="RW2",RW2_4P!B$2,0))))))</f>
        <v/>
      </c>
      <c r="F456" s="9" t="str">
        <f aca="false">IF(A456="","", QC_Plan!M456)</f>
        <v/>
      </c>
      <c r="G456" s="26" t="str">
        <f aca="false">IF(B456="","",IF(H456&gt;1000,"High",IF(H456&gt;500,"Medium","Low")))</f>
        <v/>
      </c>
      <c r="I456" s="26"/>
    </row>
    <row r="457" customFormat="false" ht="15" hidden="false" customHeight="true" outlineLevel="0" collapsed="false">
      <c r="D457" s="9" t="str">
        <f aca="false">IF(A457="","",IF(C457="2P",OPR_2P!B$2,IF(C457="SEG",SEG_6P!B$2,IF(C457="SOL",SOL_4P!B$2,IF(C457="RW",RW_2P!B$2,IF(C457="RW2",RW2_4P!B$2,0))))))</f>
        <v/>
      </c>
      <c r="F457" s="9" t="str">
        <f aca="false">IF(A457="","", QC_Plan!M457)</f>
        <v/>
      </c>
      <c r="G457" s="26" t="str">
        <f aca="false">IF(B457="","",IF(H457&gt;1000,"High",IF(H457&gt;500,"Medium","Low")))</f>
        <v/>
      </c>
      <c r="I457" s="26"/>
    </row>
    <row r="458" customFormat="false" ht="15" hidden="false" customHeight="true" outlineLevel="0" collapsed="false">
      <c r="D458" s="9" t="str">
        <f aca="false">IF(A458="","",IF(C458="2P",OPR_2P!B$2,IF(C458="SEG",SEG_6P!B$2,IF(C458="SOL",SOL_4P!B$2,IF(C458="RW",RW_2P!B$2,IF(C458="RW2",RW2_4P!B$2,0))))))</f>
        <v/>
      </c>
      <c r="F458" s="9" t="str">
        <f aca="false">IF(A458="","", QC_Plan!M458)</f>
        <v/>
      </c>
      <c r="G458" s="26" t="str">
        <f aca="false">IF(B458="","",IF(H458&gt;1000,"High",IF(H458&gt;500,"Medium","Low")))</f>
        <v/>
      </c>
      <c r="I458" s="26"/>
    </row>
    <row r="459" customFormat="false" ht="15" hidden="false" customHeight="true" outlineLevel="0" collapsed="false">
      <c r="D459" s="9" t="str">
        <f aca="false">IF(A459="","",IF(C459="2P",OPR_2P!B$2,IF(C459="SEG",SEG_6P!B$2,IF(C459="SOL",SOL_4P!B$2,IF(C459="RW",RW_2P!B$2,IF(C459="RW2",RW2_4P!B$2,0))))))</f>
        <v/>
      </c>
      <c r="F459" s="9" t="str">
        <f aca="false">IF(A459="","", QC_Plan!M459)</f>
        <v/>
      </c>
      <c r="G459" s="26" t="str">
        <f aca="false">IF(B459="","",IF(H459&gt;1000,"High",IF(H459&gt;500,"Medium","Low")))</f>
        <v/>
      </c>
      <c r="I459" s="26"/>
    </row>
    <row r="460" customFormat="false" ht="15" hidden="false" customHeight="true" outlineLevel="0" collapsed="false">
      <c r="D460" s="9" t="str">
        <f aca="false">IF(A460="","",IF(C460="2P",OPR_2P!B$2,IF(C460="SEG",SEG_6P!B$2,IF(C460="SOL",SOL_4P!B$2,IF(C460="RW",RW_2P!B$2,IF(C460="RW2",RW2_4P!B$2,0))))))</f>
        <v/>
      </c>
      <c r="F460" s="9" t="str">
        <f aca="false">IF(A460="","", QC_Plan!M460)</f>
        <v/>
      </c>
      <c r="G460" s="26" t="str">
        <f aca="false">IF(B460="","",IF(H460&gt;1000,"High",IF(H460&gt;500,"Medium","Low")))</f>
        <v/>
      </c>
      <c r="I460" s="26"/>
    </row>
    <row r="461" customFormat="false" ht="15" hidden="false" customHeight="true" outlineLevel="0" collapsed="false">
      <c r="D461" s="9" t="str">
        <f aca="false">IF(A461="","",IF(C461="2P",OPR_2P!B$2,IF(C461="SEG",SEG_6P!B$2,IF(C461="SOL",SOL_4P!B$2,IF(C461="RW",RW_2P!B$2,IF(C461="RW2",RW2_4P!B$2,0))))))</f>
        <v/>
      </c>
      <c r="F461" s="9" t="str">
        <f aca="false">IF(A461="","", QC_Plan!M461)</f>
        <v/>
      </c>
      <c r="G461" s="26" t="str">
        <f aca="false">IF(B461="","",IF(H461&gt;1000,"High",IF(H461&gt;500,"Medium","Low")))</f>
        <v/>
      </c>
      <c r="I461" s="26"/>
    </row>
    <row r="462" customFormat="false" ht="15" hidden="false" customHeight="true" outlineLevel="0" collapsed="false">
      <c r="D462" s="9" t="str">
        <f aca="false">IF(A462="","",IF(C462="2P",OPR_2P!B$2,IF(C462="SEG",SEG_6P!B$2,IF(C462="SOL",SOL_4P!B$2,IF(C462="RW",RW_2P!B$2,IF(C462="RW2",RW2_4P!B$2,0))))))</f>
        <v/>
      </c>
      <c r="F462" s="9" t="str">
        <f aca="false">IF(A462="","", QC_Plan!M462)</f>
        <v/>
      </c>
      <c r="G462" s="26" t="str">
        <f aca="false">IF(B462="","",IF(H462&gt;1000,"High",IF(H462&gt;500,"Medium","Low")))</f>
        <v/>
      </c>
      <c r="I462" s="26"/>
    </row>
    <row r="463" customFormat="false" ht="15" hidden="false" customHeight="true" outlineLevel="0" collapsed="false">
      <c r="D463" s="9" t="str">
        <f aca="false">IF(A463="","",IF(C463="2P",OPR_2P!B$2,IF(C463="SEG",SEG_6P!B$2,IF(C463="SOL",SOL_4P!B$2,IF(C463="RW",RW_2P!B$2,IF(C463="RW2",RW2_4P!B$2,0))))))</f>
        <v/>
      </c>
      <c r="F463" s="9" t="str">
        <f aca="false">IF(A463="","", QC_Plan!M463)</f>
        <v/>
      </c>
      <c r="G463" s="26" t="str">
        <f aca="false">IF(B463="","",IF(H463&gt;1000,"High",IF(H463&gt;500,"Medium","Low")))</f>
        <v/>
      </c>
      <c r="I463" s="26"/>
    </row>
    <row r="464" customFormat="false" ht="15" hidden="false" customHeight="true" outlineLevel="0" collapsed="false">
      <c r="D464" s="9" t="str">
        <f aca="false">IF(A464="","",IF(C464="2P",OPR_2P!B$2,IF(C464="SEG",SEG_6P!B$2,IF(C464="SOL",SOL_4P!B$2,IF(C464="RW",RW_2P!B$2,IF(C464="RW2",RW2_4P!B$2,0))))))</f>
        <v/>
      </c>
      <c r="F464" s="9" t="str">
        <f aca="false">IF(A464="","", QC_Plan!M464)</f>
        <v/>
      </c>
      <c r="G464" s="26" t="str">
        <f aca="false">IF(B464="","",IF(H464&gt;1000,"High",IF(H464&gt;500,"Medium","Low")))</f>
        <v/>
      </c>
      <c r="I464" s="26"/>
    </row>
    <row r="465" customFormat="false" ht="15" hidden="false" customHeight="true" outlineLevel="0" collapsed="false">
      <c r="D465" s="9" t="str">
        <f aca="false">IF(A465="","",IF(C465="2P",OPR_2P!B$2,IF(C465="SEG",SEG_6P!B$2,IF(C465="SOL",SOL_4P!B$2,IF(C465="RW",RW_2P!B$2,IF(C465="RW2",RW2_4P!B$2,0))))))</f>
        <v/>
      </c>
      <c r="F465" s="9" t="str">
        <f aca="false">IF(A465="","", QC_Plan!M465)</f>
        <v/>
      </c>
      <c r="G465" s="26" t="str">
        <f aca="false">IF(B465="","",IF(H465&gt;1000,"High",IF(H465&gt;500,"Medium","Low")))</f>
        <v/>
      </c>
      <c r="I465" s="26"/>
    </row>
    <row r="466" customFormat="false" ht="15" hidden="false" customHeight="true" outlineLevel="0" collapsed="false">
      <c r="D466" s="9" t="str">
        <f aca="false">IF(A466="","",IF(C466="2P",OPR_2P!B$2,IF(C466="SEG",SEG_6P!B$2,IF(C466="SOL",SOL_4P!B$2,IF(C466="RW",RW_2P!B$2,IF(C466="RW2",RW2_4P!B$2,0))))))</f>
        <v/>
      </c>
      <c r="F466" s="9" t="str">
        <f aca="false">IF(A466="","", QC_Plan!M466)</f>
        <v/>
      </c>
      <c r="G466" s="26" t="str">
        <f aca="false">IF(B466="","",IF(H466&gt;1000,"High",IF(H466&gt;500,"Medium","Low")))</f>
        <v/>
      </c>
      <c r="I466" s="26"/>
    </row>
    <row r="467" customFormat="false" ht="15" hidden="false" customHeight="true" outlineLevel="0" collapsed="false">
      <c r="D467" s="9" t="str">
        <f aca="false">IF(A467="","",IF(C467="2P",OPR_2P!B$2,IF(C467="SEG",SEG_6P!B$2,IF(C467="SOL",SOL_4P!B$2,IF(C467="RW",RW_2P!B$2,IF(C467="RW2",RW2_4P!B$2,0))))))</f>
        <v/>
      </c>
      <c r="F467" s="9" t="str">
        <f aca="false">IF(A467="","", QC_Plan!M467)</f>
        <v/>
      </c>
      <c r="G467" s="26" t="str">
        <f aca="false">IF(B467="","",IF(H467&gt;1000,"High",IF(H467&gt;500,"Medium","Low")))</f>
        <v/>
      </c>
      <c r="I467" s="26"/>
    </row>
    <row r="468" customFormat="false" ht="15" hidden="false" customHeight="true" outlineLevel="0" collapsed="false">
      <c r="D468" s="9" t="str">
        <f aca="false">IF(A468="","",IF(C468="2P",OPR_2P!B$2,IF(C468="SEG",SEG_6P!B$2,IF(C468="SOL",SOL_4P!B$2,IF(C468="RW",RW_2P!B$2,IF(C468="RW2",RW2_4P!B$2,0))))))</f>
        <v/>
      </c>
      <c r="F468" s="9" t="str">
        <f aca="false">IF(A468="","", QC_Plan!M468)</f>
        <v/>
      </c>
      <c r="G468" s="26" t="str">
        <f aca="false">IF(B468="","",IF(H468&gt;1000,"High",IF(H468&gt;500,"Medium","Low")))</f>
        <v/>
      </c>
      <c r="I468" s="26"/>
    </row>
    <row r="469" customFormat="false" ht="15" hidden="false" customHeight="true" outlineLevel="0" collapsed="false">
      <c r="D469" s="9" t="str">
        <f aca="false">IF(A469="","",IF(C469="2P",OPR_2P!B$2,IF(C469="SEG",SEG_6P!B$2,IF(C469="SOL",SOL_4P!B$2,IF(C469="RW",RW_2P!B$2,IF(C469="RW2",RW2_4P!B$2,0))))))</f>
        <v/>
      </c>
      <c r="F469" s="9" t="str">
        <f aca="false">IF(A469="","", QC_Plan!M469)</f>
        <v/>
      </c>
      <c r="G469" s="26" t="str">
        <f aca="false">IF(B469="","",IF(H469&gt;1000,"High",IF(H469&gt;500,"Medium","Low")))</f>
        <v/>
      </c>
      <c r="I469" s="26"/>
    </row>
    <row r="470" customFormat="false" ht="15" hidden="false" customHeight="true" outlineLevel="0" collapsed="false">
      <c r="D470" s="9" t="str">
        <f aca="false">IF(A470="","",IF(C470="2P",OPR_2P!B$2,IF(C470="SEG",SEG_6P!B$2,IF(C470="SOL",SOL_4P!B$2,IF(C470="RW",RW_2P!B$2,IF(C470="RW2",RW2_4P!B$2,0))))))</f>
        <v/>
      </c>
      <c r="F470" s="9" t="str">
        <f aca="false">IF(A470="","", QC_Plan!M470)</f>
        <v/>
      </c>
      <c r="G470" s="26" t="str">
        <f aca="false">IF(B470="","",IF(H470&gt;1000,"High",IF(H470&gt;500,"Medium","Low")))</f>
        <v/>
      </c>
      <c r="I470" s="26"/>
    </row>
    <row r="471" customFormat="false" ht="15" hidden="false" customHeight="true" outlineLevel="0" collapsed="false">
      <c r="D471" s="9" t="str">
        <f aca="false">IF(A471="","",IF(C471="2P",OPR_2P!B$2,IF(C471="SEG",SEG_6P!B$2,IF(C471="SOL",SOL_4P!B$2,IF(C471="RW",RW_2P!B$2,IF(C471="RW2",RW2_4P!B$2,0))))))</f>
        <v/>
      </c>
      <c r="F471" s="9" t="str">
        <f aca="false">IF(A471="","", QC_Plan!M471)</f>
        <v/>
      </c>
      <c r="G471" s="26" t="str">
        <f aca="false">IF(B471="","",IF(H471&gt;1000,"High",IF(H471&gt;500,"Medium","Low")))</f>
        <v/>
      </c>
      <c r="I471" s="26"/>
    </row>
    <row r="472" customFormat="false" ht="15" hidden="false" customHeight="true" outlineLevel="0" collapsed="false">
      <c r="D472" s="9" t="str">
        <f aca="false">IF(A472="","",IF(C472="2P",OPR_2P!B$2,IF(C472="SEG",SEG_6P!B$2,IF(C472="SOL",SOL_4P!B$2,IF(C472="RW",RW_2P!B$2,IF(C472="RW2",RW2_4P!B$2,0))))))</f>
        <v/>
      </c>
      <c r="F472" s="9" t="str">
        <f aca="false">IF(A472="","", QC_Plan!M472)</f>
        <v/>
      </c>
      <c r="G472" s="26" t="str">
        <f aca="false">IF(B472="","",IF(H472&gt;1000,"High",IF(H472&gt;500,"Medium","Low")))</f>
        <v/>
      </c>
      <c r="I472" s="26"/>
    </row>
    <row r="473" customFormat="false" ht="15" hidden="false" customHeight="true" outlineLevel="0" collapsed="false">
      <c r="D473" s="9" t="str">
        <f aca="false">IF(A473="","",IF(C473="2P",OPR_2P!B$2,IF(C473="SEG",SEG_6P!B$2,IF(C473="SOL",SOL_4P!B$2,IF(C473="RW",RW_2P!B$2,IF(C473="RW2",RW2_4P!B$2,0))))))</f>
        <v/>
      </c>
      <c r="F473" s="9" t="str">
        <f aca="false">IF(A473="","", QC_Plan!M473)</f>
        <v/>
      </c>
      <c r="G473" s="26" t="str">
        <f aca="false">IF(B473="","",IF(H473&gt;1000,"High",IF(H473&gt;500,"Medium","Low")))</f>
        <v/>
      </c>
      <c r="I473" s="26"/>
    </row>
    <row r="474" customFormat="false" ht="15" hidden="false" customHeight="true" outlineLevel="0" collapsed="false">
      <c r="D474" s="9" t="str">
        <f aca="false">IF(A474="","",IF(C474="2P",OPR_2P!B$2,IF(C474="SEG",SEG_6P!B$2,IF(C474="SOL",SOL_4P!B$2,IF(C474="RW",RW_2P!B$2,IF(C474="RW2",RW2_4P!B$2,0))))))</f>
        <v/>
      </c>
      <c r="F474" s="9" t="str">
        <f aca="false">IF(A474="","", QC_Plan!M474)</f>
        <v/>
      </c>
      <c r="G474" s="26" t="str">
        <f aca="false">IF(B474="","",IF(H474&gt;1000,"High",IF(H474&gt;500,"Medium","Low")))</f>
        <v/>
      </c>
      <c r="I474" s="26"/>
    </row>
    <row r="475" customFormat="false" ht="15" hidden="false" customHeight="true" outlineLevel="0" collapsed="false">
      <c r="D475" s="9" t="str">
        <f aca="false">IF(A475="","",IF(C475="2P",OPR_2P!B$2,IF(C475="SEG",SEG_6P!B$2,IF(C475="SOL",SOL_4P!B$2,IF(C475="RW",RW_2P!B$2,IF(C475="RW2",RW2_4P!B$2,0))))))</f>
        <v/>
      </c>
      <c r="F475" s="9" t="str">
        <f aca="false">IF(A475="","", QC_Plan!M475)</f>
        <v/>
      </c>
      <c r="G475" s="26" t="str">
        <f aca="false">IF(B475="","",IF(H475&gt;1000,"High",IF(H475&gt;500,"Medium","Low")))</f>
        <v/>
      </c>
      <c r="I475" s="26"/>
    </row>
    <row r="476" customFormat="false" ht="15" hidden="false" customHeight="true" outlineLevel="0" collapsed="false">
      <c r="D476" s="9" t="str">
        <f aca="false">IF(A476="","",IF(C476="2P",OPR_2P!B$2,IF(C476="SEG",SEG_6P!B$2,IF(C476="SOL",SOL_4P!B$2,IF(C476="RW",RW_2P!B$2,IF(C476="RW2",RW2_4P!B$2,0))))))</f>
        <v/>
      </c>
      <c r="F476" s="9" t="str">
        <f aca="false">IF(A476="","", QC_Plan!M476)</f>
        <v/>
      </c>
      <c r="G476" s="26" t="str">
        <f aca="false">IF(B476="","",IF(H476&gt;1000,"High",IF(H476&gt;500,"Medium","Low")))</f>
        <v/>
      </c>
      <c r="I476" s="26"/>
    </row>
    <row r="477" customFormat="false" ht="15" hidden="false" customHeight="true" outlineLevel="0" collapsed="false">
      <c r="D477" s="9" t="str">
        <f aca="false">IF(A477="","",IF(C477="2P",OPR_2P!B$2,IF(C477="SEG",SEG_6P!B$2,IF(C477="SOL",SOL_4P!B$2,IF(C477="RW",RW_2P!B$2,IF(C477="RW2",RW2_4P!B$2,0))))))</f>
        <v/>
      </c>
      <c r="F477" s="9" t="str">
        <f aca="false">IF(A477="","", QC_Plan!M477)</f>
        <v/>
      </c>
      <c r="G477" s="26" t="str">
        <f aca="false">IF(B477="","",IF(H477&gt;1000,"High",IF(H477&gt;500,"Medium","Low")))</f>
        <v/>
      </c>
      <c r="I477" s="26"/>
    </row>
    <row r="478" customFormat="false" ht="15" hidden="false" customHeight="true" outlineLevel="0" collapsed="false">
      <c r="D478" s="9" t="str">
        <f aca="false">IF(A478="","",IF(C478="2P",OPR_2P!B$2,IF(C478="SEG",SEG_6P!B$2,IF(C478="SOL",SOL_4P!B$2,IF(C478="RW",RW_2P!B$2,IF(C478="RW2",RW2_4P!B$2,0))))))</f>
        <v/>
      </c>
      <c r="F478" s="9" t="str">
        <f aca="false">IF(A478="","", QC_Plan!M478)</f>
        <v/>
      </c>
      <c r="G478" s="26" t="str">
        <f aca="false">IF(B478="","",IF(H478&gt;1000,"High",IF(H478&gt;500,"Medium","Low")))</f>
        <v/>
      </c>
      <c r="I478" s="26"/>
    </row>
    <row r="479" customFormat="false" ht="15" hidden="false" customHeight="true" outlineLevel="0" collapsed="false">
      <c r="D479" s="9" t="str">
        <f aca="false">IF(A479="","",IF(C479="2P",OPR_2P!B$2,IF(C479="SEG",SEG_6P!B$2,IF(C479="SOL",SOL_4P!B$2,IF(C479="RW",RW_2P!B$2,IF(C479="RW2",RW2_4P!B$2,0))))))</f>
        <v/>
      </c>
      <c r="F479" s="9" t="str">
        <f aca="false">IF(A479="","", QC_Plan!M479)</f>
        <v/>
      </c>
      <c r="G479" s="26" t="str">
        <f aca="false">IF(B479="","",IF(H479&gt;1000,"High",IF(H479&gt;500,"Medium","Low")))</f>
        <v/>
      </c>
      <c r="I479" s="26"/>
    </row>
    <row r="480" customFormat="false" ht="15" hidden="false" customHeight="true" outlineLevel="0" collapsed="false">
      <c r="D480" s="9" t="str">
        <f aca="false">IF(A480="","",IF(C480="2P",OPR_2P!B$2,IF(C480="SEG",SEG_6P!B$2,IF(C480="SOL",SOL_4P!B$2,IF(C480="RW",RW_2P!B$2,IF(C480="RW2",RW2_4P!B$2,0))))))</f>
        <v/>
      </c>
      <c r="F480" s="9" t="str">
        <f aca="false">IF(A480="","", QC_Plan!M480)</f>
        <v/>
      </c>
      <c r="G480" s="26" t="str">
        <f aca="false">IF(B480="","",IF(H480&gt;1000,"High",IF(H480&gt;500,"Medium","Low")))</f>
        <v/>
      </c>
      <c r="I480" s="26"/>
    </row>
    <row r="481" customFormat="false" ht="15" hidden="false" customHeight="true" outlineLevel="0" collapsed="false">
      <c r="D481" s="9" t="str">
        <f aca="false">IF(A481="","",IF(C481="2P",OPR_2P!B$2,IF(C481="SEG",SEG_6P!B$2,IF(C481="SOL",SOL_4P!B$2,IF(C481="RW",RW_2P!B$2,IF(C481="RW2",RW2_4P!B$2,0))))))</f>
        <v/>
      </c>
      <c r="F481" s="9" t="str">
        <f aca="false">IF(A481="","", QC_Plan!M481)</f>
        <v/>
      </c>
      <c r="G481" s="26" t="str">
        <f aca="false">IF(B481="","",IF(H481&gt;1000,"High",IF(H481&gt;500,"Medium","Low")))</f>
        <v/>
      </c>
      <c r="I481" s="26"/>
    </row>
    <row r="482" customFormat="false" ht="15" hidden="false" customHeight="true" outlineLevel="0" collapsed="false">
      <c r="D482" s="9" t="str">
        <f aca="false">IF(A482="","",IF(C482="2P",OPR_2P!B$2,IF(C482="SEG",SEG_6P!B$2,IF(C482="SOL",SOL_4P!B$2,IF(C482="RW",RW_2P!B$2,IF(C482="RW2",RW2_4P!B$2,0))))))</f>
        <v/>
      </c>
      <c r="F482" s="9" t="str">
        <f aca="false">IF(A482="","", QC_Plan!M482)</f>
        <v/>
      </c>
      <c r="G482" s="26" t="str">
        <f aca="false">IF(B482="","",IF(H482&gt;1000,"High",IF(H482&gt;500,"Medium","Low")))</f>
        <v/>
      </c>
      <c r="I482" s="26"/>
    </row>
    <row r="483" customFormat="false" ht="15" hidden="false" customHeight="true" outlineLevel="0" collapsed="false">
      <c r="D483" s="9" t="str">
        <f aca="false">IF(A483="","",IF(C483="2P",OPR_2P!B$2,IF(C483="SEG",SEG_6P!B$2,IF(C483="SOL",SOL_4P!B$2,IF(C483="RW",RW_2P!B$2,IF(C483="RW2",RW2_4P!B$2,0))))))</f>
        <v/>
      </c>
      <c r="F483" s="9" t="str">
        <f aca="false">IF(A483="","", QC_Plan!M483)</f>
        <v/>
      </c>
      <c r="G483" s="26" t="str">
        <f aca="false">IF(B483="","",IF(H483&gt;1000,"High",IF(H483&gt;500,"Medium","Low")))</f>
        <v/>
      </c>
      <c r="I483" s="26"/>
    </row>
    <row r="484" customFormat="false" ht="15" hidden="false" customHeight="true" outlineLevel="0" collapsed="false">
      <c r="D484" s="9" t="str">
        <f aca="false">IF(A484="","",IF(C484="2P",OPR_2P!B$2,IF(C484="SEG",SEG_6P!B$2,IF(C484="SOL",SOL_4P!B$2,IF(C484="RW",RW_2P!B$2,IF(C484="RW2",RW2_4P!B$2,0))))))</f>
        <v/>
      </c>
      <c r="F484" s="9" t="str">
        <f aca="false">IF(A484="","", QC_Plan!M484)</f>
        <v/>
      </c>
      <c r="G484" s="26" t="str">
        <f aca="false">IF(B484="","",IF(H484&gt;1000,"High",IF(H484&gt;500,"Medium","Low")))</f>
        <v/>
      </c>
      <c r="I484" s="26"/>
    </row>
    <row r="485" customFormat="false" ht="15" hidden="false" customHeight="true" outlineLevel="0" collapsed="false">
      <c r="D485" s="9" t="str">
        <f aca="false">IF(A485="","",IF(C485="2P",OPR_2P!B$2,IF(C485="SEG",SEG_6P!B$2,IF(C485="SOL",SOL_4P!B$2,IF(C485="RW",RW_2P!B$2,IF(C485="RW2",RW2_4P!B$2,0))))))</f>
        <v/>
      </c>
      <c r="F485" s="9" t="str">
        <f aca="false">IF(A485="","", QC_Plan!M485)</f>
        <v/>
      </c>
      <c r="G485" s="26" t="str">
        <f aca="false">IF(B485="","",IF(H485&gt;1000,"High",IF(H485&gt;500,"Medium","Low")))</f>
        <v/>
      </c>
      <c r="I485" s="26"/>
    </row>
    <row r="486" customFormat="false" ht="15" hidden="false" customHeight="true" outlineLevel="0" collapsed="false">
      <c r="D486" s="9" t="str">
        <f aca="false">IF(A486="","",IF(C486="2P",OPR_2P!B$2,IF(C486="SEG",SEG_6P!B$2,IF(C486="SOL",SOL_4P!B$2,IF(C486="RW",RW_2P!B$2,IF(C486="RW2",RW2_4P!B$2,0))))))</f>
        <v/>
      </c>
      <c r="F486" s="9" t="str">
        <f aca="false">IF(A486="","", QC_Plan!M486)</f>
        <v/>
      </c>
      <c r="G486" s="26" t="str">
        <f aca="false">IF(B486="","",IF(H486&gt;1000,"High",IF(H486&gt;500,"Medium","Low")))</f>
        <v/>
      </c>
      <c r="I486" s="26"/>
    </row>
    <row r="487" customFormat="false" ht="15" hidden="false" customHeight="true" outlineLevel="0" collapsed="false">
      <c r="D487" s="9" t="str">
        <f aca="false">IF(A487="","",IF(C487="2P",OPR_2P!B$2,IF(C487="SEG",SEG_6P!B$2,IF(C487="SOL",SOL_4P!B$2,IF(C487="RW",RW_2P!B$2,IF(C487="RW2",RW2_4P!B$2,0))))))</f>
        <v/>
      </c>
      <c r="F487" s="9" t="str">
        <f aca="false">IF(A487="","", QC_Plan!M487)</f>
        <v/>
      </c>
      <c r="G487" s="26" t="str">
        <f aca="false">IF(B487="","",IF(H487&gt;1000,"High",IF(H487&gt;500,"Medium","Low")))</f>
        <v/>
      </c>
      <c r="I487" s="26"/>
    </row>
    <row r="488" customFormat="false" ht="15" hidden="false" customHeight="true" outlineLevel="0" collapsed="false">
      <c r="D488" s="9" t="str">
        <f aca="false">IF(A488="","",IF(C488="2P",OPR_2P!B$2,IF(C488="SEG",SEG_6P!B$2,IF(C488="SOL",SOL_4P!B$2,IF(C488="RW",RW_2P!B$2,IF(C488="RW2",RW2_4P!B$2,0))))))</f>
        <v/>
      </c>
      <c r="F488" s="9" t="str">
        <f aca="false">IF(A488="","", QC_Plan!M488)</f>
        <v/>
      </c>
      <c r="G488" s="26" t="str">
        <f aca="false">IF(B488="","",IF(H488&gt;1000,"High",IF(H488&gt;500,"Medium","Low")))</f>
        <v/>
      </c>
      <c r="I488" s="26"/>
    </row>
    <row r="489" customFormat="false" ht="15" hidden="false" customHeight="true" outlineLevel="0" collapsed="false">
      <c r="D489" s="9" t="str">
        <f aca="false">IF(A489="","",IF(C489="2P",OPR_2P!B$2,IF(C489="SEG",SEG_6P!B$2,IF(C489="SOL",SOL_4P!B$2,IF(C489="RW",RW_2P!B$2,IF(C489="RW2",RW2_4P!B$2,0))))))</f>
        <v/>
      </c>
      <c r="F489" s="9" t="str">
        <f aca="false">IF(A489="","", QC_Plan!M489)</f>
        <v/>
      </c>
      <c r="G489" s="26" t="str">
        <f aca="false">IF(B489="","",IF(H489&gt;1000,"High",IF(H489&gt;500,"Medium","Low")))</f>
        <v/>
      </c>
      <c r="I489" s="26"/>
    </row>
    <row r="490" customFormat="false" ht="15" hidden="false" customHeight="true" outlineLevel="0" collapsed="false">
      <c r="D490" s="9" t="str">
        <f aca="false">IF(A490="","",IF(C490="2P",OPR_2P!B$2,IF(C490="SEG",SEG_6P!B$2,IF(C490="SOL",SOL_4P!B$2,IF(C490="RW",RW_2P!B$2,IF(C490="RW2",RW2_4P!B$2,0))))))</f>
        <v/>
      </c>
      <c r="F490" s="9" t="str">
        <f aca="false">IF(A490="","", QC_Plan!M490)</f>
        <v/>
      </c>
      <c r="G490" s="26" t="str">
        <f aca="false">IF(B490="","",IF(H490&gt;1000,"High",IF(H490&gt;500,"Medium","Low")))</f>
        <v/>
      </c>
      <c r="I490" s="26"/>
    </row>
    <row r="491" customFormat="false" ht="15" hidden="false" customHeight="true" outlineLevel="0" collapsed="false">
      <c r="D491" s="9" t="str">
        <f aca="false">IF(A491="","",IF(C491="2P",OPR_2P!B$2,IF(C491="SEG",SEG_6P!B$2,IF(C491="SOL",SOL_4P!B$2,IF(C491="RW",RW_2P!B$2,IF(C491="RW2",RW2_4P!B$2,0))))))</f>
        <v/>
      </c>
      <c r="F491" s="9" t="str">
        <f aca="false">IF(A491="","", QC_Plan!M491)</f>
        <v/>
      </c>
      <c r="G491" s="26" t="str">
        <f aca="false">IF(B491="","",IF(H491&gt;1000,"High",IF(H491&gt;500,"Medium","Low")))</f>
        <v/>
      </c>
      <c r="I491" s="26"/>
    </row>
    <row r="492" customFormat="false" ht="15" hidden="false" customHeight="true" outlineLevel="0" collapsed="false">
      <c r="D492" s="9" t="str">
        <f aca="false">IF(A492="","",IF(C492="2P",OPR_2P!B$2,IF(C492="SEG",SEG_6P!B$2,IF(C492="SOL",SOL_4P!B$2,IF(C492="RW",RW_2P!B$2,IF(C492="RW2",RW2_4P!B$2,0))))))</f>
        <v/>
      </c>
      <c r="F492" s="9" t="str">
        <f aca="false">IF(A492="","", QC_Plan!M492)</f>
        <v/>
      </c>
      <c r="G492" s="26" t="str">
        <f aca="false">IF(B492="","",IF(H492&gt;1000,"High",IF(H492&gt;500,"Medium","Low")))</f>
        <v/>
      </c>
      <c r="I492" s="26"/>
    </row>
    <row r="493" customFormat="false" ht="15" hidden="false" customHeight="true" outlineLevel="0" collapsed="false">
      <c r="D493" s="9" t="str">
        <f aca="false">IF(A493="","",IF(C493="2P",OPR_2P!B$2,IF(C493="SEG",SEG_6P!B$2,IF(C493="SOL",SOL_4P!B$2,IF(C493="RW",RW_2P!B$2,IF(C493="RW2",RW2_4P!B$2,0))))))</f>
        <v/>
      </c>
      <c r="F493" s="9" t="str">
        <f aca="false">IF(A493="","", QC_Plan!M493)</f>
        <v/>
      </c>
      <c r="G493" s="26" t="str">
        <f aca="false">IF(B493="","",IF(H493&gt;1000,"High",IF(H493&gt;500,"Medium","Low")))</f>
        <v/>
      </c>
      <c r="I493" s="26"/>
    </row>
    <row r="494" customFormat="false" ht="15" hidden="false" customHeight="true" outlineLevel="0" collapsed="false">
      <c r="D494" s="9" t="str">
        <f aca="false">IF(A494="","",IF(C494="2P",OPR_2P!B$2,IF(C494="SEG",SEG_6P!B$2,IF(C494="SOL",SOL_4P!B$2,IF(C494="RW",RW_2P!B$2,IF(C494="RW2",RW2_4P!B$2,0))))))</f>
        <v/>
      </c>
      <c r="F494" s="9" t="str">
        <f aca="false">IF(A494="","", QC_Plan!M494)</f>
        <v/>
      </c>
      <c r="G494" s="26" t="str">
        <f aca="false">IF(B494="","",IF(H494&gt;1000,"High",IF(H494&gt;500,"Medium","Low")))</f>
        <v/>
      </c>
      <c r="I494" s="26"/>
    </row>
    <row r="495" customFormat="false" ht="15" hidden="false" customHeight="true" outlineLevel="0" collapsed="false">
      <c r="D495" s="9" t="str">
        <f aca="false">IF(A495="","",IF(C495="2P",OPR_2P!B$2,IF(C495="SEG",SEG_6P!B$2,IF(C495="SOL",SOL_4P!B$2,IF(C495="RW",RW_2P!B$2,IF(C495="RW2",RW2_4P!B$2,0))))))</f>
        <v/>
      </c>
      <c r="F495" s="9" t="str">
        <f aca="false">IF(A495="","", QC_Plan!M495)</f>
        <v/>
      </c>
      <c r="G495" s="26" t="str">
        <f aca="false">IF(B495="","",IF(H495&gt;1000,"High",IF(H495&gt;500,"Medium","Low")))</f>
        <v/>
      </c>
      <c r="I495" s="26"/>
    </row>
    <row r="496" customFormat="false" ht="15" hidden="false" customHeight="true" outlineLevel="0" collapsed="false">
      <c r="D496" s="9" t="str">
        <f aca="false">IF(A496="","",IF(C496="2P",OPR_2P!B$2,IF(C496="SEG",SEG_6P!B$2,IF(C496="SOL",SOL_4P!B$2,IF(C496="RW",RW_2P!B$2,IF(C496="RW2",RW2_4P!B$2,0))))))</f>
        <v/>
      </c>
      <c r="F496" s="9" t="str">
        <f aca="false">IF(A496="","", QC_Plan!M496)</f>
        <v/>
      </c>
      <c r="G496" s="26" t="str">
        <f aca="false">IF(B496="","",IF(H496&gt;1000,"High",IF(H496&gt;500,"Medium","Low")))</f>
        <v/>
      </c>
      <c r="I496" s="26"/>
    </row>
    <row r="497" customFormat="false" ht="15" hidden="false" customHeight="true" outlineLevel="0" collapsed="false">
      <c r="D497" s="9" t="str">
        <f aca="false">IF(A497="","",IF(C497="2P",OPR_2P!B$2,IF(C497="SEG",SEG_6P!B$2,IF(C497="SOL",SOL_4P!B$2,IF(C497="RW",RW_2P!B$2,IF(C497="RW2",RW2_4P!B$2,0))))))</f>
        <v/>
      </c>
      <c r="F497" s="9" t="str">
        <f aca="false">IF(A497="","", QC_Plan!M497)</f>
        <v/>
      </c>
      <c r="G497" s="26" t="str">
        <f aca="false">IF(B497="","",IF(H497&gt;1000,"High",IF(H497&gt;500,"Medium","Low")))</f>
        <v/>
      </c>
      <c r="I497" s="26"/>
    </row>
    <row r="498" customFormat="false" ht="15" hidden="false" customHeight="true" outlineLevel="0" collapsed="false">
      <c r="D498" s="9" t="str">
        <f aca="false">IF(A498="","",IF(C498="2P",OPR_2P!B$2,IF(C498="SEG",SEG_6P!B$2,IF(C498="SOL",SOL_4P!B$2,IF(C498="RW",RW_2P!B$2,IF(C498="RW2",RW2_4P!B$2,0))))))</f>
        <v/>
      </c>
      <c r="F498" s="9" t="str">
        <f aca="false">IF(A498="","", QC_Plan!M498)</f>
        <v/>
      </c>
      <c r="G498" s="26" t="str">
        <f aca="false">IF(B498="","",IF(H498&gt;1000,"High",IF(H498&gt;500,"Medium","Low")))</f>
        <v/>
      </c>
      <c r="I498" s="26"/>
    </row>
    <row r="499" customFormat="false" ht="15" hidden="false" customHeight="true" outlineLevel="0" collapsed="false">
      <c r="D499" s="9" t="str">
        <f aca="false">IF(A499="","",IF(C499="2P",OPR_2P!B$2,IF(C499="SEG",SEG_6P!B$2,IF(C499="SOL",SOL_4P!B$2,IF(C499="RW",RW_2P!B$2,IF(C499="RW2",RW2_4P!B$2,0))))))</f>
        <v/>
      </c>
      <c r="F499" s="9" t="str">
        <f aca="false">IF(A499="","", QC_Plan!M499)</f>
        <v/>
      </c>
      <c r="G499" s="26" t="str">
        <f aca="false">IF(B499="","",IF(H499&gt;1000,"High",IF(H499&gt;500,"Medium","Low")))</f>
        <v/>
      </c>
      <c r="I499" s="26"/>
    </row>
    <row r="500" customFormat="false" ht="15" hidden="false" customHeight="true" outlineLevel="0" collapsed="false">
      <c r="D500" s="9" t="str">
        <f aca="false">IF(A500="","",IF(C500="2P",OPR_2P!B$2,IF(C500="SEG",SEG_6P!B$2,IF(C500="SOL",SOL_4P!B$2,IF(C500="RW",RW_2P!B$2,IF(C500="RW2",RW2_4P!B$2,0))))))</f>
        <v/>
      </c>
      <c r="F500" s="9" t="str">
        <f aca="false">IF(A500="","", QC_Plan!M500)</f>
        <v/>
      </c>
      <c r="G500" s="26" t="str">
        <f aca="false">IF(B500="","",IF(H500&gt;1000,"High",IF(H500&gt;500,"Medium","Low")))</f>
        <v/>
      </c>
      <c r="I500" s="26"/>
    </row>
    <row r="501" customFormat="false" ht="15" hidden="false" customHeight="true" outlineLevel="0" collapsed="false">
      <c r="D501" s="9" t="str">
        <f aca="false">IF(A501="","",IF(C501="2P",OPR_2P!B$2,IF(C501="SEG",SEG_6P!B$2,IF(C501="SOL",SOL_4P!B$2,IF(C501="RW",RW_2P!B$2,IF(C501="RW2",RW2_4P!B$2,0))))))</f>
        <v/>
      </c>
      <c r="G501" s="26"/>
      <c r="I501" s="26"/>
    </row>
    <row r="502" customFormat="false" ht="15" hidden="false" customHeight="true" outlineLevel="0" collapsed="false">
      <c r="D502" s="9" t="str">
        <f aca="false">IF(A502="","",IF(C502="2P",OPR_2P!B$2,IF(C502="SEG",SEG_6P!B$2,IF(C502="SOL",SOL_4P!B$2,IF(C502="RW",RW_2P!B$2,IF(C502="RW2",RW2_4P!B$2,0))))))</f>
        <v/>
      </c>
      <c r="G502" s="26"/>
      <c r="I502" s="26"/>
    </row>
    <row r="503" customFormat="false" ht="15" hidden="false" customHeight="true" outlineLevel="0" collapsed="false">
      <c r="D503" s="9" t="str">
        <f aca="false">IF(A503="","",IF(C503="2P",OPR_2P!B$2,IF(C503="SEG",SEG_6P!B$2,IF(C503="SOL",SOL_4P!B$2,IF(C503="RW",RW_2P!B$2,IF(C503="RW2",RW2_4P!B$2,0))))))</f>
        <v/>
      </c>
      <c r="G503" s="26"/>
      <c r="I503" s="26"/>
    </row>
    <row r="504" customFormat="false" ht="15" hidden="false" customHeight="true" outlineLevel="0" collapsed="false">
      <c r="D504" s="9" t="str">
        <f aca="false">IF(A504="","",IF(C504="2P",OPR_2P!B$2,IF(C504="SEG",SEG_6P!B$2,IF(C504="SOL",SOL_4P!B$2,IF(C504="RW",RW_2P!B$2,IF(C504="RW2",RW2_4P!B$2,0))))))</f>
        <v/>
      </c>
      <c r="G504" s="26"/>
      <c r="I504" s="26"/>
    </row>
    <row r="505" customFormat="false" ht="15" hidden="false" customHeight="true" outlineLevel="0" collapsed="false">
      <c r="D505" s="9" t="str">
        <f aca="false">IF(A505="","",IF(C505="2P",OPR_2P!B$2,IF(C505="SEG",SEG_6P!B$2,IF(C505="SOL",SOL_4P!B$2,IF(C505="RW",RW_2P!B$2,IF(C505="RW2",RW2_4P!B$2,0))))))</f>
        <v/>
      </c>
      <c r="G505" s="26"/>
      <c r="I505" s="26"/>
    </row>
    <row r="506" customFormat="false" ht="15" hidden="false" customHeight="true" outlineLevel="0" collapsed="false">
      <c r="D506" s="9" t="str">
        <f aca="false">IF(A506="","",IF(C506="2P",OPR_2P!B$2,IF(C506="SEG",SEG_6P!B$2,IF(C506="SOL",SOL_4P!B$2,IF(C506="RW",RW_2P!B$2,IF(C506="RW2",RW2_4P!B$2,0))))))</f>
        <v/>
      </c>
      <c r="G506" s="26"/>
      <c r="I506" s="26"/>
    </row>
    <row r="507" customFormat="false" ht="15" hidden="false" customHeight="true" outlineLevel="0" collapsed="false">
      <c r="D507" s="9" t="str">
        <f aca="false">IF(A507="","",IF(C507="2P",OPR_2P!B$2,IF(C507="SEG",SEG_6P!B$2,IF(C507="SOL",SOL_4P!B$2,IF(C507="RW",RW_2P!B$2,IF(C507="RW2",RW2_4P!B$2,0))))))</f>
        <v/>
      </c>
      <c r="G507" s="26"/>
      <c r="I507" s="26"/>
    </row>
    <row r="508" customFormat="false" ht="15" hidden="false" customHeight="true" outlineLevel="0" collapsed="false">
      <c r="D508" s="9" t="str">
        <f aca="false">IF(A508="","",IF(C508="2P",OPR_2P!B$2,IF(C508="SEG",SEG_6P!B$2,IF(C508="SOL",SOL_4P!B$2,IF(C508="RW",RW_2P!B$2,IF(C508="RW2",RW2_4P!B$2,0))))))</f>
        <v/>
      </c>
      <c r="G508" s="26"/>
      <c r="I508" s="26"/>
    </row>
    <row r="509" customFormat="false" ht="15" hidden="false" customHeight="true" outlineLevel="0" collapsed="false">
      <c r="D509" s="9" t="str">
        <f aca="false">IF(A509="","",IF(C509="2P",OPR_2P!B$2,IF(C509="SEG",SEG_6P!B$2,IF(C509="SOL",SOL_4P!B$2,IF(C509="RW",RW_2P!B$2,IF(C509="RW2",RW2_4P!B$2,0))))))</f>
        <v/>
      </c>
      <c r="G509" s="26"/>
      <c r="I509" s="26"/>
    </row>
    <row r="510" customFormat="false" ht="15" hidden="false" customHeight="true" outlineLevel="0" collapsed="false">
      <c r="D510" s="9" t="str">
        <f aca="false">IF(A510="","",IF(C510="2P",OPR_2P!B$2,IF(C510="SEG",SEG_6P!B$2,IF(C510="SOL",SOL_4P!B$2,IF(C510="RW",RW_2P!B$2,IF(C510="RW2",RW2_4P!B$2,0))))))</f>
        <v/>
      </c>
      <c r="G510" s="26"/>
      <c r="I510" s="26"/>
    </row>
    <row r="511" customFormat="false" ht="15" hidden="false" customHeight="true" outlineLevel="0" collapsed="false">
      <c r="D511" s="9" t="str">
        <f aca="false">IF(A511="","",IF(C511="2P",OPR_2P!B$2,IF(C511="SEG",SEG_6P!B$2,IF(C511="SOL",SOL_4P!B$2,IF(C511="RW",RW_2P!B$2,IF(C511="RW2",RW2_4P!B$2,0))))))</f>
        <v/>
      </c>
      <c r="G511" s="26"/>
      <c r="I511" s="26"/>
    </row>
    <row r="512" customFormat="false" ht="15" hidden="false" customHeight="true" outlineLevel="0" collapsed="false">
      <c r="D512" s="9" t="str">
        <f aca="false">IF(A512="","",IF(C512="2P",OPR_2P!B$2,IF(C512="SEG",SEG_6P!B$2,IF(C512="SOL",SOL_4P!B$2,IF(C512="RW",RW_2P!B$2,IF(C512="RW2",RW2_4P!B$2,0))))))</f>
        <v/>
      </c>
      <c r="G512" s="26"/>
      <c r="I512" s="26"/>
    </row>
    <row r="513" customFormat="false" ht="15" hidden="false" customHeight="true" outlineLevel="0" collapsed="false">
      <c r="D513" s="9" t="str">
        <f aca="false">IF(A513="","",IF(C513="2P",OPR_2P!B$2,IF(C513="SEG",SEG_6P!B$2,IF(C513="SOL",SOL_4P!B$2,IF(C513="RW",RW_2P!B$2,IF(C513="RW2",RW2_4P!B$2,0))))))</f>
        <v/>
      </c>
      <c r="G513" s="26"/>
      <c r="I513" s="26"/>
    </row>
    <row r="514" customFormat="false" ht="15" hidden="false" customHeight="true" outlineLevel="0" collapsed="false">
      <c r="D514" s="9" t="str">
        <f aca="false">IF(A514="","",IF(C514="2P",OPR_2P!B$2,IF(C514="SEG",SEG_6P!B$2,IF(C514="SOL",SOL_4P!B$2,IF(C514="RW",RW_2P!B$2,IF(C514="RW2",RW2_4P!B$2,0))))))</f>
        <v/>
      </c>
      <c r="G514" s="26"/>
      <c r="I514" s="26"/>
    </row>
    <row r="515" customFormat="false" ht="15" hidden="false" customHeight="true" outlineLevel="0" collapsed="false">
      <c r="D515" s="9" t="str">
        <f aca="false">IF(A515="","",IF(C515="2P",OPR_2P!B$2,IF(C515="SEG",SEG_6P!B$2,IF(C515="SOL",SOL_4P!B$2,IF(C515="RW",RW_2P!B$2,IF(C515="RW2",RW2_4P!B$2,0))))))</f>
        <v/>
      </c>
      <c r="G515" s="26"/>
      <c r="I515" s="26"/>
    </row>
    <row r="516" customFormat="false" ht="15" hidden="false" customHeight="true" outlineLevel="0" collapsed="false">
      <c r="D516" s="9" t="str">
        <f aca="false">IF(A516="","",IF(C516="2P",OPR_2P!B$2,IF(C516="SEG",SEG_6P!B$2,IF(C516="SOL",SOL_4P!B$2,IF(C516="RW",RW_2P!B$2,IF(C516="RW2",RW2_4P!B$2,0))))))</f>
        <v/>
      </c>
      <c r="G516" s="26"/>
      <c r="I516" s="26"/>
    </row>
    <row r="517" customFormat="false" ht="15" hidden="false" customHeight="true" outlineLevel="0" collapsed="false">
      <c r="D517" s="9" t="str">
        <f aca="false">IF(A517="","",IF(C517="2P",OPR_2P!B$2,IF(C517="SEG",SEG_6P!B$2,IF(C517="SOL",SOL_4P!B$2,IF(C517="RW",RW_2P!B$2,IF(C517="RW2",RW2_4P!B$2,0))))))</f>
        <v/>
      </c>
      <c r="G517" s="26"/>
      <c r="I517" s="26"/>
    </row>
    <row r="518" customFormat="false" ht="15" hidden="false" customHeight="true" outlineLevel="0" collapsed="false">
      <c r="D518" s="9" t="str">
        <f aca="false">IF(A518="","",IF(C518="2P",OPR_2P!B$2,IF(C518="SEG",SEG_6P!B$2,IF(C518="SOL",SOL_4P!B$2,IF(C518="RW",RW_2P!B$2,IF(C518="RW2",RW2_4P!B$2,0))))))</f>
        <v/>
      </c>
      <c r="G518" s="26"/>
      <c r="I518" s="26"/>
    </row>
    <row r="519" customFormat="false" ht="15" hidden="false" customHeight="true" outlineLevel="0" collapsed="false">
      <c r="D519" s="9" t="str">
        <f aca="false">IF(A519="","",IF(C519="2P",OPR_2P!B$2,IF(C519="SEG",SEG_6P!B$2,IF(C519="SOL",SOL_4P!B$2,IF(C519="RW",RW_2P!B$2,IF(C519="RW2",RW2_4P!B$2,0))))))</f>
        <v/>
      </c>
      <c r="G519" s="26"/>
      <c r="I519" s="26"/>
    </row>
    <row r="520" customFormat="false" ht="15" hidden="false" customHeight="true" outlineLevel="0" collapsed="false">
      <c r="D520" s="9" t="str">
        <f aca="false">IF(A520="","",IF(C520="2P",OPR_2P!B$2,IF(C520="SEG",SEG_6P!B$2,IF(C520="SOL",SOL_4P!B$2,IF(C520="RW",RW_2P!B$2,IF(C520="RW2",RW2_4P!B$2,0))))))</f>
        <v/>
      </c>
      <c r="G520" s="26"/>
      <c r="I520" s="26"/>
    </row>
    <row r="521" customFormat="false" ht="15" hidden="false" customHeight="true" outlineLevel="0" collapsed="false">
      <c r="D521" s="9" t="str">
        <f aca="false">IF(A521="","",IF(C521="2P",OPR_2P!B$2,IF(C521="SEG",SEG_6P!B$2,IF(C521="SOL",SOL_4P!B$2,IF(C521="RW",RW_2P!B$2,IF(C521="RW2",RW2_4P!B$2,0))))))</f>
        <v/>
      </c>
      <c r="G521" s="26"/>
      <c r="I521" s="26"/>
    </row>
    <row r="522" customFormat="false" ht="15" hidden="false" customHeight="true" outlineLevel="0" collapsed="false">
      <c r="D522" s="9" t="str">
        <f aca="false">IF(A522="","",IF(C522="2P",OPR_2P!B$2,IF(C522="SEG",SEG_6P!B$2,IF(C522="SOL",SOL_4P!B$2,IF(C522="RW",RW_2P!B$2,IF(C522="RW2",RW2_4P!B$2,0))))))</f>
        <v/>
      </c>
      <c r="G522" s="26"/>
      <c r="I522" s="26"/>
    </row>
    <row r="523" customFormat="false" ht="15" hidden="false" customHeight="true" outlineLevel="0" collapsed="false">
      <c r="D523" s="9" t="str">
        <f aca="false">IF(A523="","",IF(C523="2P",OPR_2P!B$2,IF(C523="SEG",SEG_6P!B$2,IF(C523="SOL",SOL_4P!B$2,IF(C523="RW",RW_2P!B$2,IF(C523="RW2",RW2_4P!B$2,0))))))</f>
        <v/>
      </c>
      <c r="G523" s="26"/>
      <c r="I523" s="26"/>
    </row>
    <row r="524" customFormat="false" ht="15" hidden="false" customHeight="true" outlineLevel="0" collapsed="false">
      <c r="D524" s="9" t="str">
        <f aca="false">IF(A524="","",IF(C524="2P",OPR_2P!B$2,IF(C524="SEG",SEG_6P!B$2,IF(C524="SOL",SOL_4P!B$2,IF(C524="RW",RW_2P!B$2,IF(C524="RW2",RW2_4P!B$2,0))))))</f>
        <v/>
      </c>
      <c r="G524" s="26"/>
      <c r="I524" s="26"/>
    </row>
    <row r="525" customFormat="false" ht="15" hidden="false" customHeight="true" outlineLevel="0" collapsed="false">
      <c r="D525" s="9" t="str">
        <f aca="false">IF(A525="","",IF(C525="2P",OPR_2P!B$2,IF(C525="SEG",SEG_6P!B$2,IF(C525="SOL",SOL_4P!B$2,IF(C525="RW",RW_2P!B$2,IF(C525="RW2",RW2_4P!B$2,0))))))</f>
        <v/>
      </c>
      <c r="G525" s="26"/>
      <c r="I525" s="26"/>
    </row>
    <row r="526" customFormat="false" ht="15" hidden="false" customHeight="true" outlineLevel="0" collapsed="false">
      <c r="D526" s="9" t="str">
        <f aca="false">IF(A526="","",IF(C526="2P",OPR_2P!B$2,IF(C526="SEG",SEG_6P!B$2,IF(C526="SOL",SOL_4P!B$2,IF(C526="RW",RW_2P!B$2,IF(C526="RW2",RW2_4P!B$2,0))))))</f>
        <v/>
      </c>
      <c r="G526" s="26"/>
      <c r="I526" s="26"/>
    </row>
    <row r="527" customFormat="false" ht="15" hidden="false" customHeight="true" outlineLevel="0" collapsed="false">
      <c r="D527" s="9" t="str">
        <f aca="false">IF(A527="","",IF(C527="2P",OPR_2P!B$2,IF(C527="SEG",SEG_6P!B$2,IF(C527="SOL",SOL_4P!B$2,IF(C527="RW",RW_2P!B$2,IF(C527="RW2",RW2_4P!B$2,0))))))</f>
        <v/>
      </c>
      <c r="G527" s="26"/>
      <c r="I527" s="26"/>
    </row>
    <row r="528" customFormat="false" ht="15" hidden="false" customHeight="true" outlineLevel="0" collapsed="false">
      <c r="D528" s="9" t="str">
        <f aca="false">IF(A528="","",IF(C528="2P",OPR_2P!B$2,IF(C528="SEG",SEG_6P!B$2,IF(C528="SOL",SOL_4P!B$2,IF(C528="RW",RW_2P!B$2,IF(C528="RW2",RW2_4P!B$2,0))))))</f>
        <v/>
      </c>
      <c r="G528" s="26"/>
      <c r="I528" s="26"/>
    </row>
    <row r="529" customFormat="false" ht="15" hidden="false" customHeight="true" outlineLevel="0" collapsed="false">
      <c r="D529" s="9" t="str">
        <f aca="false">IF(A529="","",IF(C529="2P",OPR_2P!B$2,IF(C529="SEG",SEG_6P!B$2,IF(C529="SOL",SOL_4P!B$2,IF(C529="RW",RW_2P!B$2,IF(C529="RW2",RW2_4P!B$2,0))))))</f>
        <v/>
      </c>
      <c r="G529" s="26"/>
      <c r="I529" s="26"/>
    </row>
    <row r="530" customFormat="false" ht="15" hidden="false" customHeight="true" outlineLevel="0" collapsed="false">
      <c r="D530" s="9" t="str">
        <f aca="false">IF(A530="","",IF(C530="2P",OPR_2P!B$2,IF(C530="SEG",SEG_6P!B$2,IF(C530="SOL",SOL_4P!B$2,IF(C530="RW",RW_2P!B$2,IF(C530="RW2",RW2_4P!B$2,0))))))</f>
        <v/>
      </c>
      <c r="G530" s="26"/>
      <c r="I530" s="26"/>
    </row>
    <row r="531" customFormat="false" ht="15" hidden="false" customHeight="true" outlineLevel="0" collapsed="false">
      <c r="D531" s="9" t="str">
        <f aca="false">IF(A531="","",IF(C531="2P",OPR_2P!B$2,IF(C531="SEG",SEG_6P!B$2,IF(C531="SOL",SOL_4P!B$2,IF(C531="RW",RW_2P!B$2,IF(C531="RW2",RW2_4P!B$2,0))))))</f>
        <v/>
      </c>
      <c r="G531" s="26"/>
      <c r="I531" s="26"/>
    </row>
    <row r="532" customFormat="false" ht="15" hidden="false" customHeight="true" outlineLevel="0" collapsed="false">
      <c r="D532" s="9" t="str">
        <f aca="false">IF(A532="","",IF(C532="2P",OPR_2P!B$2,IF(C532="SEG",SEG_6P!B$2,IF(C532="SOL",SOL_4P!B$2,IF(C532="RW",RW_2P!B$2,IF(C532="RW2",RW2_4P!B$2,0))))))</f>
        <v/>
      </c>
      <c r="G532" s="26"/>
      <c r="I532" s="26"/>
    </row>
    <row r="533" customFormat="false" ht="15" hidden="false" customHeight="true" outlineLevel="0" collapsed="false">
      <c r="D533" s="9" t="str">
        <f aca="false">IF(A533="","",IF(C533="2P",OPR_2P!B$2,IF(C533="SEG",SEG_6P!B$2,IF(C533="SOL",SOL_4P!B$2,IF(C533="RW",RW_2P!B$2,IF(C533="RW2",RW2_4P!B$2,0))))))</f>
        <v/>
      </c>
      <c r="G533" s="26"/>
      <c r="I533" s="26"/>
    </row>
    <row r="534" customFormat="false" ht="15" hidden="false" customHeight="true" outlineLevel="0" collapsed="false">
      <c r="D534" s="9" t="str">
        <f aca="false">IF(A534="","",IF(C534="2P",OPR_2P!B$2,IF(C534="SEG",SEG_6P!B$2,IF(C534="SOL",SOL_4P!B$2,IF(C534="RW",RW_2P!B$2,IF(C534="RW2",RW2_4P!B$2,0))))))</f>
        <v/>
      </c>
      <c r="G534" s="26"/>
      <c r="I534" s="26"/>
    </row>
    <row r="535" customFormat="false" ht="15" hidden="false" customHeight="true" outlineLevel="0" collapsed="false">
      <c r="D535" s="9" t="str">
        <f aca="false">IF(A535="","",IF(C535="2P",OPR_2P!B$2,IF(C535="SEG",SEG_6P!B$2,IF(C535="SOL",SOL_4P!B$2,IF(C535="RW",RW_2P!B$2,IF(C535="RW2",RW2_4P!B$2,0))))))</f>
        <v/>
      </c>
      <c r="G535" s="26"/>
      <c r="I535" s="26"/>
    </row>
    <row r="536" customFormat="false" ht="15" hidden="false" customHeight="true" outlineLevel="0" collapsed="false">
      <c r="D536" s="9" t="str">
        <f aca="false">IF(A536="","",IF(C536="2P",OPR_2P!B$2,IF(C536="SEG",SEG_6P!B$2,IF(C536="SOL",SOL_4P!B$2,IF(C536="RW",RW_2P!B$2,IF(C536="RW2",RW2_4P!B$2,0))))))</f>
        <v/>
      </c>
      <c r="G536" s="26"/>
      <c r="I536" s="26"/>
    </row>
    <row r="537" customFormat="false" ht="15" hidden="false" customHeight="true" outlineLevel="0" collapsed="false">
      <c r="D537" s="9" t="str">
        <f aca="false">IF(A537="","",IF(C537="2P",OPR_2P!B$2,IF(C537="SEG",SEG_6P!B$2,IF(C537="SOL",SOL_4P!B$2,IF(C537="RW",RW_2P!B$2,IF(C537="RW2",RW2_4P!B$2,0))))))</f>
        <v/>
      </c>
      <c r="G537" s="26"/>
      <c r="I537" s="26"/>
    </row>
    <row r="538" customFormat="false" ht="15" hidden="false" customHeight="true" outlineLevel="0" collapsed="false">
      <c r="D538" s="9" t="str">
        <f aca="false">IF(A538="","",IF(C538="2P",OPR_2P!B$2,IF(C538="SEG",SEG_6P!B$2,IF(C538="SOL",SOL_4P!B$2,IF(C538="RW",RW_2P!B$2,IF(C538="RW2",RW2_4P!B$2,0))))))</f>
        <v/>
      </c>
      <c r="G538" s="26"/>
      <c r="I538" s="26"/>
    </row>
    <row r="539" customFormat="false" ht="15" hidden="false" customHeight="true" outlineLevel="0" collapsed="false">
      <c r="D539" s="9" t="str">
        <f aca="false">IF(A539="","",IF(C539="2P",OPR_2P!B$2,IF(C539="SEG",SEG_6P!B$2,IF(C539="SOL",SOL_4P!B$2,IF(C539="RW",RW_2P!B$2,IF(C539="RW2",RW2_4P!B$2,0))))))</f>
        <v/>
      </c>
      <c r="G539" s="26"/>
      <c r="I539" s="26"/>
    </row>
    <row r="540" customFormat="false" ht="15" hidden="false" customHeight="true" outlineLevel="0" collapsed="false">
      <c r="D540" s="9" t="str">
        <f aca="false">IF(A540="","",IF(C540="2P",OPR_2P!B$2,IF(C540="SEG",SEG_6P!B$2,IF(C540="SOL",SOL_4P!B$2,IF(C540="RW",RW_2P!B$2,IF(C540="RW2",RW2_4P!B$2,0))))))</f>
        <v/>
      </c>
      <c r="G540" s="26"/>
      <c r="I540" s="26"/>
    </row>
    <row r="541" customFormat="false" ht="15" hidden="false" customHeight="true" outlineLevel="0" collapsed="false">
      <c r="D541" s="9" t="str">
        <f aca="false">IF(A541="","",IF(C541="2P",OPR_2P!B$2,IF(C541="SEG",SEG_6P!B$2,IF(C541="SOL",SOL_4P!B$2,IF(C541="RW",RW_2P!B$2,IF(C541="RW2",RW2_4P!B$2,0))))))</f>
        <v/>
      </c>
      <c r="G541" s="26"/>
      <c r="I541" s="26"/>
    </row>
    <row r="542" customFormat="false" ht="15" hidden="false" customHeight="true" outlineLevel="0" collapsed="false">
      <c r="D542" s="9" t="str">
        <f aca="false">IF(A542="","",IF(C542="2P",OPR_2P!B$2,IF(C542="SEG",SEG_6P!B$2,IF(C542="SOL",SOL_4P!B$2,IF(C542="RW",RW_2P!B$2,IF(C542="RW2",RW2_4P!B$2,0))))))</f>
        <v/>
      </c>
      <c r="G542" s="26"/>
      <c r="I542" s="26"/>
    </row>
    <row r="543" customFormat="false" ht="15" hidden="false" customHeight="true" outlineLevel="0" collapsed="false">
      <c r="D543" s="9" t="str">
        <f aca="false">IF(A543="","",IF(C543="2P",OPR_2P!B$2,IF(C543="SEG",SEG_6P!B$2,IF(C543="SOL",SOL_4P!B$2,IF(C543="RW",RW_2P!B$2,IF(C543="RW2",RW2_4P!B$2,0))))))</f>
        <v/>
      </c>
      <c r="G543" s="26"/>
      <c r="I543" s="26"/>
    </row>
    <row r="544" customFormat="false" ht="15" hidden="false" customHeight="true" outlineLevel="0" collapsed="false">
      <c r="D544" s="9" t="str">
        <f aca="false">IF(A544="","",IF(C544="2P",OPR_2P!B$2,IF(C544="SEG",SEG_6P!B$2,IF(C544="SOL",SOL_4P!B$2,IF(C544="RW",RW_2P!B$2,IF(C544="RW2",RW2_4P!B$2,0))))))</f>
        <v/>
      </c>
      <c r="G544" s="26"/>
      <c r="I544" s="26"/>
    </row>
    <row r="545" customFormat="false" ht="15" hidden="false" customHeight="true" outlineLevel="0" collapsed="false">
      <c r="D545" s="9" t="str">
        <f aca="false">IF(A545="","",IF(C545="2P",OPR_2P!B$2,IF(C545="SEG",SEG_6P!B$2,IF(C545="SOL",SOL_4P!B$2,IF(C545="RW",RW_2P!B$2,IF(C545="RW2",RW2_4P!B$2,0))))))</f>
        <v/>
      </c>
      <c r="G545" s="26"/>
      <c r="I545" s="26"/>
    </row>
    <row r="546" customFormat="false" ht="15" hidden="false" customHeight="true" outlineLevel="0" collapsed="false">
      <c r="D546" s="9" t="str">
        <f aca="false">IF(A546="","",IF(C546="2P",OPR_2P!B$2,IF(C546="SEG",SEG_6P!B$2,IF(C546="SOL",SOL_4P!B$2,IF(C546="RW",RW_2P!B$2,IF(C546="RW2",RW2_4P!B$2,0))))))</f>
        <v/>
      </c>
      <c r="G546" s="26"/>
      <c r="I546" s="26"/>
    </row>
    <row r="547" customFormat="false" ht="15" hidden="false" customHeight="true" outlineLevel="0" collapsed="false">
      <c r="D547" s="9" t="str">
        <f aca="false">IF(A547="","",IF(C547="2P",OPR_2P!B$2,IF(C547="SEG",SEG_6P!B$2,IF(C547="SOL",SOL_4P!B$2,IF(C547="RW",RW_2P!B$2,IF(C547="RW2",RW2_4P!B$2,0))))))</f>
        <v/>
      </c>
      <c r="G547" s="26"/>
      <c r="I547" s="26"/>
    </row>
    <row r="548" customFormat="false" ht="15" hidden="false" customHeight="true" outlineLevel="0" collapsed="false">
      <c r="D548" s="9" t="str">
        <f aca="false">IF(A548="","",IF(C548="2P",OPR_2P!B$2,IF(C548="SEG",SEG_6P!B$2,IF(C548="SOL",SOL_4P!B$2,IF(C548="RW",RW_2P!B$2,IF(C548="RW2",RW2_4P!B$2,0))))))</f>
        <v/>
      </c>
      <c r="G548" s="26"/>
      <c r="I548" s="26"/>
    </row>
    <row r="549" customFormat="false" ht="15" hidden="false" customHeight="true" outlineLevel="0" collapsed="false">
      <c r="D549" s="9" t="str">
        <f aca="false">IF(A549="","",IF(C549="2P",OPR_2P!B$2,IF(C549="SEG",SEG_6P!B$2,IF(C549="SOL",SOL_4P!B$2,IF(C549="RW",RW_2P!B$2,IF(C549="RW2",RW2_4P!B$2,0))))))</f>
        <v/>
      </c>
      <c r="G549" s="26"/>
      <c r="I549" s="26"/>
    </row>
    <row r="550" customFormat="false" ht="15" hidden="false" customHeight="true" outlineLevel="0" collapsed="false">
      <c r="D550" s="9" t="str">
        <f aca="false">IF(A550="","",IF(C550="2P",OPR_2P!B$2,IF(C550="SEG",SEG_6P!B$2,IF(C550="SOL",SOL_4P!B$2,IF(C550="RW",RW_2P!B$2,IF(C550="RW2",RW2_4P!B$2,0))))))</f>
        <v/>
      </c>
      <c r="G550" s="26"/>
      <c r="I550" s="26"/>
    </row>
    <row r="551" customFormat="false" ht="15" hidden="false" customHeight="true" outlineLevel="0" collapsed="false">
      <c r="D551" s="9" t="str">
        <f aca="false">IF(A551="","",IF(C551="2P",OPR_2P!B$2,IF(C551="SEG",SEG_6P!B$2,IF(C551="SOL",SOL_4P!B$2,IF(C551="RW",RW_2P!B$2,IF(C551="RW2",RW2_4P!B$2,0))))))</f>
        <v/>
      </c>
      <c r="G551" s="26"/>
      <c r="I551" s="26"/>
    </row>
    <row r="552" customFormat="false" ht="15" hidden="false" customHeight="true" outlineLevel="0" collapsed="false">
      <c r="D552" s="9" t="str">
        <f aca="false">IF(A552="","",IF(C552="2P",OPR_2P!B$2,IF(C552="SEG",SEG_6P!B$2,IF(C552="SOL",SOL_4P!B$2,IF(C552="RW",RW_2P!B$2,IF(C552="RW2",RW2_4P!B$2,0))))))</f>
        <v/>
      </c>
      <c r="G552" s="26"/>
      <c r="I552" s="26"/>
    </row>
    <row r="553" customFormat="false" ht="15" hidden="false" customHeight="true" outlineLevel="0" collapsed="false">
      <c r="D553" s="9" t="str">
        <f aca="false">IF(A553="","",IF(C553="2P",OPR_2P!B$2,IF(C553="SEG",SEG_6P!B$2,IF(C553="SOL",SOL_4P!B$2,IF(C553="RW",RW_2P!B$2,IF(C553="RW2",RW2_4P!B$2,0))))))</f>
        <v/>
      </c>
      <c r="G553" s="26"/>
      <c r="I553" s="26"/>
    </row>
    <row r="554" customFormat="false" ht="15" hidden="false" customHeight="true" outlineLevel="0" collapsed="false">
      <c r="D554" s="9" t="str">
        <f aca="false">IF(A554="","",IF(C554="2P",OPR_2P!B$2,IF(C554="SEG",SEG_6P!B$2,IF(C554="SOL",SOL_4P!B$2,IF(C554="RW",RW_2P!B$2,IF(C554="RW2",RW2_4P!B$2,0))))))</f>
        <v/>
      </c>
      <c r="G554" s="26"/>
      <c r="I554" s="26"/>
    </row>
    <row r="555" customFormat="false" ht="15" hidden="false" customHeight="true" outlineLevel="0" collapsed="false">
      <c r="D555" s="9" t="str">
        <f aca="false">IF(A555="","",IF(C555="2P",OPR_2P!B$2,IF(C555="SEG",SEG_6P!B$2,IF(C555="SOL",SOL_4P!B$2,IF(C555="RW",RW_2P!B$2,IF(C555="RW2",RW2_4P!B$2,0))))))</f>
        <v/>
      </c>
      <c r="G555" s="26"/>
      <c r="I555" s="26"/>
    </row>
    <row r="556" customFormat="false" ht="15" hidden="false" customHeight="true" outlineLevel="0" collapsed="false">
      <c r="D556" s="9" t="str">
        <f aca="false">IF(A556="","",IF(C556="2P",OPR_2P!B$2,IF(C556="SEG",SEG_6P!B$2,IF(C556="SOL",SOL_4P!B$2,IF(C556="RW",RW_2P!B$2,IF(C556="RW2",RW2_4P!B$2,0))))))</f>
        <v/>
      </c>
      <c r="G556" s="26"/>
      <c r="I556" s="26"/>
    </row>
    <row r="557" customFormat="false" ht="15" hidden="false" customHeight="true" outlineLevel="0" collapsed="false">
      <c r="D557" s="9" t="str">
        <f aca="false">IF(A557="","",IF(C557="2P",OPR_2P!B$2,IF(C557="SEG",SEG_6P!B$2,IF(C557="SOL",SOL_4P!B$2,IF(C557="RW",RW_2P!B$2,IF(C557="RW2",RW2_4P!B$2,0))))))</f>
        <v/>
      </c>
      <c r="G557" s="26"/>
      <c r="I557" s="26"/>
    </row>
    <row r="558" customFormat="false" ht="15" hidden="false" customHeight="true" outlineLevel="0" collapsed="false">
      <c r="D558" s="9" t="str">
        <f aca="false">IF(A558="","",IF(C558="2P",OPR_2P!B$2,IF(C558="SEG",SEG_6P!B$2,IF(C558="SOL",SOL_4P!B$2,IF(C558="RW",RW_2P!B$2,IF(C558="RW2",RW2_4P!B$2,0))))))</f>
        <v/>
      </c>
      <c r="G558" s="26"/>
      <c r="I558" s="26"/>
    </row>
    <row r="559" customFormat="false" ht="15" hidden="false" customHeight="true" outlineLevel="0" collapsed="false">
      <c r="D559" s="9" t="str">
        <f aca="false">IF(A559="","",IF(C559="2P",OPR_2P!B$2,IF(C559="SEG",SEG_6P!B$2,IF(C559="SOL",SOL_4P!B$2,IF(C559="RW",RW_2P!B$2,IF(C559="RW2",RW2_4P!B$2,0))))))</f>
        <v/>
      </c>
      <c r="G559" s="26"/>
      <c r="I559" s="26"/>
    </row>
    <row r="560" customFormat="false" ht="15" hidden="false" customHeight="true" outlineLevel="0" collapsed="false">
      <c r="D560" s="9" t="str">
        <f aca="false">IF(A560="","",IF(C560="2P",OPR_2P!B$2,IF(C560="SEG",SEG_6P!B$2,IF(C560="SOL",SOL_4P!B$2,IF(C560="RW",RW_2P!B$2,IF(C560="RW2",RW2_4P!B$2,0))))))</f>
        <v/>
      </c>
      <c r="G560" s="26"/>
      <c r="I560" s="26"/>
    </row>
    <row r="561" customFormat="false" ht="15" hidden="false" customHeight="true" outlineLevel="0" collapsed="false">
      <c r="D561" s="9" t="str">
        <f aca="false">IF(A561="","",IF(C561="2P",OPR_2P!B$2,IF(C561="SEG",SEG_6P!B$2,IF(C561="SOL",SOL_4P!B$2,IF(C561="RW",RW_2P!B$2,IF(C561="RW2",RW2_4P!B$2,0))))))</f>
        <v/>
      </c>
      <c r="G561" s="26"/>
      <c r="I561" s="26"/>
    </row>
    <row r="562" customFormat="false" ht="15" hidden="false" customHeight="true" outlineLevel="0" collapsed="false">
      <c r="D562" s="9" t="str">
        <f aca="false">IF(A562="","",IF(C562="2P",OPR_2P!B$2,IF(C562="SEG",SEG_6P!B$2,IF(C562="SOL",SOL_4P!B$2,IF(C562="RW",RW_2P!B$2,IF(C562="RW2",RW2_4P!B$2,0))))))</f>
        <v/>
      </c>
      <c r="G562" s="26"/>
      <c r="I562" s="26"/>
    </row>
    <row r="563" customFormat="false" ht="15" hidden="false" customHeight="true" outlineLevel="0" collapsed="false">
      <c r="D563" s="9" t="str">
        <f aca="false">IF(A563="","",IF(C563="2P",OPR_2P!B$2,IF(C563="SEG",SEG_6P!B$2,IF(C563="SOL",SOL_4P!B$2,IF(C563="RW",RW_2P!B$2,IF(C563="RW2",RW2_4P!B$2,0))))))</f>
        <v/>
      </c>
      <c r="G563" s="26"/>
      <c r="I563" s="26"/>
    </row>
    <row r="564" customFormat="false" ht="15" hidden="false" customHeight="true" outlineLevel="0" collapsed="false">
      <c r="D564" s="9" t="str">
        <f aca="false">IF(A564="","",IF(C564="2P",OPR_2P!B$2,IF(C564="SEG",SEG_6P!B$2,IF(C564="SOL",SOL_4P!B$2,IF(C564="RW",RW_2P!B$2,IF(C564="RW2",RW2_4P!B$2,0))))))</f>
        <v/>
      </c>
      <c r="G564" s="26"/>
      <c r="I564" s="26"/>
    </row>
    <row r="565" customFormat="false" ht="15" hidden="false" customHeight="true" outlineLevel="0" collapsed="false">
      <c r="D565" s="9" t="str">
        <f aca="false">IF(A565="","",IF(C565="2P",OPR_2P!B$2,IF(C565="SEG",SEG_6P!B$2,IF(C565="SOL",SOL_4P!B$2,IF(C565="RW",RW_2P!B$2,IF(C565="RW2",RW2_4P!B$2,0))))))</f>
        <v/>
      </c>
      <c r="G565" s="26"/>
      <c r="I565" s="26"/>
    </row>
    <row r="566" customFormat="false" ht="15" hidden="false" customHeight="true" outlineLevel="0" collapsed="false">
      <c r="D566" s="9" t="str">
        <f aca="false">IF(A566="","",IF(C566="2P",OPR_2P!B$2,IF(C566="SEG",SEG_6P!B$2,IF(C566="SOL",SOL_4P!B$2,IF(C566="RW",RW_2P!B$2,IF(C566="RW2",RW2_4P!B$2,0))))))</f>
        <v/>
      </c>
      <c r="G566" s="26"/>
      <c r="I566" s="26"/>
    </row>
    <row r="567" customFormat="false" ht="15" hidden="false" customHeight="true" outlineLevel="0" collapsed="false">
      <c r="D567" s="9" t="str">
        <f aca="false">IF(A567="","",IF(C567="2P",OPR_2P!B$2,IF(C567="SEG",SEG_6P!B$2,IF(C567="SOL",SOL_4P!B$2,IF(C567="RW",RW_2P!B$2,IF(C567="RW2",RW2_4P!B$2,0))))))</f>
        <v/>
      </c>
      <c r="G567" s="26"/>
      <c r="I567" s="26"/>
    </row>
    <row r="568" customFormat="false" ht="15" hidden="false" customHeight="true" outlineLevel="0" collapsed="false">
      <c r="D568" s="9" t="str">
        <f aca="false">IF(A568="","",IF(C568="2P",OPR_2P!B$2,IF(C568="SEG",SEG_6P!B$2,IF(C568="SOL",SOL_4P!B$2,IF(C568="RW",RW_2P!B$2,IF(C568="RW2",RW2_4P!B$2,0))))))</f>
        <v/>
      </c>
      <c r="G568" s="26"/>
      <c r="I568" s="26"/>
    </row>
    <row r="569" customFormat="false" ht="15" hidden="false" customHeight="true" outlineLevel="0" collapsed="false">
      <c r="D569" s="9" t="str">
        <f aca="false">IF(A569="","",IF(C569="2P",OPR_2P!B$2,IF(C569="SEG",SEG_6P!B$2,IF(C569="SOL",SOL_4P!B$2,IF(C569="RW",RW_2P!B$2,IF(C569="RW2",RW2_4P!B$2,0))))))</f>
        <v/>
      </c>
      <c r="G569" s="26"/>
      <c r="I569" s="26"/>
    </row>
    <row r="570" customFormat="false" ht="15" hidden="false" customHeight="true" outlineLevel="0" collapsed="false">
      <c r="D570" s="9" t="str">
        <f aca="false">IF(A570="","",IF(C570="2P",OPR_2P!B$2,IF(C570="SEG",SEG_6P!B$2,IF(C570="SOL",SOL_4P!B$2,IF(C570="RW",RW_2P!B$2,IF(C570="RW2",RW2_4P!B$2,0))))))</f>
        <v/>
      </c>
      <c r="G570" s="26"/>
      <c r="I570" s="26"/>
    </row>
    <row r="571" customFormat="false" ht="15" hidden="false" customHeight="true" outlineLevel="0" collapsed="false">
      <c r="D571" s="9" t="str">
        <f aca="false">IF(A571="","",IF(C571="2P",OPR_2P!B$2,IF(C571="SEG",SEG_6P!B$2,IF(C571="SOL",SOL_4P!B$2,IF(C571="RW",RW_2P!B$2,IF(C571="RW2",RW2_4P!B$2,0))))))</f>
        <v/>
      </c>
      <c r="G571" s="26"/>
      <c r="I571" s="26"/>
    </row>
    <row r="572" customFormat="false" ht="15" hidden="false" customHeight="true" outlineLevel="0" collapsed="false">
      <c r="D572" s="9" t="str">
        <f aca="false">IF(A572="","",IF(C572="2P",OPR_2P!B$2,IF(C572="SEG",SEG_6P!B$2,IF(C572="SOL",SOL_4P!B$2,IF(C572="RW",RW_2P!B$2,IF(C572="RW2",RW2_4P!B$2,0))))))</f>
        <v/>
      </c>
      <c r="G572" s="26"/>
      <c r="I572" s="26"/>
    </row>
    <row r="573" customFormat="false" ht="15" hidden="false" customHeight="true" outlineLevel="0" collapsed="false">
      <c r="D573" s="9" t="str">
        <f aca="false">IF(A573="","",IF(C573="2P",OPR_2P!B$2,IF(C573="SEG",SEG_6P!B$2,IF(C573="SOL",SOL_4P!B$2,IF(C573="RW",RW_2P!B$2,IF(C573="RW2",RW2_4P!B$2,0))))))</f>
        <v/>
      </c>
      <c r="G573" s="26"/>
      <c r="I573" s="26"/>
    </row>
    <row r="574" customFormat="false" ht="15" hidden="false" customHeight="true" outlineLevel="0" collapsed="false">
      <c r="D574" s="9" t="str">
        <f aca="false">IF(A574="","",IF(C574="2P",OPR_2P!B$2,IF(C574="SEG",SEG_6P!B$2,IF(C574="SOL",SOL_4P!B$2,IF(C574="RW",RW_2P!B$2,IF(C574="RW2",RW2_4P!B$2,0))))))</f>
        <v/>
      </c>
      <c r="G574" s="26"/>
      <c r="I574" s="26"/>
    </row>
    <row r="575" customFormat="false" ht="15" hidden="false" customHeight="true" outlineLevel="0" collapsed="false">
      <c r="D575" s="9" t="str">
        <f aca="false">IF(A575="","",IF(C575="2P",OPR_2P!B$2,IF(C575="SEG",SEG_6P!B$2,IF(C575="SOL",SOL_4P!B$2,IF(C575="RW",RW_2P!B$2,IF(C575="RW2",RW2_4P!B$2,0))))))</f>
        <v/>
      </c>
      <c r="G575" s="26"/>
      <c r="I575" s="26"/>
    </row>
    <row r="576" customFormat="false" ht="15" hidden="false" customHeight="true" outlineLevel="0" collapsed="false">
      <c r="D576" s="9" t="str">
        <f aca="false">IF(A576="","",IF(C576="2P",OPR_2P!B$2,IF(C576="SEG",SEG_6P!B$2,IF(C576="SOL",SOL_4P!B$2,IF(C576="RW",RW_2P!B$2,IF(C576="RW2",RW2_4P!B$2,0))))))</f>
        <v/>
      </c>
      <c r="G576" s="26"/>
      <c r="I576" s="26"/>
    </row>
    <row r="577" customFormat="false" ht="15" hidden="false" customHeight="true" outlineLevel="0" collapsed="false">
      <c r="D577" s="9" t="str">
        <f aca="false">IF(A577="","",IF(C577="2P",OPR_2P!B$2,IF(C577="SEG",SEG_6P!B$2,IF(C577="SOL",SOL_4P!B$2,IF(C577="RW",RW_2P!B$2,IF(C577="RW2",RW2_4P!B$2,0))))))</f>
        <v/>
      </c>
      <c r="G577" s="26"/>
      <c r="I577" s="26"/>
    </row>
    <row r="578" customFormat="false" ht="15" hidden="false" customHeight="true" outlineLevel="0" collapsed="false">
      <c r="D578" s="9" t="str">
        <f aca="false">IF(A578="","",IF(C578="2P",OPR_2P!B$2,IF(C578="SEG",SEG_6P!B$2,IF(C578="SOL",SOL_4P!B$2,IF(C578="RW",RW_2P!B$2,IF(C578="RW2",RW2_4P!B$2,0))))))</f>
        <v/>
      </c>
      <c r="G578" s="26"/>
      <c r="I578" s="26"/>
    </row>
    <row r="579" customFormat="false" ht="15" hidden="false" customHeight="true" outlineLevel="0" collapsed="false">
      <c r="D579" s="9" t="str">
        <f aca="false">IF(A579="","",IF(C579="2P",OPR_2P!B$2,IF(C579="SEG",SEG_6P!B$2,IF(C579="SOL",SOL_4P!B$2,IF(C579="RW",RW_2P!B$2,IF(C579="RW2",RW2_4P!B$2,0))))))</f>
        <v/>
      </c>
      <c r="G579" s="26"/>
      <c r="I579" s="26"/>
    </row>
    <row r="580" customFormat="false" ht="15" hidden="false" customHeight="true" outlineLevel="0" collapsed="false">
      <c r="D580" s="9" t="str">
        <f aca="false">IF(A580="","",IF(C580="2P",OPR_2P!B$2,IF(C580="SEG",SEG_6P!B$2,IF(C580="SOL",SOL_4P!B$2,IF(C580="RW",RW_2P!B$2,IF(C580="RW2",RW2_4P!B$2,0))))))</f>
        <v/>
      </c>
      <c r="G580" s="26"/>
      <c r="I580" s="26"/>
    </row>
    <row r="581" customFormat="false" ht="15" hidden="false" customHeight="true" outlineLevel="0" collapsed="false">
      <c r="D581" s="9" t="str">
        <f aca="false">IF(A581="","",IF(C581="2P",OPR_2P!B$2,IF(C581="SEG",SEG_6P!B$2,IF(C581="SOL",SOL_4P!B$2,IF(C581="RW",RW_2P!B$2,IF(C581="RW2",RW2_4P!B$2,0))))))</f>
        <v/>
      </c>
      <c r="G581" s="26"/>
      <c r="I581" s="26"/>
    </row>
    <row r="582" customFormat="false" ht="15" hidden="false" customHeight="true" outlineLevel="0" collapsed="false">
      <c r="D582" s="9" t="str">
        <f aca="false">IF(A582="","",IF(C582="2P",OPR_2P!B$2,IF(C582="SEG",SEG_6P!B$2,IF(C582="SOL",SOL_4P!B$2,IF(C582="RW",RW_2P!B$2,IF(C582="RW2",RW2_4P!B$2,0))))))</f>
        <v/>
      </c>
      <c r="G582" s="26"/>
      <c r="I582" s="26"/>
    </row>
    <row r="583" customFormat="false" ht="15" hidden="false" customHeight="true" outlineLevel="0" collapsed="false">
      <c r="D583" s="9" t="str">
        <f aca="false">IF(A583="","",IF(C583="2P",OPR_2P!B$2,IF(C583="SEG",SEG_6P!B$2,IF(C583="SOL",SOL_4P!B$2,IF(C583="RW",RW_2P!B$2,IF(C583="RW2",RW2_4P!B$2,0))))))</f>
        <v/>
      </c>
      <c r="G583" s="26"/>
      <c r="I583" s="26"/>
    </row>
    <row r="584" customFormat="false" ht="15" hidden="false" customHeight="true" outlineLevel="0" collapsed="false">
      <c r="D584" s="9" t="str">
        <f aca="false">IF(A584="","",IF(C584="2P",OPR_2P!B$2,IF(C584="SEG",SEG_6P!B$2,IF(C584="SOL",SOL_4P!B$2,IF(C584="RW",RW_2P!B$2,IF(C584="RW2",RW2_4P!B$2,0))))))</f>
        <v/>
      </c>
      <c r="G584" s="26"/>
      <c r="I584" s="26"/>
    </row>
    <row r="585" customFormat="false" ht="15" hidden="false" customHeight="true" outlineLevel="0" collapsed="false">
      <c r="D585" s="9" t="str">
        <f aca="false">IF(A585="","",IF(C585="2P",OPR_2P!B$2,IF(C585="SEG",SEG_6P!B$2,IF(C585="SOL",SOL_4P!B$2,IF(C585="RW",RW_2P!B$2,IF(C585="RW2",RW2_4P!B$2,0))))))</f>
        <v/>
      </c>
      <c r="G585" s="26"/>
      <c r="I585" s="26"/>
    </row>
    <row r="586" customFormat="false" ht="15" hidden="false" customHeight="true" outlineLevel="0" collapsed="false">
      <c r="D586" s="9" t="str">
        <f aca="false">IF(A586="","",IF(C586="2P",OPR_2P!B$2,IF(C586="SEG",SEG_6P!B$2,IF(C586="SOL",SOL_4P!B$2,IF(C586="RW",RW_2P!B$2,IF(C586="RW2",RW2_4P!B$2,0))))))</f>
        <v/>
      </c>
      <c r="G586" s="26"/>
      <c r="I586" s="26"/>
    </row>
    <row r="587" customFormat="false" ht="15" hidden="false" customHeight="true" outlineLevel="0" collapsed="false">
      <c r="D587" s="9" t="str">
        <f aca="false">IF(A587="","",IF(C587="2P",OPR_2P!B$2,IF(C587="SEG",SEG_6P!B$2,IF(C587="SOL",SOL_4P!B$2,IF(C587="RW",RW_2P!B$2,IF(C587="RW2",RW2_4P!B$2,0))))))</f>
        <v/>
      </c>
      <c r="G587" s="26"/>
      <c r="I587" s="26"/>
    </row>
    <row r="588" customFormat="false" ht="15" hidden="false" customHeight="true" outlineLevel="0" collapsed="false">
      <c r="D588" s="9" t="str">
        <f aca="false">IF(A588="","",IF(C588="2P",OPR_2P!B$2,IF(C588="SEG",SEG_6P!B$2,IF(C588="SOL",SOL_4P!B$2,IF(C588="RW",RW_2P!B$2,IF(C588="RW2",RW2_4P!B$2,0))))))</f>
        <v/>
      </c>
      <c r="G588" s="26"/>
      <c r="I588" s="26"/>
    </row>
    <row r="589" customFormat="false" ht="15" hidden="false" customHeight="true" outlineLevel="0" collapsed="false">
      <c r="D589" s="9" t="str">
        <f aca="false">IF(A589="","",IF(C589="2P",OPR_2P!B$2,IF(C589="SEG",SEG_6P!B$2,IF(C589="SOL",SOL_4P!B$2,IF(C589="RW",RW_2P!B$2,IF(C589="RW2",RW2_4P!B$2,0))))))</f>
        <v/>
      </c>
      <c r="G589" s="26"/>
      <c r="I589" s="26"/>
    </row>
    <row r="590" customFormat="false" ht="15" hidden="false" customHeight="true" outlineLevel="0" collapsed="false">
      <c r="D590" s="9" t="str">
        <f aca="false">IF(A590="","",IF(C590="2P",OPR_2P!B$2,IF(C590="SEG",SEG_6P!B$2,IF(C590="SOL",SOL_4P!B$2,IF(C590="RW",RW_2P!B$2,IF(C590="RW2",RW2_4P!B$2,0))))))</f>
        <v/>
      </c>
      <c r="G590" s="26"/>
      <c r="I590" s="26"/>
    </row>
    <row r="591" customFormat="false" ht="15" hidden="false" customHeight="true" outlineLevel="0" collapsed="false">
      <c r="D591" s="9" t="str">
        <f aca="false">IF(A591="","",IF(C591="2P",OPR_2P!B$2,IF(C591="SEG",SEG_6P!B$2,IF(C591="SOL",SOL_4P!B$2,IF(C591="RW",RW_2P!B$2,IF(C591="RW2",RW2_4P!B$2,0))))))</f>
        <v/>
      </c>
      <c r="G591" s="26"/>
      <c r="I591" s="26"/>
    </row>
    <row r="592" customFormat="false" ht="15" hidden="false" customHeight="true" outlineLevel="0" collapsed="false">
      <c r="D592" s="9" t="str">
        <f aca="false">IF(A592="","",IF(C592="2P",OPR_2P!B$2,IF(C592="SEG",SEG_6P!B$2,IF(C592="SOL",SOL_4P!B$2,IF(C592="RW",RW_2P!B$2,IF(C592="RW2",RW2_4P!B$2,0))))))</f>
        <v/>
      </c>
      <c r="G592" s="26"/>
      <c r="I592" s="26"/>
    </row>
    <row r="593" customFormat="false" ht="15" hidden="false" customHeight="true" outlineLevel="0" collapsed="false">
      <c r="D593" s="9" t="str">
        <f aca="false">IF(A593="","",IF(C593="2P",OPR_2P!B$2,IF(C593="SEG",SEG_6P!B$2,IF(C593="SOL",SOL_4P!B$2,IF(C593="RW",RW_2P!B$2,IF(C593="RW2",RW2_4P!B$2,0))))))</f>
        <v/>
      </c>
      <c r="G593" s="26"/>
      <c r="I593" s="26"/>
    </row>
    <row r="594" customFormat="false" ht="15" hidden="false" customHeight="true" outlineLevel="0" collapsed="false">
      <c r="D594" s="9" t="str">
        <f aca="false">IF(A594="","",IF(C594="2P",OPR_2P!B$2,IF(C594="SEG",SEG_6P!B$2,IF(C594="SOL",SOL_4P!B$2,IF(C594="RW",RW_2P!B$2,IF(C594="RW2",RW2_4P!B$2,0))))))</f>
        <v/>
      </c>
      <c r="G594" s="26"/>
      <c r="I594" s="26"/>
    </row>
    <row r="595" customFormat="false" ht="15" hidden="false" customHeight="true" outlineLevel="0" collapsed="false">
      <c r="D595" s="9" t="str">
        <f aca="false">IF(A595="","",IF(C595="2P",OPR_2P!B$2,IF(C595="SEG",SEG_6P!B$2,IF(C595="SOL",SOL_4P!B$2,IF(C595="RW",RW_2P!B$2,IF(C595="RW2",RW2_4P!B$2,0))))))</f>
        <v/>
      </c>
      <c r="G595" s="26"/>
      <c r="I595" s="26"/>
    </row>
    <row r="596" customFormat="false" ht="15" hidden="false" customHeight="true" outlineLevel="0" collapsed="false">
      <c r="D596" s="9" t="str">
        <f aca="false">IF(A596="","",IF(C596="2P",OPR_2P!B$2,IF(C596="SEG",SEG_6P!B$2,IF(C596="SOL",SOL_4P!B$2,IF(C596="RW",RW_2P!B$2,IF(C596="RW2",RW2_4P!B$2,0))))))</f>
        <v/>
      </c>
      <c r="G596" s="26"/>
      <c r="I596" s="26"/>
    </row>
    <row r="597" customFormat="false" ht="15" hidden="false" customHeight="true" outlineLevel="0" collapsed="false">
      <c r="D597" s="9" t="str">
        <f aca="false">IF(A597="","",IF(C597="2P",OPR_2P!B$2,IF(C597="SEG",SEG_6P!B$2,IF(C597="SOL",SOL_4P!B$2,IF(C597="RW",RW_2P!B$2,IF(C597="RW2",RW2_4P!B$2,0))))))</f>
        <v/>
      </c>
      <c r="G597" s="26"/>
      <c r="I597" s="26"/>
    </row>
    <row r="598" customFormat="false" ht="15" hidden="false" customHeight="true" outlineLevel="0" collapsed="false">
      <c r="D598" s="9" t="str">
        <f aca="false">IF(A598="","",IF(C598="2P",OPR_2P!B$2,IF(C598="SEG",SEG_6P!B$2,IF(C598="SOL",SOL_4P!B$2,IF(C598="RW",RW_2P!B$2,IF(C598="RW2",RW2_4P!B$2,0))))))</f>
        <v/>
      </c>
      <c r="G598" s="26"/>
      <c r="I598" s="26"/>
    </row>
    <row r="599" customFormat="false" ht="15" hidden="false" customHeight="true" outlineLevel="0" collapsed="false">
      <c r="D599" s="9" t="str">
        <f aca="false">IF(A599="","",IF(C599="2P",OPR_2P!B$2,IF(C599="SEG",SEG_6P!B$2,IF(C599="SOL",SOL_4P!B$2,IF(C599="RW",RW_2P!B$2,IF(C599="RW2",RW2_4P!B$2,0))))))</f>
        <v/>
      </c>
      <c r="G599" s="26"/>
      <c r="I599" s="26"/>
    </row>
    <row r="600" customFormat="false" ht="15" hidden="false" customHeight="true" outlineLevel="0" collapsed="false">
      <c r="D600" s="9" t="str">
        <f aca="false">IF(A600="","",IF(C600="2P",OPR_2P!B$2,IF(C600="SEG",SEG_6P!B$2,IF(C600="SOL",SOL_4P!B$2,IF(C600="RW",RW_2P!B$2,IF(C600="RW2",RW2_4P!B$2,0))))))</f>
        <v/>
      </c>
      <c r="G600" s="26"/>
      <c r="I600" s="26"/>
    </row>
    <row r="601" customFormat="false" ht="15" hidden="false" customHeight="true" outlineLevel="0" collapsed="false">
      <c r="D601" s="9" t="str">
        <f aca="false">IF(A601="","",IF(C601="2P",OPR_2P!B$2,IF(C601="SEG",SEG_6P!B$2,IF(C601="SOL",SOL_4P!B$2,IF(C601="RW",RW_2P!B$2,IF(C601="RW2",RW2_4P!B$2,0))))))</f>
        <v/>
      </c>
      <c r="G601" s="26"/>
      <c r="I601" s="26"/>
    </row>
    <row r="602" customFormat="false" ht="15" hidden="false" customHeight="true" outlineLevel="0" collapsed="false">
      <c r="D602" s="9" t="str">
        <f aca="false">IF(A602="","",IF(C602="2P",OPR_2P!B$2,IF(C602="SEG",SEG_6P!B$2,IF(C602="SOL",SOL_4P!B$2,IF(C602="RW",RW_2P!B$2,IF(C602="RW2",RW2_4P!B$2,0))))))</f>
        <v/>
      </c>
      <c r="G602" s="26"/>
      <c r="I602" s="26"/>
    </row>
    <row r="603" customFormat="false" ht="15" hidden="false" customHeight="true" outlineLevel="0" collapsed="false">
      <c r="D603" s="9" t="str">
        <f aca="false">IF(A603="","",IF(C603="2P",OPR_2P!B$2,IF(C603="SEG",SEG_6P!B$2,IF(C603="SOL",SOL_4P!B$2,IF(C603="RW",RW_2P!B$2,IF(C603="RW2",RW2_4P!B$2,0))))))</f>
        <v/>
      </c>
      <c r="G603" s="26"/>
      <c r="I603" s="26"/>
    </row>
    <row r="604" customFormat="false" ht="15" hidden="false" customHeight="true" outlineLevel="0" collapsed="false">
      <c r="D604" s="9" t="str">
        <f aca="false">IF(A604="","",IF(C604="2P",OPR_2P!B$2,IF(C604="SEG",SEG_6P!B$2,IF(C604="SOL",SOL_4P!B$2,IF(C604="RW",RW_2P!B$2,IF(C604="RW2",RW2_4P!B$2,0))))))</f>
        <v/>
      </c>
      <c r="G604" s="26"/>
      <c r="I604" s="26"/>
    </row>
    <row r="605" customFormat="false" ht="15" hidden="false" customHeight="true" outlineLevel="0" collapsed="false">
      <c r="D605" s="9" t="str">
        <f aca="false">IF(A605="","",IF(C605="2P",OPR_2P!B$2,IF(C605="SEG",SEG_6P!B$2,IF(C605="SOL",SOL_4P!B$2,IF(C605="RW",RW_2P!B$2,IF(C605="RW2",RW2_4P!B$2,0))))))</f>
        <v/>
      </c>
      <c r="G605" s="26"/>
      <c r="I605" s="26"/>
    </row>
    <row r="606" customFormat="false" ht="15" hidden="false" customHeight="true" outlineLevel="0" collapsed="false">
      <c r="D606" s="9" t="str">
        <f aca="false">IF(A606="","",IF(C606="2P",OPR_2P!B$2,IF(C606="SEG",SEG_6P!B$2,IF(C606="SOL",SOL_4P!B$2,IF(C606="RW",RW_2P!B$2,IF(C606="RW2",RW2_4P!B$2,0))))))</f>
        <v/>
      </c>
      <c r="G606" s="26"/>
      <c r="I606" s="26"/>
    </row>
    <row r="607" customFormat="false" ht="15" hidden="false" customHeight="true" outlineLevel="0" collapsed="false">
      <c r="D607" s="9" t="str">
        <f aca="false">IF(A607="","",IF(C607="2P",OPR_2P!B$2,IF(C607="SEG",SEG_6P!B$2,IF(C607="SOL",SOL_4P!B$2,IF(C607="RW",RW_2P!B$2,IF(C607="RW2",RW2_4P!B$2,0))))))</f>
        <v/>
      </c>
      <c r="G607" s="26"/>
      <c r="I607" s="26"/>
    </row>
    <row r="608" customFormat="false" ht="15" hidden="false" customHeight="true" outlineLevel="0" collapsed="false">
      <c r="D608" s="9" t="str">
        <f aca="false">IF(A608="","",IF(C608="2P",OPR_2P!B$2,IF(C608="SEG",SEG_6P!B$2,IF(C608="SOL",SOL_4P!B$2,IF(C608="RW",RW_2P!B$2,IF(C608="RW2",RW2_4P!B$2,0))))))</f>
        <v/>
      </c>
      <c r="G608" s="26"/>
      <c r="I608" s="26"/>
    </row>
    <row r="609" customFormat="false" ht="15" hidden="false" customHeight="true" outlineLevel="0" collapsed="false">
      <c r="D609" s="9" t="str">
        <f aca="false">IF(A609="","",IF(C609="2P",OPR_2P!B$2,IF(C609="SEG",SEG_6P!B$2,IF(C609="SOL",SOL_4P!B$2,IF(C609="RW",RW_2P!B$2,IF(C609="RW2",RW2_4P!B$2,0))))))</f>
        <v/>
      </c>
      <c r="G609" s="26"/>
      <c r="I609" s="26"/>
    </row>
    <row r="610" customFormat="false" ht="15" hidden="false" customHeight="true" outlineLevel="0" collapsed="false">
      <c r="D610" s="9" t="str">
        <f aca="false">IF(A610="","",IF(C610="2P",OPR_2P!B$2,IF(C610="SEG",SEG_6P!B$2,IF(C610="SOL",SOL_4P!B$2,IF(C610="RW",RW_2P!B$2,IF(C610="RW2",RW2_4P!B$2,0))))))</f>
        <v/>
      </c>
      <c r="G610" s="26"/>
      <c r="I610" s="26"/>
    </row>
    <row r="611" customFormat="false" ht="15" hidden="false" customHeight="true" outlineLevel="0" collapsed="false">
      <c r="D611" s="9" t="str">
        <f aca="false">IF(A611="","",IF(C611="2P",OPR_2P!B$2,IF(C611="SEG",SEG_6P!B$2,IF(C611="SOL",SOL_4P!B$2,IF(C611="RW",RW_2P!B$2,IF(C611="RW2",RW2_4P!B$2,0))))))</f>
        <v/>
      </c>
      <c r="G611" s="26"/>
      <c r="I611" s="26"/>
    </row>
    <row r="612" customFormat="false" ht="15" hidden="false" customHeight="true" outlineLevel="0" collapsed="false">
      <c r="D612" s="9" t="str">
        <f aca="false">IF(A612="","",IF(C612="2P",OPR_2P!B$2,IF(C612="SEG",SEG_6P!B$2,IF(C612="SOL",SOL_4P!B$2,IF(C612="RW",RW_2P!B$2,IF(C612="RW2",RW2_4P!B$2,0))))))</f>
        <v/>
      </c>
      <c r="G612" s="26"/>
      <c r="I612" s="26"/>
    </row>
    <row r="613" customFormat="false" ht="15" hidden="false" customHeight="true" outlineLevel="0" collapsed="false">
      <c r="D613" s="9" t="str">
        <f aca="false">IF(A613="","",IF(C613="2P",OPR_2P!B$2,IF(C613="SEG",SEG_6P!B$2,IF(C613="SOL",SOL_4P!B$2,IF(C613="RW",RW_2P!B$2,IF(C613="RW2",RW2_4P!B$2,0))))))</f>
        <v/>
      </c>
      <c r="G613" s="26"/>
      <c r="I613" s="26"/>
    </row>
    <row r="614" customFormat="false" ht="15" hidden="false" customHeight="true" outlineLevel="0" collapsed="false">
      <c r="D614" s="9" t="str">
        <f aca="false">IF(A614="","",IF(C614="2P",OPR_2P!B$2,IF(C614="SEG",SEG_6P!B$2,IF(C614="SOL",SOL_4P!B$2,IF(C614="RW",RW_2P!B$2,IF(C614="RW2",RW2_4P!B$2,0))))))</f>
        <v/>
      </c>
      <c r="G614" s="26"/>
      <c r="I614" s="26"/>
    </row>
    <row r="615" customFormat="false" ht="15" hidden="false" customHeight="true" outlineLevel="0" collapsed="false">
      <c r="D615" s="9" t="str">
        <f aca="false">IF(A615="","",IF(C615="2P",OPR_2P!B$2,IF(C615="SEG",SEG_6P!B$2,IF(C615="SOL",SOL_4P!B$2,IF(C615="RW",RW_2P!B$2,IF(C615="RW2",RW2_4P!B$2,0))))))</f>
        <v/>
      </c>
      <c r="G615" s="26"/>
      <c r="I615" s="26"/>
    </row>
    <row r="616" customFormat="false" ht="15" hidden="false" customHeight="true" outlineLevel="0" collapsed="false">
      <c r="D616" s="9" t="str">
        <f aca="false">IF(A616="","",IF(C616="2P",OPR_2P!B$2,IF(C616="SEG",SEG_6P!B$2,IF(C616="SOL",SOL_4P!B$2,IF(C616="RW",RW_2P!B$2,IF(C616="RW2",RW2_4P!B$2,0))))))</f>
        <v/>
      </c>
      <c r="G616" s="26"/>
      <c r="I616" s="26"/>
    </row>
    <row r="617" customFormat="false" ht="15" hidden="false" customHeight="true" outlineLevel="0" collapsed="false">
      <c r="D617" s="9" t="str">
        <f aca="false">IF(A617="","",IF(C617="2P",OPR_2P!B$2,IF(C617="SEG",SEG_6P!B$2,IF(C617="SOL",SOL_4P!B$2,IF(C617="RW",RW_2P!B$2,IF(C617="RW2",RW2_4P!B$2,0))))))</f>
        <v/>
      </c>
      <c r="G617" s="26"/>
      <c r="I617" s="26"/>
    </row>
    <row r="618" customFormat="false" ht="15" hidden="false" customHeight="true" outlineLevel="0" collapsed="false">
      <c r="D618" s="9" t="str">
        <f aca="false">IF(A618="","",IF(C618="2P",OPR_2P!B$2,IF(C618="SEG",SEG_6P!B$2,IF(C618="SOL",SOL_4P!B$2,IF(C618="RW",RW_2P!B$2,IF(C618="RW2",RW2_4P!B$2,0))))))</f>
        <v/>
      </c>
      <c r="G618" s="26"/>
      <c r="I618" s="26"/>
    </row>
    <row r="619" customFormat="false" ht="15" hidden="false" customHeight="true" outlineLevel="0" collapsed="false">
      <c r="D619" s="9" t="str">
        <f aca="false">IF(A619="","",IF(C619="2P",OPR_2P!B$2,IF(C619="SEG",SEG_6P!B$2,IF(C619="SOL",SOL_4P!B$2,IF(C619="RW",RW_2P!B$2,IF(C619="RW2",RW2_4P!B$2,0))))))</f>
        <v/>
      </c>
      <c r="G619" s="26"/>
      <c r="I619" s="26"/>
    </row>
    <row r="620" customFormat="false" ht="15" hidden="false" customHeight="true" outlineLevel="0" collapsed="false">
      <c r="D620" s="9" t="str">
        <f aca="false">IF(A620="","",IF(C620="2P",OPR_2P!B$2,IF(C620="SEG",SEG_6P!B$2,IF(C620="SOL",SOL_4P!B$2,IF(C620="RW",RW_2P!B$2,IF(C620="RW2",RW2_4P!B$2,0))))))</f>
        <v/>
      </c>
      <c r="G620" s="26"/>
      <c r="I620" s="26"/>
    </row>
    <row r="621" customFormat="false" ht="15" hidden="false" customHeight="true" outlineLevel="0" collapsed="false">
      <c r="D621" s="9" t="str">
        <f aca="false">IF(A621="","",IF(C621="2P",OPR_2P!B$2,IF(C621="SEG",SEG_6P!B$2,IF(C621="SOL",SOL_4P!B$2,IF(C621="RW",RW_2P!B$2,IF(C621="RW2",RW2_4P!B$2,0))))))</f>
        <v/>
      </c>
      <c r="G621" s="26"/>
      <c r="I621" s="26"/>
    </row>
    <row r="622" customFormat="false" ht="15" hidden="false" customHeight="true" outlineLevel="0" collapsed="false">
      <c r="D622" s="9" t="str">
        <f aca="false">IF(A622="","",IF(C622="2P",OPR_2P!B$2,IF(C622="SEG",SEG_6P!B$2,IF(C622="SOL",SOL_4P!B$2,IF(C622="RW",RW_2P!B$2,IF(C622="RW2",RW2_4P!B$2,0))))))</f>
        <v/>
      </c>
      <c r="G622" s="26"/>
      <c r="I622" s="26"/>
    </row>
    <row r="623" customFormat="false" ht="15" hidden="false" customHeight="true" outlineLevel="0" collapsed="false">
      <c r="D623" s="9" t="str">
        <f aca="false">IF(A623="","",IF(C623="2P",OPR_2P!B$2,IF(C623="SEG",SEG_6P!B$2,IF(C623="SOL",SOL_4P!B$2,IF(C623="RW",RW_2P!B$2,IF(C623="RW2",RW2_4P!B$2,0))))))</f>
        <v/>
      </c>
      <c r="G623" s="26"/>
      <c r="I623" s="26"/>
    </row>
    <row r="624" customFormat="false" ht="15" hidden="false" customHeight="true" outlineLevel="0" collapsed="false">
      <c r="D624" s="9" t="str">
        <f aca="false">IF(A624="","",IF(C624="2P",OPR_2P!B$2,IF(C624="SEG",SEG_6P!B$2,IF(C624="SOL",SOL_4P!B$2,IF(C624="RW",RW_2P!B$2,IF(C624="RW2",RW2_4P!B$2,0))))))</f>
        <v/>
      </c>
      <c r="G624" s="26"/>
      <c r="I624" s="26"/>
    </row>
    <row r="625" customFormat="false" ht="15" hidden="false" customHeight="true" outlineLevel="0" collapsed="false">
      <c r="D625" s="9" t="str">
        <f aca="false">IF(A625="","",IF(C625="2P",OPR_2P!B$2,IF(C625="SEG",SEG_6P!B$2,IF(C625="SOL",SOL_4P!B$2,IF(C625="RW",RW_2P!B$2,IF(C625="RW2",RW2_4P!B$2,0))))))</f>
        <v/>
      </c>
      <c r="G625" s="26"/>
      <c r="I625" s="26"/>
    </row>
    <row r="626" customFormat="false" ht="15" hidden="false" customHeight="true" outlineLevel="0" collapsed="false">
      <c r="D626" s="9" t="str">
        <f aca="false">IF(A626="","",IF(C626="2P",OPR_2P!B$2,IF(C626="SEG",SEG_6P!B$2,IF(C626="SOL",SOL_4P!B$2,IF(C626="RW",RW_2P!B$2,IF(C626="RW2",RW2_4P!B$2,0))))))</f>
        <v/>
      </c>
      <c r="G626" s="26"/>
      <c r="I626" s="26"/>
    </row>
    <row r="627" customFormat="false" ht="15" hidden="false" customHeight="true" outlineLevel="0" collapsed="false">
      <c r="D627" s="9" t="str">
        <f aca="false">IF(A627="","",IF(C627="2P",OPR_2P!B$2,IF(C627="SEG",SEG_6P!B$2,IF(C627="SOL",SOL_4P!B$2,IF(C627="RW",RW_2P!B$2,IF(C627="RW2",RW2_4P!B$2,0))))))</f>
        <v/>
      </c>
      <c r="G627" s="26"/>
      <c r="I627" s="26"/>
    </row>
    <row r="628" customFormat="false" ht="15" hidden="false" customHeight="true" outlineLevel="0" collapsed="false">
      <c r="D628" s="9" t="str">
        <f aca="false">IF(A628="","",IF(C628="2P",OPR_2P!B$2,IF(C628="SEG",SEG_6P!B$2,IF(C628="SOL",SOL_4P!B$2,IF(C628="RW",RW_2P!B$2,IF(C628="RW2",RW2_4P!B$2,0))))))</f>
        <v/>
      </c>
      <c r="G628" s="26"/>
      <c r="I628" s="26"/>
    </row>
    <row r="629" customFormat="false" ht="15" hidden="false" customHeight="true" outlineLevel="0" collapsed="false">
      <c r="D629" s="9" t="str">
        <f aca="false">IF(A629="","",IF(C629="2P",OPR_2P!B$2,IF(C629="SEG",SEG_6P!B$2,IF(C629="SOL",SOL_4P!B$2,IF(C629="RW",RW_2P!B$2,IF(C629="RW2",RW2_4P!B$2,0))))))</f>
        <v/>
      </c>
      <c r="G629" s="26"/>
      <c r="I629" s="26"/>
    </row>
    <row r="630" customFormat="false" ht="15" hidden="false" customHeight="true" outlineLevel="0" collapsed="false">
      <c r="D630" s="9" t="str">
        <f aca="false">IF(A630="","",IF(C630="2P",OPR_2P!B$2,IF(C630="SEG",SEG_6P!B$2,IF(C630="SOL",SOL_4P!B$2,IF(C630="RW",RW_2P!B$2,IF(C630="RW2",RW2_4P!B$2,0))))))</f>
        <v/>
      </c>
      <c r="G630" s="26"/>
      <c r="I630" s="26"/>
    </row>
    <row r="631" customFormat="false" ht="15" hidden="false" customHeight="true" outlineLevel="0" collapsed="false">
      <c r="D631" s="9" t="str">
        <f aca="false">IF(A631="","",IF(C631="2P",OPR_2P!B$2,IF(C631="SEG",SEG_6P!B$2,IF(C631="SOL",SOL_4P!B$2,IF(C631="RW",RW_2P!B$2,IF(C631="RW2",RW2_4P!B$2,0))))))</f>
        <v/>
      </c>
      <c r="G631" s="26"/>
      <c r="I631" s="26"/>
    </row>
    <row r="632" customFormat="false" ht="15" hidden="false" customHeight="true" outlineLevel="0" collapsed="false">
      <c r="D632" s="9" t="str">
        <f aca="false">IF(A632="","",IF(C632="2P",OPR_2P!B$2,IF(C632="SEG",SEG_6P!B$2,IF(C632="SOL",SOL_4P!B$2,IF(C632="RW",RW_2P!B$2,IF(C632="RW2",RW2_4P!B$2,0))))))</f>
        <v/>
      </c>
      <c r="G632" s="26"/>
      <c r="I632" s="26"/>
    </row>
    <row r="633" customFormat="false" ht="15" hidden="false" customHeight="true" outlineLevel="0" collapsed="false">
      <c r="D633" s="9" t="str">
        <f aca="false">IF(A633="","",IF(C633="2P",OPR_2P!B$2,IF(C633="SEG",SEG_6P!B$2,IF(C633="SOL",SOL_4P!B$2,IF(C633="RW",RW_2P!B$2,IF(C633="RW2",RW2_4P!B$2,0))))))</f>
        <v/>
      </c>
      <c r="G633" s="26"/>
      <c r="I633" s="26"/>
    </row>
    <row r="634" customFormat="false" ht="15" hidden="false" customHeight="true" outlineLevel="0" collapsed="false">
      <c r="D634" s="9" t="str">
        <f aca="false">IF(A634="","",IF(C634="2P",OPR_2P!B$2,IF(C634="SEG",SEG_6P!B$2,IF(C634="SOL",SOL_4P!B$2,IF(C634="RW",RW_2P!B$2,IF(C634="RW2",RW2_4P!B$2,0))))))</f>
        <v/>
      </c>
      <c r="G634" s="26"/>
      <c r="I634" s="26"/>
    </row>
    <row r="635" customFormat="false" ht="15" hidden="false" customHeight="true" outlineLevel="0" collapsed="false">
      <c r="D635" s="9" t="str">
        <f aca="false">IF(A635="","",IF(C635="2P",OPR_2P!B$2,IF(C635="SEG",SEG_6P!B$2,IF(C635="SOL",SOL_4P!B$2,IF(C635="RW",RW_2P!B$2,IF(C635="RW2",RW2_4P!B$2,0))))))</f>
        <v/>
      </c>
      <c r="G635" s="26"/>
      <c r="I635" s="26"/>
    </row>
    <row r="636" customFormat="false" ht="15" hidden="false" customHeight="true" outlineLevel="0" collapsed="false">
      <c r="D636" s="9" t="str">
        <f aca="false">IF(A636="","",IF(C636="2P",OPR_2P!B$2,IF(C636="SEG",SEG_6P!B$2,IF(C636="SOL",SOL_4P!B$2,IF(C636="RW",RW_2P!B$2,IF(C636="RW2",RW2_4P!B$2,0))))))</f>
        <v/>
      </c>
      <c r="G636" s="26"/>
      <c r="I636" s="26"/>
    </row>
    <row r="637" customFormat="false" ht="15" hidden="false" customHeight="true" outlineLevel="0" collapsed="false">
      <c r="D637" s="9" t="str">
        <f aca="false">IF(A637="","",IF(C637="2P",OPR_2P!B$2,IF(C637="SEG",SEG_6P!B$2,IF(C637="SOL",SOL_4P!B$2,IF(C637="RW",RW_2P!B$2,IF(C637="RW2",RW2_4P!B$2,0))))))</f>
        <v/>
      </c>
      <c r="G637" s="26"/>
      <c r="I637" s="26"/>
    </row>
    <row r="638" customFormat="false" ht="15" hidden="false" customHeight="true" outlineLevel="0" collapsed="false">
      <c r="D638" s="9" t="str">
        <f aca="false">IF(A638="","",IF(C638="2P",OPR_2P!B$2,IF(C638="SEG",SEG_6P!B$2,IF(C638="SOL",SOL_4P!B$2,IF(C638="RW",RW_2P!B$2,IF(C638="RW2",RW2_4P!B$2,0))))))</f>
        <v/>
      </c>
      <c r="G638" s="26"/>
      <c r="I638" s="26"/>
    </row>
    <row r="639" customFormat="false" ht="15" hidden="false" customHeight="true" outlineLevel="0" collapsed="false">
      <c r="D639" s="9" t="str">
        <f aca="false">IF(A639="","",IF(C639="2P",OPR_2P!B$2,IF(C639="SEG",SEG_6P!B$2,IF(C639="SOL",SOL_4P!B$2,IF(C639="RW",RW_2P!B$2,IF(C639="RW2",RW2_4P!B$2,0))))))</f>
        <v/>
      </c>
      <c r="G639" s="26"/>
      <c r="I639" s="26"/>
    </row>
    <row r="640" customFormat="false" ht="15" hidden="false" customHeight="true" outlineLevel="0" collapsed="false">
      <c r="D640" s="9" t="str">
        <f aca="false">IF(A640="","",IF(C640="2P",OPR_2P!B$2,IF(C640="SEG",SEG_6P!B$2,IF(C640="SOL",SOL_4P!B$2,IF(C640="RW",RW_2P!B$2,IF(C640="RW2",RW2_4P!B$2,0))))))</f>
        <v/>
      </c>
      <c r="G640" s="26"/>
      <c r="I640" s="26"/>
    </row>
    <row r="641" customFormat="false" ht="15" hidden="false" customHeight="true" outlineLevel="0" collapsed="false">
      <c r="D641" s="9" t="str">
        <f aca="false">IF(A641="","",IF(C641="2P",OPR_2P!B$2,IF(C641="SEG",SEG_6P!B$2,IF(C641="SOL",SOL_4P!B$2,IF(C641="RW",RW_2P!B$2,IF(C641="RW2",RW2_4P!B$2,0))))))</f>
        <v/>
      </c>
      <c r="G641" s="26"/>
      <c r="I641" s="26"/>
    </row>
    <row r="642" customFormat="false" ht="15" hidden="false" customHeight="true" outlineLevel="0" collapsed="false">
      <c r="D642" s="9" t="str">
        <f aca="false">IF(A642="","",IF(C642="2P",OPR_2P!B$2,IF(C642="SEG",SEG_6P!B$2,IF(C642="SOL",SOL_4P!B$2,IF(C642="RW",RW_2P!B$2,IF(C642="RW2",RW2_4P!B$2,0))))))</f>
        <v/>
      </c>
      <c r="G642" s="26"/>
      <c r="I642" s="26"/>
    </row>
    <row r="643" customFormat="false" ht="15" hidden="false" customHeight="true" outlineLevel="0" collapsed="false">
      <c r="D643" s="9" t="str">
        <f aca="false">IF(A643="","",IF(C643="2P",OPR_2P!B$2,IF(C643="SEG",SEG_6P!B$2,IF(C643="SOL",SOL_4P!B$2,IF(C643="RW",RW_2P!B$2,IF(C643="RW2",RW2_4P!B$2,0))))))</f>
        <v/>
      </c>
      <c r="G643" s="26"/>
      <c r="I643" s="26"/>
    </row>
    <row r="644" customFormat="false" ht="15" hidden="false" customHeight="true" outlineLevel="0" collapsed="false">
      <c r="D644" s="9" t="str">
        <f aca="false">IF(A644="","",IF(C644="2P",OPR_2P!B$2,IF(C644="SEG",SEG_6P!B$2,IF(C644="SOL",SOL_4P!B$2,IF(C644="RW",RW_2P!B$2,IF(C644="RW2",RW2_4P!B$2,0))))))</f>
        <v/>
      </c>
      <c r="G644" s="26"/>
      <c r="I644" s="26"/>
    </row>
    <row r="645" customFormat="false" ht="15" hidden="false" customHeight="true" outlineLevel="0" collapsed="false">
      <c r="D645" s="9" t="str">
        <f aca="false">IF(A645="","",IF(C645="2P",OPR_2P!B$2,IF(C645="SEG",SEG_6P!B$2,IF(C645="SOL",SOL_4P!B$2,IF(C645="RW",RW_2P!B$2,IF(C645="RW2",RW2_4P!B$2,0))))))</f>
        <v/>
      </c>
      <c r="G645" s="26"/>
      <c r="I645" s="26"/>
    </row>
    <row r="646" customFormat="false" ht="15" hidden="false" customHeight="true" outlineLevel="0" collapsed="false">
      <c r="D646" s="9" t="str">
        <f aca="false">IF(A646="","",IF(C646="2P",OPR_2P!B$2,IF(C646="SEG",SEG_6P!B$2,IF(C646="SOL",SOL_4P!B$2,IF(C646="RW",RW_2P!B$2,IF(C646="RW2",RW2_4P!B$2,0))))))</f>
        <v/>
      </c>
      <c r="G646" s="26"/>
      <c r="I646" s="26"/>
    </row>
    <row r="647" customFormat="false" ht="15" hidden="false" customHeight="true" outlineLevel="0" collapsed="false">
      <c r="D647" s="9" t="str">
        <f aca="false">IF(A647="","",IF(C647="2P",OPR_2P!B$2,IF(C647="SEG",SEG_6P!B$2,IF(C647="SOL",SOL_4P!B$2,IF(C647="RW",RW_2P!B$2,IF(C647="RW2",RW2_4P!B$2,0))))))</f>
        <v/>
      </c>
      <c r="G647" s="26"/>
      <c r="I647" s="26"/>
    </row>
    <row r="648" customFormat="false" ht="15" hidden="false" customHeight="true" outlineLevel="0" collapsed="false">
      <c r="D648" s="9" t="str">
        <f aca="false">IF(A648="","",IF(C648="2P",OPR_2P!B$2,IF(C648="SEG",SEG_6P!B$2,IF(C648="SOL",SOL_4P!B$2,IF(C648="RW",RW_2P!B$2,IF(C648="RW2",RW2_4P!B$2,0))))))</f>
        <v/>
      </c>
      <c r="G648" s="26"/>
      <c r="I648" s="26"/>
    </row>
    <row r="649" customFormat="false" ht="15" hidden="false" customHeight="true" outlineLevel="0" collapsed="false">
      <c r="D649" s="9" t="str">
        <f aca="false">IF(A649="","",IF(C649="2P",OPR_2P!B$2,IF(C649="SEG",SEG_6P!B$2,IF(C649="SOL",SOL_4P!B$2,IF(C649="RW",RW_2P!B$2,IF(C649="RW2",RW2_4P!B$2,0))))))</f>
        <v/>
      </c>
      <c r="G649" s="26"/>
      <c r="I649" s="26"/>
    </row>
    <row r="650" customFormat="false" ht="15" hidden="false" customHeight="true" outlineLevel="0" collapsed="false">
      <c r="D650" s="9" t="str">
        <f aca="false">IF(A650="","",IF(C650="2P",OPR_2P!B$2,IF(C650="SEG",SEG_6P!B$2,IF(C650="SOL",SOL_4P!B$2,IF(C650="RW",RW_2P!B$2,IF(C650="RW2",RW2_4P!B$2,0))))))</f>
        <v/>
      </c>
      <c r="G650" s="26"/>
      <c r="I650" s="26"/>
    </row>
    <row r="651" customFormat="false" ht="15" hidden="false" customHeight="true" outlineLevel="0" collapsed="false">
      <c r="D651" s="9" t="str">
        <f aca="false">IF(A651="","",IF(C651="2P",OPR_2P!B$2,IF(C651="SEG",SEG_6P!B$2,IF(C651="SOL",SOL_4P!B$2,IF(C651="RW",RW_2P!B$2,IF(C651="RW2",RW2_4P!B$2,0))))))</f>
        <v/>
      </c>
      <c r="G651" s="26"/>
      <c r="I651" s="26"/>
    </row>
    <row r="652" customFormat="false" ht="15" hidden="false" customHeight="true" outlineLevel="0" collapsed="false">
      <c r="D652" s="9" t="str">
        <f aca="false">IF(A652="","",IF(C652="2P",OPR_2P!B$2,IF(C652="SEG",SEG_6P!B$2,IF(C652="SOL",SOL_4P!B$2,IF(C652="RW",RW_2P!B$2,IF(C652="RW2",RW2_4P!B$2,0))))))</f>
        <v/>
      </c>
      <c r="G652" s="26"/>
      <c r="I652" s="26"/>
    </row>
    <row r="653" customFormat="false" ht="15" hidden="false" customHeight="true" outlineLevel="0" collapsed="false">
      <c r="D653" s="9" t="str">
        <f aca="false">IF(A653="","",IF(C653="2P",OPR_2P!B$2,IF(C653="SEG",SEG_6P!B$2,IF(C653="SOL",SOL_4P!B$2,IF(C653="RW",RW_2P!B$2,IF(C653="RW2",RW2_4P!B$2,0))))))</f>
        <v/>
      </c>
      <c r="G653" s="26"/>
      <c r="I653" s="26"/>
    </row>
    <row r="654" customFormat="false" ht="15" hidden="false" customHeight="true" outlineLevel="0" collapsed="false">
      <c r="D654" s="9" t="str">
        <f aca="false">IF(A654="","",IF(C654="2P",OPR_2P!B$2,IF(C654="SEG",SEG_6P!B$2,IF(C654="SOL",SOL_4P!B$2,IF(C654="RW",RW_2P!B$2,IF(C654="RW2",RW2_4P!B$2,0))))))</f>
        <v/>
      </c>
      <c r="G654" s="26"/>
      <c r="I654" s="26"/>
    </row>
    <row r="655" customFormat="false" ht="15" hidden="false" customHeight="true" outlineLevel="0" collapsed="false">
      <c r="D655" s="9" t="str">
        <f aca="false">IF(A655="","",IF(C655="2P",OPR_2P!B$2,IF(C655="SEG",SEG_6P!B$2,IF(C655="SOL",SOL_4P!B$2,IF(C655="RW",RW_2P!B$2,IF(C655="RW2",RW2_4P!B$2,0))))))</f>
        <v/>
      </c>
      <c r="G655" s="26"/>
      <c r="I655" s="26"/>
    </row>
    <row r="656" customFormat="false" ht="15" hidden="false" customHeight="true" outlineLevel="0" collapsed="false">
      <c r="D656" s="9" t="str">
        <f aca="false">IF(A656="","",IF(C656="2P",OPR_2P!B$2,IF(C656="SEG",SEG_6P!B$2,IF(C656="SOL",SOL_4P!B$2,IF(C656="RW",RW_2P!B$2,IF(C656="RW2",RW2_4P!B$2,0))))))</f>
        <v/>
      </c>
      <c r="G656" s="26"/>
      <c r="I656" s="26"/>
    </row>
    <row r="657" customFormat="false" ht="15" hidden="false" customHeight="true" outlineLevel="0" collapsed="false">
      <c r="D657" s="9" t="str">
        <f aca="false">IF(A657="","",IF(C657="2P",OPR_2P!B$2,IF(C657="SEG",SEG_6P!B$2,IF(C657="SOL",SOL_4P!B$2,IF(C657="RW",RW_2P!B$2,IF(C657="RW2",RW2_4P!B$2,0))))))</f>
        <v/>
      </c>
      <c r="G657" s="26"/>
      <c r="I657" s="26"/>
    </row>
    <row r="658" customFormat="false" ht="15" hidden="false" customHeight="true" outlineLevel="0" collapsed="false">
      <c r="D658" s="9" t="str">
        <f aca="false">IF(A658="","",IF(C658="2P",OPR_2P!B$2,IF(C658="SEG",SEG_6P!B$2,IF(C658="SOL",SOL_4P!B$2,IF(C658="RW",RW_2P!B$2,IF(C658="RW2",RW2_4P!B$2,0))))))</f>
        <v/>
      </c>
      <c r="G658" s="26"/>
      <c r="I658" s="26"/>
    </row>
    <row r="659" customFormat="false" ht="15" hidden="false" customHeight="true" outlineLevel="0" collapsed="false">
      <c r="D659" s="9" t="str">
        <f aca="false">IF(A659="","",IF(C659="2P",OPR_2P!B$2,IF(C659="SEG",SEG_6P!B$2,IF(C659="SOL",SOL_4P!B$2,IF(C659="RW",RW_2P!B$2,IF(C659="RW2",RW2_4P!B$2,0))))))</f>
        <v/>
      </c>
      <c r="G659" s="26"/>
      <c r="I659" s="26"/>
    </row>
    <row r="660" customFormat="false" ht="15" hidden="false" customHeight="true" outlineLevel="0" collapsed="false">
      <c r="D660" s="9" t="str">
        <f aca="false">IF(A660="","",IF(C660="2P",OPR_2P!B$2,IF(C660="SEG",SEG_6P!B$2,IF(C660="SOL",SOL_4P!B$2,IF(C660="RW",RW_2P!B$2,IF(C660="RW2",RW2_4P!B$2,0))))))</f>
        <v/>
      </c>
      <c r="G660" s="26"/>
      <c r="I660" s="26"/>
    </row>
    <row r="661" customFormat="false" ht="15" hidden="false" customHeight="true" outlineLevel="0" collapsed="false">
      <c r="D661" s="9" t="str">
        <f aca="false">IF(A661="","",IF(C661="2P",OPR_2P!B$2,IF(C661="SEG",SEG_6P!B$2,IF(C661="SOL",SOL_4P!B$2,IF(C661="RW",RW_2P!B$2,IF(C661="RW2",RW2_4P!B$2,0))))))</f>
        <v/>
      </c>
      <c r="G661" s="26"/>
      <c r="I661" s="26"/>
    </row>
    <row r="662" customFormat="false" ht="15" hidden="false" customHeight="true" outlineLevel="0" collapsed="false">
      <c r="D662" s="9" t="str">
        <f aca="false">IF(A662="","",IF(C662="2P",OPR_2P!B$2,IF(C662="SEG",SEG_6P!B$2,IF(C662="SOL",SOL_4P!B$2,IF(C662="RW",RW_2P!B$2,IF(C662="RW2",RW2_4P!B$2,0))))))</f>
        <v/>
      </c>
      <c r="G662" s="26"/>
      <c r="I662" s="26"/>
    </row>
    <row r="663" customFormat="false" ht="15" hidden="false" customHeight="true" outlineLevel="0" collapsed="false">
      <c r="D663" s="9" t="str">
        <f aca="false">IF(A663="","",IF(C663="2P",OPR_2P!B$2,IF(C663="SEG",SEG_6P!B$2,IF(C663="SOL",SOL_4P!B$2,IF(C663="RW",RW_2P!B$2,IF(C663="RW2",RW2_4P!B$2,0))))))</f>
        <v/>
      </c>
      <c r="G663" s="26"/>
      <c r="I663" s="26"/>
    </row>
    <row r="664" customFormat="false" ht="15" hidden="false" customHeight="true" outlineLevel="0" collapsed="false">
      <c r="D664" s="9" t="str">
        <f aca="false">IF(A664="","",IF(C664="2P",OPR_2P!B$2,IF(C664="SEG",SEG_6P!B$2,IF(C664="SOL",SOL_4P!B$2,IF(C664="RW",RW_2P!B$2,IF(C664="RW2",RW2_4P!B$2,0))))))</f>
        <v/>
      </c>
      <c r="G664" s="26"/>
      <c r="I664" s="26"/>
    </row>
    <row r="665" customFormat="false" ht="15" hidden="false" customHeight="true" outlineLevel="0" collapsed="false">
      <c r="D665" s="9" t="str">
        <f aca="false">IF(A665="","",IF(C665="2P",OPR_2P!B$2,IF(C665="SEG",SEG_6P!B$2,IF(C665="SOL",SOL_4P!B$2,IF(C665="RW",RW_2P!B$2,IF(C665="RW2",RW2_4P!B$2,0))))))</f>
        <v/>
      </c>
      <c r="G665" s="26"/>
      <c r="I665" s="26"/>
    </row>
    <row r="666" customFormat="false" ht="15" hidden="false" customHeight="true" outlineLevel="0" collapsed="false">
      <c r="D666" s="9" t="str">
        <f aca="false">IF(A666="","",IF(C666="2P",OPR_2P!B$2,IF(C666="SEG",SEG_6P!B$2,IF(C666="SOL",SOL_4P!B$2,IF(C666="RW",RW_2P!B$2,IF(C666="RW2",RW2_4P!B$2,0))))))</f>
        <v/>
      </c>
      <c r="G666" s="26"/>
      <c r="I666" s="26"/>
    </row>
    <row r="667" customFormat="false" ht="15" hidden="false" customHeight="true" outlineLevel="0" collapsed="false">
      <c r="D667" s="9" t="str">
        <f aca="false">IF(A667="","",IF(C667="2P",OPR_2P!B$2,IF(C667="SEG",SEG_6P!B$2,IF(C667="SOL",SOL_4P!B$2,IF(C667="RW",RW_2P!B$2,IF(C667="RW2",RW2_4P!B$2,0))))))</f>
        <v/>
      </c>
      <c r="G667" s="26"/>
      <c r="I667" s="26"/>
    </row>
    <row r="668" customFormat="false" ht="15" hidden="false" customHeight="true" outlineLevel="0" collapsed="false">
      <c r="D668" s="9" t="str">
        <f aca="false">IF(A668="","",IF(C668="2P",OPR_2P!B$2,IF(C668="SEG",SEG_6P!B$2,IF(C668="SOL",SOL_4P!B$2,IF(C668="RW",RW_2P!B$2,IF(C668="RW2",RW2_4P!B$2,0))))))</f>
        <v/>
      </c>
      <c r="G668" s="26"/>
      <c r="I668" s="26"/>
    </row>
    <row r="669" customFormat="false" ht="15" hidden="false" customHeight="true" outlineLevel="0" collapsed="false">
      <c r="D669" s="9" t="str">
        <f aca="false">IF(A669="","",IF(C669="2P",OPR_2P!B$2,IF(C669="SEG",SEG_6P!B$2,IF(C669="SOL",SOL_4P!B$2,IF(C669="RW",RW_2P!B$2,IF(C669="RW2",RW2_4P!B$2,0))))))</f>
        <v/>
      </c>
      <c r="G669" s="26"/>
      <c r="I669" s="26"/>
    </row>
    <row r="670" customFormat="false" ht="15" hidden="false" customHeight="true" outlineLevel="0" collapsed="false">
      <c r="D670" s="9" t="str">
        <f aca="false">IF(A670="","",IF(C670="2P",OPR_2P!B$2,IF(C670="SEG",SEG_6P!B$2,IF(C670="SOL",SOL_4P!B$2,IF(C670="RW",RW_2P!B$2,IF(C670="RW2",RW2_4P!B$2,0))))))</f>
        <v/>
      </c>
      <c r="G670" s="26"/>
      <c r="I670" s="26"/>
    </row>
    <row r="671" customFormat="false" ht="15" hidden="false" customHeight="true" outlineLevel="0" collapsed="false">
      <c r="D671" s="9" t="str">
        <f aca="false">IF(A671="","",IF(C671="2P",OPR_2P!B$2,IF(C671="SEG",SEG_6P!B$2,IF(C671="SOL",SOL_4P!B$2,IF(C671="RW",RW_2P!B$2,IF(C671="RW2",RW2_4P!B$2,0))))))</f>
        <v/>
      </c>
      <c r="G671" s="26"/>
      <c r="I671" s="26"/>
    </row>
    <row r="672" customFormat="false" ht="15" hidden="false" customHeight="true" outlineLevel="0" collapsed="false">
      <c r="D672" s="9" t="str">
        <f aca="false">IF(A672="","",IF(C672="2P",OPR_2P!B$2,IF(C672="SEG",SEG_6P!B$2,IF(C672="SOL",SOL_4P!B$2,IF(C672="RW",RW_2P!B$2,IF(C672="RW2",RW2_4P!B$2,0))))))</f>
        <v/>
      </c>
      <c r="G672" s="26"/>
      <c r="I672" s="26"/>
    </row>
    <row r="673" customFormat="false" ht="15" hidden="false" customHeight="true" outlineLevel="0" collapsed="false">
      <c r="D673" s="9" t="str">
        <f aca="false">IF(A673="","",IF(C673="2P",OPR_2P!B$2,IF(C673="SEG",SEG_6P!B$2,IF(C673="SOL",SOL_4P!B$2,IF(C673="RW",RW_2P!B$2,IF(C673="RW2",RW2_4P!B$2,0))))))</f>
        <v/>
      </c>
      <c r="G673" s="26"/>
      <c r="I673" s="26"/>
    </row>
    <row r="674" customFormat="false" ht="15" hidden="false" customHeight="true" outlineLevel="0" collapsed="false">
      <c r="D674" s="9" t="str">
        <f aca="false">IF(A674="","",IF(C674="2P",OPR_2P!B$2,IF(C674="SEG",SEG_6P!B$2,IF(C674="SOL",SOL_4P!B$2,IF(C674="RW",RW_2P!B$2,IF(C674="RW2",RW2_4P!B$2,0))))))</f>
        <v/>
      </c>
      <c r="G674" s="26"/>
      <c r="I674" s="26"/>
    </row>
    <row r="675" customFormat="false" ht="15" hidden="false" customHeight="true" outlineLevel="0" collapsed="false">
      <c r="D675" s="9" t="str">
        <f aca="false">IF(A675="","",IF(C675="2P",OPR_2P!B$2,IF(C675="SEG",SEG_6P!B$2,IF(C675="SOL",SOL_4P!B$2,IF(C675="RW",RW_2P!B$2,IF(C675="RW2",RW2_4P!B$2,0))))))</f>
        <v/>
      </c>
      <c r="G675" s="26"/>
      <c r="I675" s="26"/>
    </row>
    <row r="676" customFormat="false" ht="15" hidden="false" customHeight="true" outlineLevel="0" collapsed="false">
      <c r="D676" s="9" t="str">
        <f aca="false">IF(A676="","",IF(C676="2P",OPR_2P!B$2,IF(C676="SEG",SEG_6P!B$2,IF(C676="SOL",SOL_4P!B$2,IF(C676="RW",RW_2P!B$2,IF(C676="RW2",RW2_4P!B$2,0))))))</f>
        <v/>
      </c>
      <c r="G676" s="26"/>
      <c r="I676" s="26"/>
    </row>
    <row r="677" customFormat="false" ht="15" hidden="false" customHeight="true" outlineLevel="0" collapsed="false">
      <c r="D677" s="9" t="str">
        <f aca="false">IF(A677="","",IF(C677="2P",OPR_2P!B$2,IF(C677="SEG",SEG_6P!B$2,IF(C677="SOL",SOL_4P!B$2,IF(C677="RW",RW_2P!B$2,IF(C677="RW2",RW2_4P!B$2,0))))))</f>
        <v/>
      </c>
      <c r="G677" s="26"/>
      <c r="I677" s="26"/>
    </row>
    <row r="678" customFormat="false" ht="15" hidden="false" customHeight="true" outlineLevel="0" collapsed="false">
      <c r="D678" s="9" t="str">
        <f aca="false">IF(A678="","",IF(C678="2P",OPR_2P!B$2,IF(C678="SEG",SEG_6P!B$2,IF(C678="SOL",SOL_4P!B$2,IF(C678="RW",RW_2P!B$2,IF(C678="RW2",RW2_4P!B$2,0))))))</f>
        <v/>
      </c>
      <c r="G678" s="26"/>
      <c r="I678" s="26"/>
    </row>
    <row r="679" customFormat="false" ht="15" hidden="false" customHeight="true" outlineLevel="0" collapsed="false">
      <c r="D679" s="9" t="str">
        <f aca="false">IF(A679="","",IF(C679="2P",OPR_2P!B$2,IF(C679="SEG",SEG_6P!B$2,IF(C679="SOL",SOL_4P!B$2,IF(C679="RW",RW_2P!B$2,IF(C679="RW2",RW2_4P!B$2,0))))))</f>
        <v/>
      </c>
      <c r="G679" s="26"/>
      <c r="I679" s="26"/>
    </row>
    <row r="680" customFormat="false" ht="15" hidden="false" customHeight="true" outlineLevel="0" collapsed="false">
      <c r="D680" s="9" t="str">
        <f aca="false">IF(A680="","",IF(C680="2P",OPR_2P!B$2,IF(C680="SEG",SEG_6P!B$2,IF(C680="SOL",SOL_4P!B$2,IF(C680="RW",RW_2P!B$2,IF(C680="RW2",RW2_4P!B$2,0))))))</f>
        <v/>
      </c>
      <c r="G680" s="26"/>
      <c r="I680" s="26"/>
    </row>
    <row r="681" customFormat="false" ht="15" hidden="false" customHeight="true" outlineLevel="0" collapsed="false">
      <c r="D681" s="9" t="str">
        <f aca="false">IF(A681="","",IF(C681="2P",OPR_2P!B$2,IF(C681="SEG",SEG_6P!B$2,IF(C681="SOL",SOL_4P!B$2,IF(C681="RW",RW_2P!B$2,IF(C681="RW2",RW2_4P!B$2,0))))))</f>
        <v/>
      </c>
      <c r="G681" s="26"/>
      <c r="I681" s="26"/>
    </row>
    <row r="682" customFormat="false" ht="15" hidden="false" customHeight="true" outlineLevel="0" collapsed="false">
      <c r="D682" s="9" t="str">
        <f aca="false">IF(A682="","",IF(C682="2P",OPR_2P!B$2,IF(C682="SEG",SEG_6P!B$2,IF(C682="SOL",SOL_4P!B$2,IF(C682="RW",RW_2P!B$2,IF(C682="RW2",RW2_4P!B$2,0))))))</f>
        <v/>
      </c>
      <c r="G682" s="26"/>
      <c r="I682" s="26"/>
    </row>
    <row r="683" customFormat="false" ht="15" hidden="false" customHeight="true" outlineLevel="0" collapsed="false">
      <c r="D683" s="9" t="str">
        <f aca="false">IF(A683="","",IF(C683="2P",OPR_2P!B$2,IF(C683="SEG",SEG_6P!B$2,IF(C683="SOL",SOL_4P!B$2,IF(C683="RW",RW_2P!B$2,IF(C683="RW2",RW2_4P!B$2,0))))))</f>
        <v/>
      </c>
      <c r="G683" s="26"/>
      <c r="I683" s="26"/>
    </row>
    <row r="684" customFormat="false" ht="15" hidden="false" customHeight="true" outlineLevel="0" collapsed="false">
      <c r="D684" s="9" t="str">
        <f aca="false">IF(A684="","",IF(C684="2P",OPR_2P!B$2,IF(C684="SEG",SEG_6P!B$2,IF(C684="SOL",SOL_4P!B$2,IF(C684="RW",RW_2P!B$2,IF(C684="RW2",RW2_4P!B$2,0))))))</f>
        <v/>
      </c>
      <c r="G684" s="26"/>
      <c r="I684" s="26"/>
    </row>
    <row r="685" customFormat="false" ht="15" hidden="false" customHeight="true" outlineLevel="0" collapsed="false">
      <c r="D685" s="9" t="str">
        <f aca="false">IF(A685="","",IF(C685="2P",OPR_2P!B$2,IF(C685="SEG",SEG_6P!B$2,IF(C685="SOL",SOL_4P!B$2,IF(C685="RW",RW_2P!B$2,IF(C685="RW2",RW2_4P!B$2,0))))))</f>
        <v/>
      </c>
      <c r="G685" s="26"/>
      <c r="I685" s="26"/>
    </row>
    <row r="686" customFormat="false" ht="15" hidden="false" customHeight="true" outlineLevel="0" collapsed="false">
      <c r="D686" s="9" t="str">
        <f aca="false">IF(A686="","",IF(C686="2P",OPR_2P!B$2,IF(C686="SEG",SEG_6P!B$2,IF(C686="SOL",SOL_4P!B$2,IF(C686="RW",RW_2P!B$2,IF(C686="RW2",RW2_4P!B$2,0))))))</f>
        <v/>
      </c>
      <c r="G686" s="26"/>
      <c r="I686" s="26"/>
    </row>
    <row r="687" customFormat="false" ht="15" hidden="false" customHeight="true" outlineLevel="0" collapsed="false">
      <c r="D687" s="9" t="str">
        <f aca="false">IF(A687="","",IF(C687="2P",OPR_2P!B$2,IF(C687="SEG",SEG_6P!B$2,IF(C687="SOL",SOL_4P!B$2,IF(C687="RW",RW_2P!B$2,IF(C687="RW2",RW2_4P!B$2,0))))))</f>
        <v/>
      </c>
      <c r="G687" s="26"/>
      <c r="I687" s="26"/>
    </row>
    <row r="688" customFormat="false" ht="15" hidden="false" customHeight="true" outlineLevel="0" collapsed="false">
      <c r="D688" s="9" t="str">
        <f aca="false">IF(A688="","",IF(C688="2P",OPR_2P!B$2,IF(C688="SEG",SEG_6P!B$2,IF(C688="SOL",SOL_4P!B$2,IF(C688="RW",RW_2P!B$2,IF(C688="RW2",RW2_4P!B$2,0))))))</f>
        <v/>
      </c>
      <c r="G688" s="26"/>
      <c r="I688" s="26"/>
    </row>
    <row r="689" customFormat="false" ht="15" hidden="false" customHeight="true" outlineLevel="0" collapsed="false">
      <c r="D689" s="9" t="str">
        <f aca="false">IF(A689="","",IF(C689="2P",OPR_2P!B$2,IF(C689="SEG",SEG_6P!B$2,IF(C689="SOL",SOL_4P!B$2,IF(C689="RW",RW_2P!B$2,IF(C689="RW2",RW2_4P!B$2,0))))))</f>
        <v/>
      </c>
      <c r="G689" s="26"/>
      <c r="I689" s="26"/>
    </row>
    <row r="690" customFormat="false" ht="15" hidden="false" customHeight="true" outlineLevel="0" collapsed="false">
      <c r="D690" s="9" t="str">
        <f aca="false">IF(A690="","",IF(C690="2P",OPR_2P!B$2,IF(C690="SEG",SEG_6P!B$2,IF(C690="SOL",SOL_4P!B$2,IF(C690="RW",RW_2P!B$2,IF(C690="RW2",RW2_4P!B$2,0))))))</f>
        <v/>
      </c>
      <c r="G690" s="26"/>
      <c r="I690" s="26"/>
    </row>
    <row r="691" customFormat="false" ht="15" hidden="false" customHeight="true" outlineLevel="0" collapsed="false">
      <c r="D691" s="9" t="str">
        <f aca="false">IF(A691="","",IF(C691="2P",OPR_2P!B$2,IF(C691="SEG",SEG_6P!B$2,IF(C691="SOL",SOL_4P!B$2,IF(C691="RW",RW_2P!B$2,IF(C691="RW2",RW2_4P!B$2,0))))))</f>
        <v/>
      </c>
      <c r="G691" s="26"/>
      <c r="I691" s="26"/>
    </row>
    <row r="692" customFormat="false" ht="15" hidden="false" customHeight="true" outlineLevel="0" collapsed="false">
      <c r="D692" s="9" t="str">
        <f aca="false">IF(A692="","",IF(C692="2P",OPR_2P!B$2,IF(C692="SEG",SEG_6P!B$2,IF(C692="SOL",SOL_4P!B$2,IF(C692="RW",RW_2P!B$2,IF(C692="RW2",RW2_4P!B$2,0))))))</f>
        <v/>
      </c>
      <c r="G692" s="26"/>
      <c r="I692" s="26"/>
    </row>
    <row r="693" customFormat="false" ht="15" hidden="false" customHeight="true" outlineLevel="0" collapsed="false">
      <c r="D693" s="9" t="str">
        <f aca="false">IF(A693="","",IF(C693="2P",OPR_2P!B$2,IF(C693="SEG",SEG_6P!B$2,IF(C693="SOL",SOL_4P!B$2,IF(C693="RW",RW_2P!B$2,IF(C693="RW2",RW2_4P!B$2,0))))))</f>
        <v/>
      </c>
      <c r="G693" s="26"/>
      <c r="I693" s="26"/>
    </row>
    <row r="694" customFormat="false" ht="15" hidden="false" customHeight="true" outlineLevel="0" collapsed="false">
      <c r="D694" s="9" t="str">
        <f aca="false">IF(A694="","",IF(C694="2P",OPR_2P!B$2,IF(C694="SEG",SEG_6P!B$2,IF(C694="SOL",SOL_4P!B$2,IF(C694="RW",RW_2P!B$2,IF(C694="RW2",RW2_4P!B$2,0))))))</f>
        <v/>
      </c>
      <c r="G694" s="26"/>
      <c r="I694" s="26"/>
    </row>
    <row r="695" customFormat="false" ht="15" hidden="false" customHeight="true" outlineLevel="0" collapsed="false">
      <c r="D695" s="9" t="str">
        <f aca="false">IF(A695="","",IF(C695="2P",OPR_2P!B$2,IF(C695="SEG",SEG_6P!B$2,IF(C695="SOL",SOL_4P!B$2,IF(C695="RW",RW_2P!B$2,IF(C695="RW2",RW2_4P!B$2,0))))))</f>
        <v/>
      </c>
      <c r="G695" s="26"/>
      <c r="I695" s="26"/>
    </row>
    <row r="696" customFormat="false" ht="15" hidden="false" customHeight="true" outlineLevel="0" collapsed="false">
      <c r="D696" s="9" t="str">
        <f aca="false">IF(A696="","",IF(C696="2P",OPR_2P!B$2,IF(C696="SEG",SEG_6P!B$2,IF(C696="SOL",SOL_4P!B$2,IF(C696="RW",RW_2P!B$2,IF(C696="RW2",RW2_4P!B$2,0))))))</f>
        <v/>
      </c>
      <c r="G696" s="26"/>
      <c r="I696" s="26"/>
    </row>
    <row r="697" customFormat="false" ht="15" hidden="false" customHeight="true" outlineLevel="0" collapsed="false">
      <c r="D697" s="9" t="str">
        <f aca="false">IF(A697="","",IF(C697="2P",OPR_2P!B$2,IF(C697="SEG",SEG_6P!B$2,IF(C697="SOL",SOL_4P!B$2,IF(C697="RW",RW_2P!B$2,IF(C697="RW2",RW2_4P!B$2,0))))))</f>
        <v/>
      </c>
      <c r="G697" s="26"/>
      <c r="I697" s="26"/>
    </row>
    <row r="698" customFormat="false" ht="15" hidden="false" customHeight="true" outlineLevel="0" collapsed="false">
      <c r="D698" s="9" t="str">
        <f aca="false">IF(A698="","",IF(C698="2P",OPR_2P!B$2,IF(C698="SEG",SEG_6P!B$2,IF(C698="SOL",SOL_4P!B$2,IF(C698="RW",RW_2P!B$2,IF(C698="RW2",RW2_4P!B$2,0))))))</f>
        <v/>
      </c>
      <c r="G698" s="26"/>
      <c r="I698" s="26"/>
    </row>
    <row r="699" customFormat="false" ht="15" hidden="false" customHeight="true" outlineLevel="0" collapsed="false">
      <c r="D699" s="9" t="str">
        <f aca="false">IF(A699="","",IF(C699="2P",OPR_2P!B$2,IF(C699="SEG",SEG_6P!B$2,IF(C699="SOL",SOL_4P!B$2,IF(C699="RW",RW_2P!B$2,IF(C699="RW2",RW2_4P!B$2,0))))))</f>
        <v/>
      </c>
      <c r="G699" s="26"/>
      <c r="I699" s="26"/>
    </row>
    <row r="700" customFormat="false" ht="15" hidden="false" customHeight="true" outlineLevel="0" collapsed="false">
      <c r="D700" s="9" t="str">
        <f aca="false">IF(A700="","",IF(C700="2P",OPR_2P!B$2,IF(C700="SEG",SEG_6P!B$2,IF(C700="SOL",SOL_4P!B$2,IF(C700="RW",RW_2P!B$2,IF(C700="RW2",RW2_4P!B$2,0))))))</f>
        <v/>
      </c>
      <c r="G700" s="26"/>
      <c r="I700" s="26"/>
    </row>
    <row r="701" customFormat="false" ht="15" hidden="false" customHeight="true" outlineLevel="0" collapsed="false">
      <c r="D701" s="9" t="str">
        <f aca="false">IF(A701="","",IF(C701="2P",OPR_2P!B$2,IF(C701="SEG",SEG_6P!B$2,IF(C701="SOL",SOL_4P!B$2,IF(C701="RW",RW_2P!B$2,IF(C701="RW2",RW2_4P!B$2,0))))))</f>
        <v/>
      </c>
      <c r="G701" s="26"/>
      <c r="I701" s="26"/>
    </row>
    <row r="702" customFormat="false" ht="15" hidden="false" customHeight="true" outlineLevel="0" collapsed="false">
      <c r="D702" s="9" t="str">
        <f aca="false">IF(A702="","",IF(C702="2P",OPR_2P!B$2,IF(C702="SEG",SEG_6P!B$2,IF(C702="SOL",SOL_4P!B$2,IF(C702="RW",RW_2P!B$2,IF(C702="RW2",RW2_4P!B$2,0))))))</f>
        <v/>
      </c>
      <c r="G702" s="26"/>
      <c r="I702" s="26"/>
    </row>
    <row r="703" customFormat="false" ht="15" hidden="false" customHeight="true" outlineLevel="0" collapsed="false">
      <c r="D703" s="9" t="str">
        <f aca="false">IF(A703="","",IF(C703="2P",OPR_2P!B$2,IF(C703="SEG",SEG_6P!B$2,IF(C703="SOL",SOL_4P!B$2,IF(C703="RW",RW_2P!B$2,IF(C703="RW2",RW2_4P!B$2,0))))))</f>
        <v/>
      </c>
      <c r="G703" s="26"/>
      <c r="I703" s="26"/>
    </row>
    <row r="704" customFormat="false" ht="15" hidden="false" customHeight="true" outlineLevel="0" collapsed="false">
      <c r="D704" s="9" t="str">
        <f aca="false">IF(A704="","",IF(C704="2P",OPR_2P!B$2,IF(C704="SEG",SEG_6P!B$2,IF(C704="SOL",SOL_4P!B$2,IF(C704="RW",RW_2P!B$2,IF(C704="RW2",RW2_4P!B$2,0))))))</f>
        <v/>
      </c>
      <c r="G704" s="26"/>
      <c r="I704" s="26"/>
    </row>
    <row r="705" customFormat="false" ht="15" hidden="false" customHeight="true" outlineLevel="0" collapsed="false">
      <c r="D705" s="9" t="str">
        <f aca="false">IF(A705="","",IF(C705="2P",OPR_2P!B$2,IF(C705="SEG",SEG_6P!B$2,IF(C705="SOL",SOL_4P!B$2,IF(C705="RW",RW_2P!B$2,IF(C705="RW2",RW2_4P!B$2,0))))))</f>
        <v/>
      </c>
      <c r="G705" s="26"/>
      <c r="I705" s="26"/>
    </row>
    <row r="706" customFormat="false" ht="15" hidden="false" customHeight="true" outlineLevel="0" collapsed="false">
      <c r="D706" s="9" t="str">
        <f aca="false">IF(A706="","",IF(C706="2P",OPR_2P!B$2,IF(C706="SEG",SEG_6P!B$2,IF(C706="SOL",SOL_4P!B$2,IF(C706="RW",RW_2P!B$2,IF(C706="RW2",RW2_4P!B$2,0))))))</f>
        <v/>
      </c>
      <c r="G706" s="26"/>
      <c r="I706" s="26"/>
    </row>
    <row r="707" customFormat="false" ht="15" hidden="false" customHeight="true" outlineLevel="0" collapsed="false">
      <c r="D707" s="9" t="str">
        <f aca="false">IF(A707="","",IF(C707="2P",OPR_2P!B$2,IF(C707="SEG",SEG_6P!B$2,IF(C707="SOL",SOL_4P!B$2,IF(C707="RW",RW_2P!B$2,IF(C707="RW2",RW2_4P!B$2,0))))))</f>
        <v/>
      </c>
      <c r="G707" s="26"/>
      <c r="I707" s="26"/>
    </row>
    <row r="708" customFormat="false" ht="15" hidden="false" customHeight="true" outlineLevel="0" collapsed="false">
      <c r="D708" s="9" t="str">
        <f aca="false">IF(A708="","",IF(C708="2P",OPR_2P!B$2,IF(C708="SEG",SEG_6P!B$2,IF(C708="SOL",SOL_4P!B$2,IF(C708="RW",RW_2P!B$2,IF(C708="RW2",RW2_4P!B$2,0))))))</f>
        <v/>
      </c>
      <c r="G708" s="26"/>
      <c r="I708" s="26"/>
    </row>
    <row r="709" customFormat="false" ht="15" hidden="false" customHeight="true" outlineLevel="0" collapsed="false">
      <c r="D709" s="9" t="str">
        <f aca="false">IF(A709="","",IF(C709="2P",OPR_2P!B$2,IF(C709="SEG",SEG_6P!B$2,IF(C709="SOL",SOL_4P!B$2,IF(C709="RW",RW_2P!B$2,IF(C709="RW2",RW2_4P!B$2,0))))))</f>
        <v/>
      </c>
      <c r="G709" s="26"/>
      <c r="I709" s="26"/>
    </row>
    <row r="710" customFormat="false" ht="15" hidden="false" customHeight="true" outlineLevel="0" collapsed="false">
      <c r="D710" s="9" t="str">
        <f aca="false">IF(A710="","",IF(C710="2P",OPR_2P!B$2,IF(C710="SEG",SEG_6P!B$2,IF(C710="SOL",SOL_4P!B$2,IF(C710="RW",RW_2P!B$2,IF(C710="RW2",RW2_4P!B$2,0))))))</f>
        <v/>
      </c>
      <c r="G710" s="26"/>
      <c r="I710" s="26"/>
    </row>
    <row r="711" customFormat="false" ht="15" hidden="false" customHeight="true" outlineLevel="0" collapsed="false">
      <c r="D711" s="9" t="str">
        <f aca="false">IF(A711="","",IF(C711="2P",OPR_2P!B$2,IF(C711="SEG",SEG_6P!B$2,IF(C711="SOL",SOL_4P!B$2,IF(C711="RW",RW_2P!B$2,IF(C711="RW2",RW2_4P!B$2,0))))))</f>
        <v/>
      </c>
      <c r="G711" s="26"/>
      <c r="I711" s="26"/>
    </row>
    <row r="712" customFormat="false" ht="15" hidden="false" customHeight="true" outlineLevel="0" collapsed="false">
      <c r="D712" s="9" t="str">
        <f aca="false">IF(A712="","",IF(C712="2P",OPR_2P!B$2,IF(C712="SEG",SEG_6P!B$2,IF(C712="SOL",SOL_4P!B$2,IF(C712="RW",RW_2P!B$2,IF(C712="RW2",RW2_4P!B$2,0))))))</f>
        <v/>
      </c>
      <c r="G712" s="26"/>
      <c r="I712" s="26"/>
    </row>
    <row r="713" customFormat="false" ht="15" hidden="false" customHeight="true" outlineLevel="0" collapsed="false">
      <c r="D713" s="9" t="str">
        <f aca="false">IF(A713="","",IF(C713="2P",OPR_2P!B$2,IF(C713="SEG",SEG_6P!B$2,IF(C713="SOL",SOL_4P!B$2,IF(C713="RW",RW_2P!B$2,IF(C713="RW2",RW2_4P!B$2,0))))))</f>
        <v/>
      </c>
      <c r="G713" s="26"/>
      <c r="I713" s="26"/>
    </row>
    <row r="714" customFormat="false" ht="15" hidden="false" customHeight="true" outlineLevel="0" collapsed="false">
      <c r="D714" s="9" t="str">
        <f aca="false">IF(A714="","",IF(C714="2P",OPR_2P!B$2,IF(C714="SEG",SEG_6P!B$2,IF(C714="SOL",SOL_4P!B$2,IF(C714="RW",RW_2P!B$2,IF(C714="RW2",RW2_4P!B$2,0))))))</f>
        <v/>
      </c>
      <c r="G714" s="26"/>
      <c r="I714" s="26"/>
    </row>
    <row r="715" customFormat="false" ht="15" hidden="false" customHeight="true" outlineLevel="0" collapsed="false">
      <c r="D715" s="9" t="str">
        <f aca="false">IF(A715="","",IF(C715="2P",OPR_2P!B$2,IF(C715="SEG",SEG_6P!B$2,IF(C715="SOL",SOL_4P!B$2,IF(C715="RW",RW_2P!B$2,IF(C715="RW2",RW2_4P!B$2,0))))))</f>
        <v/>
      </c>
      <c r="G715" s="26"/>
      <c r="I715" s="26"/>
    </row>
    <row r="716" customFormat="false" ht="15" hidden="false" customHeight="true" outlineLevel="0" collapsed="false">
      <c r="D716" s="9" t="str">
        <f aca="false">IF(A716="","",IF(C716="2P",OPR_2P!B$2,IF(C716="SEG",SEG_6P!B$2,IF(C716="SOL",SOL_4P!B$2,IF(C716="RW",RW_2P!B$2,IF(C716="RW2",RW2_4P!B$2,0))))))</f>
        <v/>
      </c>
      <c r="G716" s="26"/>
      <c r="I716" s="26"/>
    </row>
    <row r="717" customFormat="false" ht="15" hidden="false" customHeight="true" outlineLevel="0" collapsed="false">
      <c r="D717" s="9" t="str">
        <f aca="false">IF(A717="","",IF(C717="2P",OPR_2P!B$2,IF(C717="SEG",SEG_6P!B$2,IF(C717="SOL",SOL_4P!B$2,IF(C717="RW",RW_2P!B$2,IF(C717="RW2",RW2_4P!B$2,0))))))</f>
        <v/>
      </c>
      <c r="G717" s="26"/>
      <c r="I717" s="26"/>
    </row>
    <row r="718" customFormat="false" ht="15" hidden="false" customHeight="true" outlineLevel="0" collapsed="false">
      <c r="D718" s="9" t="str">
        <f aca="false">IF(A718="","",IF(C718="2P",OPR_2P!B$2,IF(C718="SEG",SEG_6P!B$2,IF(C718="SOL",SOL_4P!B$2,IF(C718="RW",RW_2P!B$2,IF(C718="RW2",RW2_4P!B$2,0))))))</f>
        <v/>
      </c>
      <c r="G718" s="26"/>
      <c r="I718" s="26"/>
    </row>
    <row r="719" customFormat="false" ht="15" hidden="false" customHeight="true" outlineLevel="0" collapsed="false">
      <c r="D719" s="9" t="str">
        <f aca="false">IF(A719="","",IF(C719="2P",OPR_2P!B$2,IF(C719="SEG",SEG_6P!B$2,IF(C719="SOL",SOL_4P!B$2,IF(C719="RW",RW_2P!B$2,IF(C719="RW2",RW2_4P!B$2,0))))))</f>
        <v/>
      </c>
      <c r="G719" s="26"/>
      <c r="I719" s="26"/>
    </row>
    <row r="720" customFormat="false" ht="15" hidden="false" customHeight="true" outlineLevel="0" collapsed="false">
      <c r="D720" s="9" t="str">
        <f aca="false">IF(A720="","",IF(C720="2P",OPR_2P!B$2,IF(C720="SEG",SEG_6P!B$2,IF(C720="SOL",SOL_4P!B$2,IF(C720="RW",RW_2P!B$2,IF(C720="RW2",RW2_4P!B$2,0))))))</f>
        <v/>
      </c>
      <c r="G720" s="26"/>
      <c r="I720" s="26"/>
    </row>
    <row r="721" customFormat="false" ht="15" hidden="false" customHeight="true" outlineLevel="0" collapsed="false">
      <c r="D721" s="9" t="str">
        <f aca="false">IF(A721="","",IF(C721="2P",OPR_2P!B$2,IF(C721="SEG",SEG_6P!B$2,IF(C721="SOL",SOL_4P!B$2,IF(C721="RW",RW_2P!B$2,IF(C721="RW2",RW2_4P!B$2,0))))))</f>
        <v/>
      </c>
      <c r="G721" s="26"/>
      <c r="I721" s="26"/>
    </row>
    <row r="722" customFormat="false" ht="15" hidden="false" customHeight="true" outlineLevel="0" collapsed="false">
      <c r="D722" s="9" t="str">
        <f aca="false">IF(A722="","",IF(C722="2P",OPR_2P!B$2,IF(C722="SEG",SEG_6P!B$2,IF(C722="SOL",SOL_4P!B$2,IF(C722="RW",RW_2P!B$2,IF(C722="RW2",RW2_4P!B$2,0))))))</f>
        <v/>
      </c>
      <c r="G722" s="26"/>
      <c r="I722" s="26"/>
    </row>
    <row r="723" customFormat="false" ht="15" hidden="false" customHeight="true" outlineLevel="0" collapsed="false">
      <c r="D723" s="9" t="str">
        <f aca="false">IF(A723="","",IF(C723="2P",OPR_2P!B$2,IF(C723="SEG",SEG_6P!B$2,IF(C723="SOL",SOL_4P!B$2,IF(C723="RW",RW_2P!B$2,IF(C723="RW2",RW2_4P!B$2,0))))))</f>
        <v/>
      </c>
      <c r="G723" s="26"/>
      <c r="I723" s="26"/>
    </row>
    <row r="724" customFormat="false" ht="15" hidden="false" customHeight="true" outlineLevel="0" collapsed="false">
      <c r="D724" s="9" t="str">
        <f aca="false">IF(A724="","",IF(C724="2P",OPR_2P!B$2,IF(C724="SEG",SEG_6P!B$2,IF(C724="SOL",SOL_4P!B$2,IF(C724="RW",RW_2P!B$2,IF(C724="RW2",RW2_4P!B$2,0))))))</f>
        <v/>
      </c>
      <c r="G724" s="26"/>
      <c r="I724" s="26"/>
    </row>
    <row r="725" customFormat="false" ht="15" hidden="false" customHeight="true" outlineLevel="0" collapsed="false">
      <c r="D725" s="9" t="str">
        <f aca="false">IF(A725="","",IF(C725="2P",OPR_2P!B$2,IF(C725="SEG",SEG_6P!B$2,IF(C725="SOL",SOL_4P!B$2,IF(C725="RW",RW_2P!B$2,IF(C725="RW2",RW2_4P!B$2,0))))))</f>
        <v/>
      </c>
      <c r="G725" s="26"/>
      <c r="I725" s="26"/>
    </row>
    <row r="726" customFormat="false" ht="15" hidden="false" customHeight="true" outlineLevel="0" collapsed="false">
      <c r="D726" s="9" t="str">
        <f aca="false">IF(A726="","",IF(C726="2P",OPR_2P!B$2,IF(C726="SEG",SEG_6P!B$2,IF(C726="SOL",SOL_4P!B$2,IF(C726="RW",RW_2P!B$2,IF(C726="RW2",RW2_4P!B$2,0))))))</f>
        <v/>
      </c>
      <c r="G726" s="26"/>
      <c r="I726" s="26"/>
    </row>
    <row r="727" customFormat="false" ht="15" hidden="false" customHeight="true" outlineLevel="0" collapsed="false">
      <c r="D727" s="9" t="str">
        <f aca="false">IF(A727="","",IF(C727="2P",OPR_2P!B$2,IF(C727="SEG",SEG_6P!B$2,IF(C727="SOL",SOL_4P!B$2,IF(C727="RW",RW_2P!B$2,IF(C727="RW2",RW2_4P!B$2,0))))))</f>
        <v/>
      </c>
      <c r="G727" s="26"/>
      <c r="I727" s="26"/>
    </row>
    <row r="728" customFormat="false" ht="15" hidden="false" customHeight="true" outlineLevel="0" collapsed="false">
      <c r="D728" s="9" t="str">
        <f aca="false">IF(A728="","",IF(C728="2P",OPR_2P!B$2,IF(C728="SEG",SEG_6P!B$2,IF(C728="SOL",SOL_4P!B$2,IF(C728="RW",RW_2P!B$2,IF(C728="RW2",RW2_4P!B$2,0))))))</f>
        <v/>
      </c>
      <c r="G728" s="26"/>
      <c r="I728" s="26"/>
    </row>
    <row r="729" customFormat="false" ht="15" hidden="false" customHeight="true" outlineLevel="0" collapsed="false">
      <c r="D729" s="9" t="str">
        <f aca="false">IF(A729="","",IF(C729="2P",OPR_2P!B$2,IF(C729="SEG",SEG_6P!B$2,IF(C729="SOL",SOL_4P!B$2,IF(C729="RW",RW_2P!B$2,IF(C729="RW2",RW2_4P!B$2,0))))))</f>
        <v/>
      </c>
      <c r="G729" s="26"/>
      <c r="I729" s="26"/>
    </row>
    <row r="730" customFormat="false" ht="15" hidden="false" customHeight="true" outlineLevel="0" collapsed="false">
      <c r="D730" s="9" t="str">
        <f aca="false">IF(A730="","",IF(C730="2P",OPR_2P!B$2,IF(C730="SEG",SEG_6P!B$2,IF(C730="SOL",SOL_4P!B$2,IF(C730="RW",RW_2P!B$2,IF(C730="RW2",RW2_4P!B$2,0))))))</f>
        <v/>
      </c>
      <c r="G730" s="26"/>
      <c r="I730" s="26"/>
    </row>
    <row r="731" customFormat="false" ht="15" hidden="false" customHeight="true" outlineLevel="0" collapsed="false">
      <c r="D731" s="9" t="str">
        <f aca="false">IF(A731="","",IF(C731="2P",OPR_2P!B$2,IF(C731="SEG",SEG_6P!B$2,IF(C731="SOL",SOL_4P!B$2,IF(C731="RW",RW_2P!B$2,IF(C731="RW2",RW2_4P!B$2,0))))))</f>
        <v/>
      </c>
      <c r="G731" s="26"/>
      <c r="I731" s="26"/>
    </row>
    <row r="732" customFormat="false" ht="15" hidden="false" customHeight="true" outlineLevel="0" collapsed="false">
      <c r="D732" s="9" t="str">
        <f aca="false">IF(A732="","",IF(C732="2P",OPR_2P!B$2,IF(C732="SEG",SEG_6P!B$2,IF(C732="SOL",SOL_4P!B$2,IF(C732="RW",RW_2P!B$2,IF(C732="RW2",RW2_4P!B$2,0))))))</f>
        <v/>
      </c>
      <c r="G732" s="26"/>
      <c r="I732" s="26"/>
    </row>
    <row r="733" customFormat="false" ht="15" hidden="false" customHeight="true" outlineLevel="0" collapsed="false">
      <c r="D733" s="9" t="str">
        <f aca="false">IF(A733="","",IF(C733="2P",OPR_2P!B$2,IF(C733="SEG",SEG_6P!B$2,IF(C733="SOL",SOL_4P!B$2,IF(C733="RW",RW_2P!B$2,IF(C733="RW2",RW2_4P!B$2,0))))))</f>
        <v/>
      </c>
      <c r="G733" s="26"/>
      <c r="I733" s="26"/>
    </row>
    <row r="734" customFormat="false" ht="15" hidden="false" customHeight="true" outlineLevel="0" collapsed="false">
      <c r="D734" s="9" t="str">
        <f aca="false">IF(A734="","",IF(C734="2P",OPR_2P!B$2,IF(C734="SEG",SEG_6P!B$2,IF(C734="SOL",SOL_4P!B$2,IF(C734="RW",RW_2P!B$2,IF(C734="RW2",RW2_4P!B$2,0))))))</f>
        <v/>
      </c>
      <c r="G734" s="26"/>
      <c r="I734" s="26"/>
    </row>
    <row r="735" customFormat="false" ht="15" hidden="false" customHeight="true" outlineLevel="0" collapsed="false">
      <c r="D735" s="9" t="str">
        <f aca="false">IF(A735="","",IF(C735="2P",OPR_2P!B$2,IF(C735="SEG",SEG_6P!B$2,IF(C735="SOL",SOL_4P!B$2,IF(C735="RW",RW_2P!B$2,IF(C735="RW2",RW2_4P!B$2,0))))))</f>
        <v/>
      </c>
      <c r="G735" s="26"/>
      <c r="I735" s="26"/>
    </row>
    <row r="736" customFormat="false" ht="15" hidden="false" customHeight="true" outlineLevel="0" collapsed="false">
      <c r="D736" s="9" t="str">
        <f aca="false">IF(A736="","",IF(C736="2P",OPR_2P!B$2,IF(C736="SEG",SEG_6P!B$2,IF(C736="SOL",SOL_4P!B$2,IF(C736="RW",RW_2P!B$2,IF(C736="RW2",RW2_4P!B$2,0))))))</f>
        <v/>
      </c>
      <c r="G736" s="26"/>
      <c r="I736" s="26"/>
    </row>
    <row r="737" customFormat="false" ht="15" hidden="false" customHeight="true" outlineLevel="0" collapsed="false">
      <c r="D737" s="9" t="str">
        <f aca="false">IF(A737="","",IF(C737="2P",OPR_2P!B$2,IF(C737="SEG",SEG_6P!B$2,IF(C737="SOL",SOL_4P!B$2,IF(C737="RW",RW_2P!B$2,IF(C737="RW2",RW2_4P!B$2,0))))))</f>
        <v/>
      </c>
      <c r="G737" s="26"/>
      <c r="I737" s="26"/>
    </row>
    <row r="738" customFormat="false" ht="15" hidden="false" customHeight="true" outlineLevel="0" collapsed="false">
      <c r="D738" s="9" t="str">
        <f aca="false">IF(A738="","",IF(C738="2P",OPR_2P!B$2,IF(C738="SEG",SEG_6P!B$2,IF(C738="SOL",SOL_4P!B$2,IF(C738="RW",RW_2P!B$2,IF(C738="RW2",RW2_4P!B$2,0))))))</f>
        <v/>
      </c>
      <c r="G738" s="26"/>
      <c r="I738" s="26"/>
    </row>
    <row r="739" customFormat="false" ht="15" hidden="false" customHeight="true" outlineLevel="0" collapsed="false">
      <c r="D739" s="9" t="str">
        <f aca="false">IF(A739="","",IF(C739="2P",OPR_2P!B$2,IF(C739="SEG",SEG_6P!B$2,IF(C739="SOL",SOL_4P!B$2,IF(C739="RW",RW_2P!B$2,IF(C739="RW2",RW2_4P!B$2,0))))))</f>
        <v/>
      </c>
      <c r="G739" s="26"/>
      <c r="I739" s="26"/>
    </row>
    <row r="740" customFormat="false" ht="15" hidden="false" customHeight="true" outlineLevel="0" collapsed="false">
      <c r="D740" s="9" t="str">
        <f aca="false">IF(A740="","",IF(C740="2P",OPR_2P!B$2,IF(C740="SEG",SEG_6P!B$2,IF(C740="SOL",SOL_4P!B$2,IF(C740="RW",RW_2P!B$2,IF(C740="RW2",RW2_4P!B$2,0))))))</f>
        <v/>
      </c>
      <c r="G740" s="26"/>
      <c r="I740" s="26"/>
    </row>
    <row r="741" customFormat="false" ht="15" hidden="false" customHeight="true" outlineLevel="0" collapsed="false">
      <c r="D741" s="9" t="str">
        <f aca="false">IF(A741="","",IF(C741="2P",OPR_2P!B$2,IF(C741="SEG",SEG_6P!B$2,IF(C741="SOL",SOL_4P!B$2,IF(C741="RW",RW_2P!B$2,IF(C741="RW2",RW2_4P!B$2,0))))))</f>
        <v/>
      </c>
      <c r="G741" s="26"/>
      <c r="I741" s="26"/>
    </row>
    <row r="742" customFormat="false" ht="15" hidden="false" customHeight="true" outlineLevel="0" collapsed="false">
      <c r="D742" s="9" t="str">
        <f aca="false">IF(A742="","",IF(C742="2P",OPR_2P!B$2,IF(C742="SEG",SEG_6P!B$2,IF(C742="SOL",SOL_4P!B$2,IF(C742="RW",RW_2P!B$2,IF(C742="RW2",RW2_4P!B$2,0))))))</f>
        <v/>
      </c>
      <c r="G742" s="26"/>
      <c r="I742" s="26"/>
    </row>
    <row r="743" customFormat="false" ht="15" hidden="false" customHeight="true" outlineLevel="0" collapsed="false">
      <c r="D743" s="9" t="str">
        <f aca="false">IF(A743="","",IF(C743="2P",OPR_2P!B$2,IF(C743="SEG",SEG_6P!B$2,IF(C743="SOL",SOL_4P!B$2,IF(C743="RW",RW_2P!B$2,IF(C743="RW2",RW2_4P!B$2,0))))))</f>
        <v/>
      </c>
      <c r="G743" s="26"/>
      <c r="I743" s="26"/>
    </row>
    <row r="744" customFormat="false" ht="15" hidden="false" customHeight="true" outlineLevel="0" collapsed="false">
      <c r="D744" s="9" t="str">
        <f aca="false">IF(A744="","",IF(C744="2P",OPR_2P!B$2,IF(C744="SEG",SEG_6P!B$2,IF(C744="SOL",SOL_4P!B$2,IF(C744="RW",RW_2P!B$2,IF(C744="RW2",RW2_4P!B$2,0))))))</f>
        <v/>
      </c>
      <c r="G744" s="26"/>
      <c r="I744" s="26"/>
    </row>
    <row r="745" customFormat="false" ht="15" hidden="false" customHeight="true" outlineLevel="0" collapsed="false">
      <c r="D745" s="9" t="str">
        <f aca="false">IF(A745="","",IF(C745="2P",OPR_2P!B$2,IF(C745="SEG",SEG_6P!B$2,IF(C745="SOL",SOL_4P!B$2,IF(C745="RW",RW_2P!B$2,IF(C745="RW2",RW2_4P!B$2,0))))))</f>
        <v/>
      </c>
      <c r="G745" s="26"/>
      <c r="I745" s="26"/>
    </row>
    <row r="746" customFormat="false" ht="15" hidden="false" customHeight="true" outlineLevel="0" collapsed="false">
      <c r="D746" s="9" t="str">
        <f aca="false">IF(A746="","",IF(C746="2P",OPR_2P!B$2,IF(C746="SEG",SEG_6P!B$2,IF(C746="SOL",SOL_4P!B$2,IF(C746="RW",RW_2P!B$2,IF(C746="RW2",RW2_4P!B$2,0))))))</f>
        <v/>
      </c>
      <c r="G746" s="26"/>
      <c r="I746" s="26"/>
    </row>
    <row r="747" customFormat="false" ht="15" hidden="false" customHeight="true" outlineLevel="0" collapsed="false">
      <c r="D747" s="9" t="str">
        <f aca="false">IF(A747="","",IF(C747="2P",OPR_2P!B$2,IF(C747="SEG",SEG_6P!B$2,IF(C747="SOL",SOL_4P!B$2,IF(C747="RW",RW_2P!B$2,IF(C747="RW2",RW2_4P!B$2,0))))))</f>
        <v/>
      </c>
      <c r="G747" s="26"/>
      <c r="I747" s="26"/>
    </row>
    <row r="748" customFormat="false" ht="15" hidden="false" customHeight="true" outlineLevel="0" collapsed="false">
      <c r="D748" s="9" t="str">
        <f aca="false">IF(A748="","",IF(C748="2P",OPR_2P!B$2,IF(C748="SEG",SEG_6P!B$2,IF(C748="SOL",SOL_4P!B$2,IF(C748="RW",RW_2P!B$2,IF(C748="RW2",RW2_4P!B$2,0))))))</f>
        <v/>
      </c>
      <c r="G748" s="26"/>
      <c r="I748" s="26"/>
    </row>
    <row r="749" customFormat="false" ht="15" hidden="false" customHeight="true" outlineLevel="0" collapsed="false">
      <c r="D749" s="9" t="str">
        <f aca="false">IF(A749="","",IF(C749="2P",OPR_2P!B$2,IF(C749="SEG",SEG_6P!B$2,IF(C749="SOL",SOL_4P!B$2,IF(C749="RW",RW_2P!B$2,IF(C749="RW2",RW2_4P!B$2,0))))))</f>
        <v/>
      </c>
      <c r="G749" s="26"/>
      <c r="I749" s="26"/>
    </row>
    <row r="750" customFormat="false" ht="15" hidden="false" customHeight="true" outlineLevel="0" collapsed="false">
      <c r="D750" s="9" t="str">
        <f aca="false">IF(A750="","",IF(C750="2P",OPR_2P!B$2,IF(C750="SEG",SEG_6P!B$2,IF(C750="SOL",SOL_4P!B$2,IF(C750="RW",RW_2P!B$2,IF(C750="RW2",RW2_4P!B$2,0))))))</f>
        <v/>
      </c>
      <c r="G750" s="26"/>
      <c r="I750" s="26"/>
    </row>
    <row r="751" customFormat="false" ht="15" hidden="false" customHeight="true" outlineLevel="0" collapsed="false">
      <c r="D751" s="9" t="str">
        <f aca="false">IF(A751="","",IF(C751="2P",OPR_2P!B$2,IF(C751="SEG",SEG_6P!B$2,IF(C751="SOL",SOL_4P!B$2,IF(C751="RW",RW_2P!B$2,IF(C751="RW2",RW2_4P!B$2,0))))))</f>
        <v/>
      </c>
      <c r="G751" s="26"/>
      <c r="I751" s="26"/>
    </row>
    <row r="752" customFormat="false" ht="15" hidden="false" customHeight="true" outlineLevel="0" collapsed="false">
      <c r="D752" s="9" t="str">
        <f aca="false">IF(A752="","",IF(C752="2P",OPR_2P!B$2,IF(C752="SEG",SEG_6P!B$2,IF(C752="SOL",SOL_4P!B$2,IF(C752="RW",RW_2P!B$2,IF(C752="RW2",RW2_4P!B$2,0))))))</f>
        <v/>
      </c>
      <c r="G752" s="26"/>
      <c r="I752" s="26"/>
    </row>
    <row r="753" customFormat="false" ht="15" hidden="false" customHeight="true" outlineLevel="0" collapsed="false">
      <c r="D753" s="9" t="str">
        <f aca="false">IF(A753="","",IF(C753="2P",OPR_2P!B$2,IF(C753="SEG",SEG_6P!B$2,IF(C753="SOL",SOL_4P!B$2,IF(C753="RW",RW_2P!B$2,IF(C753="RW2",RW2_4P!B$2,0))))))</f>
        <v/>
      </c>
      <c r="G753" s="26"/>
      <c r="I753" s="26"/>
    </row>
    <row r="754" customFormat="false" ht="15" hidden="false" customHeight="true" outlineLevel="0" collapsed="false">
      <c r="D754" s="9" t="str">
        <f aca="false">IF(A754="","",IF(C754="2P",OPR_2P!B$2,IF(C754="SEG",SEG_6P!B$2,IF(C754="SOL",SOL_4P!B$2,IF(C754="RW",RW_2P!B$2,IF(C754="RW2",RW2_4P!B$2,0))))))</f>
        <v/>
      </c>
      <c r="G754" s="26"/>
      <c r="I754" s="26"/>
    </row>
    <row r="755" customFormat="false" ht="15" hidden="false" customHeight="true" outlineLevel="0" collapsed="false">
      <c r="D755" s="9" t="str">
        <f aca="false">IF(A755="","",IF(C755="2P",OPR_2P!B$2,IF(C755="SEG",SEG_6P!B$2,IF(C755="SOL",SOL_4P!B$2,IF(C755="RW",RW_2P!B$2,IF(C755="RW2",RW2_4P!B$2,0))))))</f>
        <v/>
      </c>
      <c r="G755" s="26"/>
      <c r="I755" s="26"/>
    </row>
    <row r="756" customFormat="false" ht="15" hidden="false" customHeight="true" outlineLevel="0" collapsed="false">
      <c r="D756" s="9" t="str">
        <f aca="false">IF(A756="","",IF(C756="2P",OPR_2P!B$2,IF(C756="SEG",SEG_6P!B$2,IF(C756="SOL",SOL_4P!B$2,IF(C756="RW",RW_2P!B$2,IF(C756="RW2",RW2_4P!B$2,0))))))</f>
        <v/>
      </c>
      <c r="G756" s="26"/>
      <c r="I756" s="26"/>
    </row>
    <row r="757" customFormat="false" ht="15" hidden="false" customHeight="true" outlineLevel="0" collapsed="false">
      <c r="D757" s="9" t="str">
        <f aca="false">IF(A757="","",IF(C757="2P",OPR_2P!B$2,IF(C757="SEG",SEG_6P!B$2,IF(C757="SOL",SOL_4P!B$2,IF(C757="RW",RW_2P!B$2,IF(C757="RW2",RW2_4P!B$2,0))))))</f>
        <v/>
      </c>
      <c r="G757" s="26"/>
      <c r="I757" s="26"/>
    </row>
    <row r="758" customFormat="false" ht="15" hidden="false" customHeight="true" outlineLevel="0" collapsed="false">
      <c r="D758" s="9" t="str">
        <f aca="false">IF(A758="","",IF(C758="2P",OPR_2P!B$2,IF(C758="SEG",SEG_6P!B$2,IF(C758="SOL",SOL_4P!B$2,IF(C758="RW",RW_2P!B$2,IF(C758="RW2",RW2_4P!B$2,0))))))</f>
        <v/>
      </c>
      <c r="G758" s="26"/>
      <c r="I758" s="26"/>
    </row>
    <row r="759" customFormat="false" ht="15" hidden="false" customHeight="true" outlineLevel="0" collapsed="false">
      <c r="D759" s="9" t="str">
        <f aca="false">IF(A759="","",IF(C759="2P",OPR_2P!B$2,IF(C759="SEG",SEG_6P!B$2,IF(C759="SOL",SOL_4P!B$2,IF(C759="RW",RW_2P!B$2,IF(C759="RW2",RW2_4P!B$2,0))))))</f>
        <v/>
      </c>
      <c r="G759" s="26"/>
      <c r="I759" s="26"/>
    </row>
    <row r="760" customFormat="false" ht="15" hidden="false" customHeight="true" outlineLevel="0" collapsed="false">
      <c r="D760" s="9" t="str">
        <f aca="false">IF(A760="","",IF(C760="2P",OPR_2P!B$2,IF(C760="SEG",SEG_6P!B$2,IF(C760="SOL",SOL_4P!B$2,IF(C760="RW",RW_2P!B$2,IF(C760="RW2",RW2_4P!B$2,0))))))</f>
        <v/>
      </c>
      <c r="G760" s="26"/>
      <c r="I760" s="26"/>
    </row>
    <row r="761" customFormat="false" ht="15" hidden="false" customHeight="true" outlineLevel="0" collapsed="false">
      <c r="D761" s="9" t="str">
        <f aca="false">IF(A761="","",IF(C761="2P",OPR_2P!B$2,IF(C761="SEG",SEG_6P!B$2,IF(C761="SOL",SOL_4P!B$2,IF(C761="RW",RW_2P!B$2,IF(C761="RW2",RW2_4P!B$2,0))))))</f>
        <v/>
      </c>
      <c r="G761" s="26"/>
      <c r="I761" s="26"/>
    </row>
    <row r="762" customFormat="false" ht="15" hidden="false" customHeight="true" outlineLevel="0" collapsed="false">
      <c r="D762" s="9" t="str">
        <f aca="false">IF(A762="","",IF(C762="2P",OPR_2P!B$2,IF(C762="SEG",SEG_6P!B$2,IF(C762="SOL",SOL_4P!B$2,IF(C762="RW",RW_2P!B$2,IF(C762="RW2",RW2_4P!B$2,0))))))</f>
        <v/>
      </c>
      <c r="G762" s="26"/>
      <c r="I762" s="26"/>
    </row>
    <row r="763" customFormat="false" ht="15" hidden="false" customHeight="true" outlineLevel="0" collapsed="false">
      <c r="D763" s="9" t="str">
        <f aca="false">IF(A763="","",IF(C763="2P",OPR_2P!B$2,IF(C763="SEG",SEG_6P!B$2,IF(C763="SOL",SOL_4P!B$2,IF(C763="RW",RW_2P!B$2,IF(C763="RW2",RW2_4P!B$2,0))))))</f>
        <v/>
      </c>
      <c r="G763" s="26"/>
      <c r="I763" s="26"/>
    </row>
    <row r="764" customFormat="false" ht="15" hidden="false" customHeight="true" outlineLevel="0" collapsed="false">
      <c r="D764" s="9" t="str">
        <f aca="false">IF(A764="","",IF(C764="2P",OPR_2P!B$2,IF(C764="SEG",SEG_6P!B$2,IF(C764="SOL",SOL_4P!B$2,IF(C764="RW",RW_2P!B$2,IF(C764="RW2",RW2_4P!B$2,0))))))</f>
        <v/>
      </c>
      <c r="G764" s="26"/>
      <c r="I764" s="26"/>
    </row>
    <row r="765" customFormat="false" ht="15" hidden="false" customHeight="true" outlineLevel="0" collapsed="false">
      <c r="D765" s="9" t="str">
        <f aca="false">IF(A765="","",IF(C765="2P",OPR_2P!B$2,IF(C765="SEG",SEG_6P!B$2,IF(C765="SOL",SOL_4P!B$2,IF(C765="RW",RW_2P!B$2,IF(C765="RW2",RW2_4P!B$2,0))))))</f>
        <v/>
      </c>
      <c r="G765" s="26"/>
      <c r="I765" s="26"/>
    </row>
    <row r="766" customFormat="false" ht="15" hidden="false" customHeight="true" outlineLevel="0" collapsed="false">
      <c r="D766" s="9" t="str">
        <f aca="false">IF(A766="","",IF(C766="2P",OPR_2P!B$2,IF(C766="SEG",SEG_6P!B$2,IF(C766="SOL",SOL_4P!B$2,IF(C766="RW",RW_2P!B$2,IF(C766="RW2",RW2_4P!B$2,0))))))</f>
        <v/>
      </c>
      <c r="G766" s="26"/>
      <c r="I766" s="26"/>
    </row>
    <row r="767" customFormat="false" ht="15" hidden="false" customHeight="true" outlineLevel="0" collapsed="false">
      <c r="D767" s="9" t="str">
        <f aca="false">IF(A767="","",IF(C767="2P",OPR_2P!B$2,IF(C767="SEG",SEG_6P!B$2,IF(C767="SOL",SOL_4P!B$2,IF(C767="RW",RW_2P!B$2,IF(C767="RW2",RW2_4P!B$2,0))))))</f>
        <v/>
      </c>
      <c r="G767" s="26"/>
      <c r="I767" s="26"/>
    </row>
    <row r="768" customFormat="false" ht="15" hidden="false" customHeight="true" outlineLevel="0" collapsed="false">
      <c r="D768" s="9" t="str">
        <f aca="false">IF(A768="","",IF(C768="2P",OPR_2P!B$2,IF(C768="SEG",SEG_6P!B$2,IF(C768="SOL",SOL_4P!B$2,IF(C768="RW",RW_2P!B$2,IF(C768="RW2",RW2_4P!B$2,0))))))</f>
        <v/>
      </c>
      <c r="G768" s="26"/>
      <c r="I768" s="26"/>
    </row>
    <row r="769" customFormat="false" ht="15" hidden="false" customHeight="true" outlineLevel="0" collapsed="false">
      <c r="D769" s="9" t="str">
        <f aca="false">IF(A769="","",IF(C769="2P",OPR_2P!B$2,IF(C769="SEG",SEG_6P!B$2,IF(C769="SOL",SOL_4P!B$2,IF(C769="RW",RW_2P!B$2,IF(C769="RW2",RW2_4P!B$2,0))))))</f>
        <v/>
      </c>
      <c r="G769" s="26"/>
      <c r="I769" s="26"/>
    </row>
    <row r="770" customFormat="false" ht="15" hidden="false" customHeight="true" outlineLevel="0" collapsed="false">
      <c r="D770" s="9" t="str">
        <f aca="false">IF(A770="","",IF(C770="2P",OPR_2P!B$2,IF(C770="SEG",SEG_6P!B$2,IF(C770="SOL",SOL_4P!B$2,IF(C770="RW",RW_2P!B$2,IF(C770="RW2",RW2_4P!B$2,0))))))</f>
        <v/>
      </c>
      <c r="G770" s="26"/>
      <c r="I770" s="26"/>
    </row>
    <row r="771" customFormat="false" ht="15" hidden="false" customHeight="true" outlineLevel="0" collapsed="false">
      <c r="D771" s="9" t="str">
        <f aca="false">IF(A771="","",IF(C771="2P",OPR_2P!B$2,IF(C771="SEG",SEG_6P!B$2,IF(C771="SOL",SOL_4P!B$2,IF(C771="RW",RW_2P!B$2,IF(C771="RW2",RW2_4P!B$2,0))))))</f>
        <v/>
      </c>
      <c r="G771" s="26"/>
      <c r="I771" s="26"/>
    </row>
    <row r="772" customFormat="false" ht="15" hidden="false" customHeight="true" outlineLevel="0" collapsed="false">
      <c r="D772" s="9" t="str">
        <f aca="false">IF(A772="","",IF(C772="2P",OPR_2P!B$2,IF(C772="SEG",SEG_6P!B$2,IF(C772="SOL",SOL_4P!B$2,IF(C772="RW",RW_2P!B$2,IF(C772="RW2",RW2_4P!B$2,0))))))</f>
        <v/>
      </c>
      <c r="G772" s="26"/>
      <c r="I772" s="26"/>
    </row>
    <row r="773" customFormat="false" ht="15" hidden="false" customHeight="true" outlineLevel="0" collapsed="false">
      <c r="D773" s="9" t="str">
        <f aca="false">IF(A773="","",IF(C773="2P",OPR_2P!B$2,IF(C773="SEG",SEG_6P!B$2,IF(C773="SOL",SOL_4P!B$2,IF(C773="RW",RW_2P!B$2,IF(C773="RW2",RW2_4P!B$2,0))))))</f>
        <v/>
      </c>
      <c r="G773" s="26"/>
      <c r="I773" s="26"/>
    </row>
    <row r="774" customFormat="false" ht="15" hidden="false" customHeight="true" outlineLevel="0" collapsed="false">
      <c r="D774" s="9" t="str">
        <f aca="false">IF(A774="","",IF(C774="2P",OPR_2P!B$2,IF(C774="SEG",SEG_6P!B$2,IF(C774="SOL",SOL_4P!B$2,IF(C774="RW",RW_2P!B$2,IF(C774="RW2",RW2_4P!B$2,0))))))</f>
        <v/>
      </c>
      <c r="G774" s="26"/>
      <c r="I774" s="26"/>
    </row>
    <row r="775" customFormat="false" ht="15" hidden="false" customHeight="true" outlineLevel="0" collapsed="false">
      <c r="D775" s="9" t="str">
        <f aca="false">IF(A775="","",IF(C775="2P",OPR_2P!B$2,IF(C775="SEG",SEG_6P!B$2,IF(C775="SOL",SOL_4P!B$2,IF(C775="RW",RW_2P!B$2,IF(C775="RW2",RW2_4P!B$2,0))))))</f>
        <v/>
      </c>
      <c r="G775" s="26"/>
      <c r="I775" s="26"/>
    </row>
    <row r="776" customFormat="false" ht="15" hidden="false" customHeight="true" outlineLevel="0" collapsed="false">
      <c r="D776" s="9" t="str">
        <f aca="false">IF(A776="","",IF(C776="2P",OPR_2P!B$2,IF(C776="SEG",SEG_6P!B$2,IF(C776="SOL",SOL_4P!B$2,IF(C776="RW",RW_2P!B$2,IF(C776="RW2",RW2_4P!B$2,0))))))</f>
        <v/>
      </c>
      <c r="G776" s="26"/>
      <c r="I776" s="26"/>
    </row>
    <row r="777" customFormat="false" ht="15" hidden="false" customHeight="true" outlineLevel="0" collapsed="false">
      <c r="D777" s="9" t="str">
        <f aca="false">IF(A777="","",IF(C777="2P",OPR_2P!B$2,IF(C777="SEG",SEG_6P!B$2,IF(C777="SOL",SOL_4P!B$2,IF(C777="RW",RW_2P!B$2,IF(C777="RW2",RW2_4P!B$2,0))))))</f>
        <v/>
      </c>
      <c r="G777" s="26"/>
      <c r="I777" s="26"/>
    </row>
    <row r="778" customFormat="false" ht="15" hidden="false" customHeight="true" outlineLevel="0" collapsed="false">
      <c r="D778" s="9" t="str">
        <f aca="false">IF(A778="","",IF(C778="2P",OPR_2P!B$2,IF(C778="SEG",SEG_6P!B$2,IF(C778="SOL",SOL_4P!B$2,IF(C778="RW",RW_2P!B$2,IF(C778="RW2",RW2_4P!B$2,0))))))</f>
        <v/>
      </c>
      <c r="G778" s="26"/>
      <c r="I778" s="26"/>
    </row>
    <row r="779" customFormat="false" ht="15" hidden="false" customHeight="true" outlineLevel="0" collapsed="false">
      <c r="D779" s="9" t="str">
        <f aca="false">IF(A779="","",IF(C779="2P",OPR_2P!B$2,IF(C779="SEG",SEG_6P!B$2,IF(C779="SOL",SOL_4P!B$2,IF(C779="RW",RW_2P!B$2,IF(C779="RW2",RW2_4P!B$2,0))))))</f>
        <v/>
      </c>
      <c r="G779" s="26"/>
      <c r="I779" s="26"/>
    </row>
    <row r="780" customFormat="false" ht="15" hidden="false" customHeight="true" outlineLevel="0" collapsed="false">
      <c r="D780" s="9" t="str">
        <f aca="false">IF(A780="","",IF(C780="2P",OPR_2P!B$2,IF(C780="SEG",SEG_6P!B$2,IF(C780="SOL",SOL_4P!B$2,IF(C780="RW",RW_2P!B$2,IF(C780="RW2",RW2_4P!B$2,0))))))</f>
        <v/>
      </c>
      <c r="G780" s="26"/>
      <c r="I780" s="26"/>
    </row>
    <row r="781" customFormat="false" ht="15" hidden="false" customHeight="true" outlineLevel="0" collapsed="false">
      <c r="D781" s="9" t="str">
        <f aca="false">IF(A781="","",IF(C781="2P",OPR_2P!B$2,IF(C781="SEG",SEG_6P!B$2,IF(C781="SOL",SOL_4P!B$2,IF(C781="RW",RW_2P!B$2,IF(C781="RW2",RW2_4P!B$2,0))))))</f>
        <v/>
      </c>
      <c r="G781" s="26"/>
      <c r="I781" s="26"/>
    </row>
    <row r="782" customFormat="false" ht="15" hidden="false" customHeight="true" outlineLevel="0" collapsed="false">
      <c r="D782" s="9" t="str">
        <f aca="false">IF(A782="","",IF(C782="2P",OPR_2P!B$2,IF(C782="SEG",SEG_6P!B$2,IF(C782="SOL",SOL_4P!B$2,IF(C782="RW",RW_2P!B$2,IF(C782="RW2",RW2_4P!B$2,0))))))</f>
        <v/>
      </c>
      <c r="G782" s="26"/>
      <c r="I782" s="26"/>
    </row>
    <row r="783" customFormat="false" ht="15" hidden="false" customHeight="true" outlineLevel="0" collapsed="false">
      <c r="D783" s="9" t="str">
        <f aca="false">IF(A783="","",IF(C783="2P",OPR_2P!B$2,IF(C783="SEG",SEG_6P!B$2,IF(C783="SOL",SOL_4P!B$2,IF(C783="RW",RW_2P!B$2,IF(C783="RW2",RW2_4P!B$2,0))))))</f>
        <v/>
      </c>
      <c r="G783" s="26"/>
      <c r="I783" s="26"/>
    </row>
    <row r="784" customFormat="false" ht="15" hidden="false" customHeight="true" outlineLevel="0" collapsed="false">
      <c r="D784" s="9" t="str">
        <f aca="false">IF(A784="","",IF(C784="2P",OPR_2P!B$2,IF(C784="SEG",SEG_6P!B$2,IF(C784="SOL",SOL_4P!B$2,IF(C784="RW",RW_2P!B$2,IF(C784="RW2",RW2_4P!B$2,0))))))</f>
        <v/>
      </c>
      <c r="G784" s="26"/>
      <c r="I784" s="26"/>
    </row>
    <row r="785" customFormat="false" ht="15" hidden="false" customHeight="true" outlineLevel="0" collapsed="false">
      <c r="D785" s="9" t="str">
        <f aca="false">IF(A785="","",IF(C785="2P",OPR_2P!B$2,IF(C785="SEG",SEG_6P!B$2,IF(C785="SOL",SOL_4P!B$2,IF(C785="RW",RW_2P!B$2,IF(C785="RW2",RW2_4P!B$2,0))))))</f>
        <v/>
      </c>
      <c r="G785" s="26"/>
      <c r="I785" s="26"/>
    </row>
    <row r="786" customFormat="false" ht="15" hidden="false" customHeight="true" outlineLevel="0" collapsed="false">
      <c r="D786" s="9" t="str">
        <f aca="false">IF(A786="","",IF(C786="2P",OPR_2P!B$2,IF(C786="SEG",SEG_6P!B$2,IF(C786="SOL",SOL_4P!B$2,IF(C786="RW",RW_2P!B$2,IF(C786="RW2",RW2_4P!B$2,0))))))</f>
        <v/>
      </c>
      <c r="G786" s="26"/>
      <c r="I786" s="26"/>
    </row>
    <row r="787" customFormat="false" ht="15" hidden="false" customHeight="true" outlineLevel="0" collapsed="false">
      <c r="D787" s="9" t="str">
        <f aca="false">IF(A787="","",IF(C787="2P",OPR_2P!B$2,IF(C787="SEG",SEG_6P!B$2,IF(C787="SOL",SOL_4P!B$2,IF(C787="RW",RW_2P!B$2,IF(C787="RW2",RW2_4P!B$2,0))))))</f>
        <v/>
      </c>
      <c r="G787" s="26"/>
      <c r="I787" s="26"/>
    </row>
    <row r="788" customFormat="false" ht="15" hidden="false" customHeight="true" outlineLevel="0" collapsed="false">
      <c r="D788" s="9" t="str">
        <f aca="false">IF(A788="","",IF(C788="2P",OPR_2P!B$2,IF(C788="SEG",SEG_6P!B$2,IF(C788="SOL",SOL_4P!B$2,IF(C788="RW",RW_2P!B$2,IF(C788="RW2",RW2_4P!B$2,0))))))</f>
        <v/>
      </c>
      <c r="G788" s="26"/>
      <c r="I788" s="26"/>
    </row>
    <row r="789" customFormat="false" ht="15" hidden="false" customHeight="true" outlineLevel="0" collapsed="false">
      <c r="D789" s="9" t="str">
        <f aca="false">IF(A789="","",IF(C789="2P",OPR_2P!B$2,IF(C789="SEG",SEG_6P!B$2,IF(C789="SOL",SOL_4P!B$2,IF(C789="RW",RW_2P!B$2,IF(C789="RW2",RW2_4P!B$2,0))))))</f>
        <v/>
      </c>
      <c r="G789" s="26"/>
      <c r="I789" s="26"/>
    </row>
    <row r="790" customFormat="false" ht="15" hidden="false" customHeight="true" outlineLevel="0" collapsed="false">
      <c r="D790" s="9" t="str">
        <f aca="false">IF(A790="","",IF(C790="2P",OPR_2P!B$2,IF(C790="SEG",SEG_6P!B$2,IF(C790="SOL",SOL_4P!B$2,IF(C790="RW",RW_2P!B$2,IF(C790="RW2",RW2_4P!B$2,0))))))</f>
        <v/>
      </c>
      <c r="G790" s="26"/>
      <c r="I790" s="26"/>
    </row>
    <row r="791" customFormat="false" ht="15" hidden="false" customHeight="true" outlineLevel="0" collapsed="false">
      <c r="D791" s="9" t="str">
        <f aca="false">IF(A791="","",IF(C791="2P",OPR_2P!B$2,IF(C791="SEG",SEG_6P!B$2,IF(C791="SOL",SOL_4P!B$2,IF(C791="RW",RW_2P!B$2,IF(C791="RW2",RW2_4P!B$2,0))))))</f>
        <v/>
      </c>
      <c r="G791" s="26"/>
      <c r="I791" s="26"/>
    </row>
    <row r="792" customFormat="false" ht="15" hidden="false" customHeight="true" outlineLevel="0" collapsed="false">
      <c r="D792" s="9" t="str">
        <f aca="false">IF(A792="","",IF(C792="2P",OPR_2P!B$2,IF(C792="SEG",SEG_6P!B$2,IF(C792="SOL",SOL_4P!B$2,IF(C792="RW",RW_2P!B$2,IF(C792="RW2",RW2_4P!B$2,0))))))</f>
        <v/>
      </c>
      <c r="G792" s="26"/>
      <c r="I792" s="26"/>
    </row>
    <row r="793" customFormat="false" ht="15" hidden="false" customHeight="true" outlineLevel="0" collapsed="false">
      <c r="D793" s="9" t="str">
        <f aca="false">IF(A793="","",IF(C793="2P",OPR_2P!B$2,IF(C793="SEG",SEG_6P!B$2,IF(C793="SOL",SOL_4P!B$2,IF(C793="RW",RW_2P!B$2,IF(C793="RW2",RW2_4P!B$2,0))))))</f>
        <v/>
      </c>
      <c r="G793" s="26"/>
      <c r="I793" s="26"/>
    </row>
    <row r="794" customFormat="false" ht="15" hidden="false" customHeight="true" outlineLevel="0" collapsed="false">
      <c r="D794" s="9" t="str">
        <f aca="false">IF(A794="","",IF(C794="2P",OPR_2P!B$2,IF(C794="SEG",SEG_6P!B$2,IF(C794="SOL",SOL_4P!B$2,IF(C794="RW",RW_2P!B$2,IF(C794="RW2",RW2_4P!B$2,0))))))</f>
        <v/>
      </c>
      <c r="G794" s="26"/>
      <c r="I794" s="26"/>
    </row>
    <row r="795" customFormat="false" ht="15" hidden="false" customHeight="true" outlineLevel="0" collapsed="false">
      <c r="D795" s="9" t="str">
        <f aca="false">IF(A795="","",IF(C795="2P",OPR_2P!B$2,IF(C795="SEG",SEG_6P!B$2,IF(C795="SOL",SOL_4P!B$2,IF(C795="RW",RW_2P!B$2,IF(C795="RW2",RW2_4P!B$2,0))))))</f>
        <v/>
      </c>
      <c r="G795" s="26"/>
      <c r="I795" s="26"/>
    </row>
    <row r="796" customFormat="false" ht="15" hidden="false" customHeight="true" outlineLevel="0" collapsed="false">
      <c r="D796" s="9" t="str">
        <f aca="false">IF(A796="","",IF(C796="2P",OPR_2P!B$2,IF(C796="SEG",SEG_6P!B$2,IF(C796="SOL",SOL_4P!B$2,IF(C796="RW",RW_2P!B$2,IF(C796="RW2",RW2_4P!B$2,0))))))</f>
        <v/>
      </c>
      <c r="G796" s="26"/>
      <c r="I796" s="26"/>
    </row>
    <row r="797" customFormat="false" ht="15" hidden="false" customHeight="true" outlineLevel="0" collapsed="false">
      <c r="D797" s="9" t="str">
        <f aca="false">IF(A797="","",IF(C797="2P",OPR_2P!B$2,IF(C797="SEG",SEG_6P!B$2,IF(C797="SOL",SOL_4P!B$2,IF(C797="RW",RW_2P!B$2,IF(C797="RW2",RW2_4P!B$2,0))))))</f>
        <v/>
      </c>
      <c r="G797" s="26"/>
      <c r="I797" s="26"/>
    </row>
    <row r="798" customFormat="false" ht="15" hidden="false" customHeight="true" outlineLevel="0" collapsed="false">
      <c r="D798" s="9" t="str">
        <f aca="false">IF(A798="","",IF(C798="2P",OPR_2P!B$2,IF(C798="SEG",SEG_6P!B$2,IF(C798="SOL",SOL_4P!B$2,IF(C798="RW",RW_2P!B$2,IF(C798="RW2",RW2_4P!B$2,0))))))</f>
        <v/>
      </c>
      <c r="G798" s="26"/>
      <c r="I798" s="26"/>
    </row>
    <row r="799" customFormat="false" ht="15" hidden="false" customHeight="true" outlineLevel="0" collapsed="false">
      <c r="D799" s="9" t="str">
        <f aca="false">IF(A799="","",IF(C799="2P",OPR_2P!B$2,IF(C799="SEG",SEG_6P!B$2,IF(C799="SOL",SOL_4P!B$2,IF(C799="RW",RW_2P!B$2,IF(C799="RW2",RW2_4P!B$2,0))))))</f>
        <v/>
      </c>
      <c r="G799" s="26"/>
      <c r="I799" s="26"/>
    </row>
    <row r="800" customFormat="false" ht="15" hidden="false" customHeight="true" outlineLevel="0" collapsed="false">
      <c r="D800" s="9" t="str">
        <f aca="false">IF(A800="","",IF(C800="2P",OPR_2P!B$2,IF(C800="SEG",SEG_6P!B$2,IF(C800="SOL",SOL_4P!B$2,IF(C800="RW",RW_2P!B$2,IF(C800="RW2",RW2_4P!B$2,0))))))</f>
        <v/>
      </c>
      <c r="G800" s="26"/>
      <c r="I800" s="26"/>
    </row>
    <row r="801" customFormat="false" ht="15" hidden="false" customHeight="true" outlineLevel="0" collapsed="false">
      <c r="D801" s="9" t="str">
        <f aca="false">IF(A801="","",IF(C801="2P",OPR_2P!B$2,IF(C801="SEG",SEG_6P!B$2,IF(C801="SOL",SOL_4P!B$2,IF(C801="RW",RW_2P!B$2,IF(C801="RW2",RW2_4P!B$2,0))))))</f>
        <v/>
      </c>
      <c r="G801" s="26"/>
      <c r="I801" s="26"/>
    </row>
    <row r="802" customFormat="false" ht="15" hidden="false" customHeight="true" outlineLevel="0" collapsed="false">
      <c r="D802" s="9" t="str">
        <f aca="false">IF(A802="","",IF(C802="2P",OPR_2P!B$2,IF(C802="SEG",SEG_6P!B$2,IF(C802="SOL",SOL_4P!B$2,IF(C802="RW",RW_2P!B$2,IF(C802="RW2",RW2_4P!B$2,0))))))</f>
        <v/>
      </c>
      <c r="G802" s="26"/>
      <c r="I802" s="26"/>
    </row>
    <row r="803" customFormat="false" ht="15" hidden="false" customHeight="true" outlineLevel="0" collapsed="false">
      <c r="D803" s="9" t="str">
        <f aca="false">IF(A803="","",IF(C803="2P",OPR_2P!B$2,IF(C803="SEG",SEG_6P!B$2,IF(C803="SOL",SOL_4P!B$2,IF(C803="RW",RW_2P!B$2,IF(C803="RW2",RW2_4P!B$2,0))))))</f>
        <v/>
      </c>
      <c r="G803" s="26"/>
      <c r="I803" s="26"/>
    </row>
    <row r="804" customFormat="false" ht="15" hidden="false" customHeight="true" outlineLevel="0" collapsed="false">
      <c r="D804" s="9" t="str">
        <f aca="false">IF(A804="","",IF(C804="2P",OPR_2P!B$2,IF(C804="SEG",SEG_6P!B$2,IF(C804="SOL",SOL_4P!B$2,IF(C804="RW",RW_2P!B$2,IF(C804="RW2",RW2_4P!B$2,0))))))</f>
        <v/>
      </c>
      <c r="G804" s="26"/>
      <c r="I804" s="26"/>
    </row>
    <row r="805" customFormat="false" ht="15" hidden="false" customHeight="true" outlineLevel="0" collapsed="false">
      <c r="D805" s="9" t="str">
        <f aca="false">IF(A805="","",IF(C805="2P",OPR_2P!B$2,IF(C805="SEG",SEG_6P!B$2,IF(C805="SOL",SOL_4P!B$2,IF(C805="RW",RW_2P!B$2,IF(C805="RW2",RW2_4P!B$2,0))))))</f>
        <v/>
      </c>
      <c r="G805" s="26"/>
      <c r="I805" s="26"/>
    </row>
    <row r="806" customFormat="false" ht="15" hidden="false" customHeight="true" outlineLevel="0" collapsed="false">
      <c r="D806" s="9" t="str">
        <f aca="false">IF(A806="","",IF(C806="2P",OPR_2P!B$2,IF(C806="SEG",SEG_6P!B$2,IF(C806="SOL",SOL_4P!B$2,IF(C806="RW",RW_2P!B$2,IF(C806="RW2",RW2_4P!B$2,0))))))</f>
        <v/>
      </c>
      <c r="G806" s="26"/>
      <c r="I806" s="26"/>
    </row>
    <row r="807" customFormat="false" ht="15" hidden="false" customHeight="true" outlineLevel="0" collapsed="false">
      <c r="D807" s="9" t="str">
        <f aca="false">IF(A807="","",IF(C807="2P",OPR_2P!B$2,IF(C807="SEG",SEG_6P!B$2,IF(C807="SOL",SOL_4P!B$2,IF(C807="RW",RW_2P!B$2,IF(C807="RW2",RW2_4P!B$2,0))))))</f>
        <v/>
      </c>
      <c r="G807" s="26"/>
      <c r="I807" s="26"/>
    </row>
    <row r="808" customFormat="false" ht="15" hidden="false" customHeight="true" outlineLevel="0" collapsed="false">
      <c r="D808" s="9" t="str">
        <f aca="false">IF(A808="","",IF(C808="2P",OPR_2P!B$2,IF(C808="SEG",SEG_6P!B$2,IF(C808="SOL",SOL_4P!B$2,IF(C808="RW",RW_2P!B$2,IF(C808="RW2",RW2_4P!B$2,0))))))</f>
        <v/>
      </c>
      <c r="G808" s="26"/>
      <c r="I808" s="26"/>
    </row>
    <row r="809" customFormat="false" ht="15" hidden="false" customHeight="true" outlineLevel="0" collapsed="false">
      <c r="D809" s="9" t="str">
        <f aca="false">IF(A809="","",IF(C809="2P",OPR_2P!B$2,IF(C809="SEG",SEG_6P!B$2,IF(C809="SOL",SOL_4P!B$2,IF(C809="RW",RW_2P!B$2,IF(C809="RW2",RW2_4P!B$2,0))))))</f>
        <v/>
      </c>
      <c r="G809" s="26"/>
      <c r="I809" s="26"/>
    </row>
    <row r="810" customFormat="false" ht="15" hidden="false" customHeight="true" outlineLevel="0" collapsed="false">
      <c r="D810" s="9" t="str">
        <f aca="false">IF(A810="","",IF(C810="2P",OPR_2P!B$2,IF(C810="SEG",SEG_6P!B$2,IF(C810="SOL",SOL_4P!B$2,IF(C810="RW",RW_2P!B$2,IF(C810="RW2",RW2_4P!B$2,0))))))</f>
        <v/>
      </c>
      <c r="G810" s="26"/>
      <c r="I810" s="26"/>
    </row>
    <row r="811" customFormat="false" ht="15" hidden="false" customHeight="true" outlineLevel="0" collapsed="false">
      <c r="D811" s="9" t="str">
        <f aca="false">IF(A811="","",IF(C811="2P",OPR_2P!B$2,IF(C811="SEG",SEG_6P!B$2,IF(C811="SOL",SOL_4P!B$2,IF(C811="RW",RW_2P!B$2,IF(C811="RW2",RW2_4P!B$2,0))))))</f>
        <v/>
      </c>
      <c r="G811" s="26"/>
      <c r="I811" s="26"/>
    </row>
    <row r="812" customFormat="false" ht="15" hidden="false" customHeight="true" outlineLevel="0" collapsed="false">
      <c r="D812" s="9" t="str">
        <f aca="false">IF(A812="","",IF(C812="2P",OPR_2P!B$2,IF(C812="SEG",SEG_6P!B$2,IF(C812="SOL",SOL_4P!B$2,IF(C812="RW",RW_2P!B$2,IF(C812="RW2",RW2_4P!B$2,0))))))</f>
        <v/>
      </c>
      <c r="G812" s="26"/>
      <c r="I812" s="26"/>
    </row>
    <row r="813" customFormat="false" ht="15" hidden="false" customHeight="true" outlineLevel="0" collapsed="false">
      <c r="D813" s="9" t="str">
        <f aca="false">IF(A813="","",IF(C813="2P",OPR_2P!B$2,IF(C813="SEG",SEG_6P!B$2,IF(C813="SOL",SOL_4P!B$2,IF(C813="RW",RW_2P!B$2,IF(C813="RW2",RW2_4P!B$2,0))))))</f>
        <v/>
      </c>
      <c r="G813" s="26"/>
      <c r="I813" s="26"/>
    </row>
    <row r="814" customFormat="false" ht="15" hidden="false" customHeight="true" outlineLevel="0" collapsed="false">
      <c r="D814" s="9" t="str">
        <f aca="false">IF(A814="","",IF(C814="2P",OPR_2P!B$2,IF(C814="SEG",SEG_6P!B$2,IF(C814="SOL",SOL_4P!B$2,IF(C814="RW",RW_2P!B$2,IF(C814="RW2",RW2_4P!B$2,0))))))</f>
        <v/>
      </c>
      <c r="G814" s="26"/>
      <c r="I814" s="26"/>
    </row>
    <row r="815" customFormat="false" ht="15" hidden="false" customHeight="true" outlineLevel="0" collapsed="false">
      <c r="D815" s="9" t="str">
        <f aca="false">IF(A815="","",IF(C815="2P",OPR_2P!B$2,IF(C815="SEG",SEG_6P!B$2,IF(C815="SOL",SOL_4P!B$2,IF(C815="RW",RW_2P!B$2,IF(C815="RW2",RW2_4P!B$2,0))))))</f>
        <v/>
      </c>
      <c r="G815" s="26"/>
      <c r="I815" s="26"/>
    </row>
    <row r="816" customFormat="false" ht="15" hidden="false" customHeight="true" outlineLevel="0" collapsed="false">
      <c r="D816" s="9" t="str">
        <f aca="false">IF(A816="","",IF(C816="2P",OPR_2P!B$2,IF(C816="SEG",SEG_6P!B$2,IF(C816="SOL",SOL_4P!B$2,IF(C816="RW",RW_2P!B$2,IF(C816="RW2",RW2_4P!B$2,0))))))</f>
        <v/>
      </c>
      <c r="G816" s="26"/>
      <c r="I816" s="26"/>
    </row>
    <row r="817" customFormat="false" ht="15" hidden="false" customHeight="true" outlineLevel="0" collapsed="false">
      <c r="D817" s="9" t="str">
        <f aca="false">IF(A817="","",IF(C817="2P",OPR_2P!B$2,IF(C817="SEG",SEG_6P!B$2,IF(C817="SOL",SOL_4P!B$2,IF(C817="RW",RW_2P!B$2,IF(C817="RW2",RW2_4P!B$2,0))))))</f>
        <v/>
      </c>
      <c r="G817" s="26"/>
      <c r="I817" s="26"/>
    </row>
    <row r="818" customFormat="false" ht="15" hidden="false" customHeight="true" outlineLevel="0" collapsed="false">
      <c r="D818" s="9" t="str">
        <f aca="false">IF(A818="","",IF(C818="2P",OPR_2P!B$2,IF(C818="SEG",SEG_6P!B$2,IF(C818="SOL",SOL_4P!B$2,IF(C818="RW",RW_2P!B$2,IF(C818="RW2",RW2_4P!B$2,0))))))</f>
        <v/>
      </c>
      <c r="G818" s="26"/>
      <c r="I818" s="26"/>
    </row>
    <row r="819" customFormat="false" ht="15" hidden="false" customHeight="true" outlineLevel="0" collapsed="false">
      <c r="D819" s="9" t="str">
        <f aca="false">IF(A819="","",IF(C819="2P",OPR_2P!B$2,IF(C819="SEG",SEG_6P!B$2,IF(C819="SOL",SOL_4P!B$2,IF(C819="RW",RW_2P!B$2,IF(C819="RW2",RW2_4P!B$2,0))))))</f>
        <v/>
      </c>
      <c r="G819" s="26"/>
      <c r="I819" s="26"/>
    </row>
    <row r="820" customFormat="false" ht="15" hidden="false" customHeight="true" outlineLevel="0" collapsed="false">
      <c r="D820" s="9" t="str">
        <f aca="false">IF(A820="","",IF(C820="2P",OPR_2P!B$2,IF(C820="SEG",SEG_6P!B$2,IF(C820="SOL",SOL_4P!B$2,IF(C820="RW",RW_2P!B$2,IF(C820="RW2",RW2_4P!B$2,0))))))</f>
        <v/>
      </c>
      <c r="G820" s="26"/>
      <c r="I820" s="26"/>
    </row>
    <row r="821" customFormat="false" ht="15" hidden="false" customHeight="true" outlineLevel="0" collapsed="false">
      <c r="D821" s="9" t="str">
        <f aca="false">IF(A821="","",IF(C821="2P",OPR_2P!B$2,IF(C821="SEG",SEG_6P!B$2,IF(C821="SOL",SOL_4P!B$2,IF(C821="RW",RW_2P!B$2,IF(C821="RW2",RW2_4P!B$2,0))))))</f>
        <v/>
      </c>
      <c r="G821" s="26"/>
      <c r="I821" s="26"/>
    </row>
    <row r="822" customFormat="false" ht="15" hidden="false" customHeight="true" outlineLevel="0" collapsed="false">
      <c r="D822" s="9" t="str">
        <f aca="false">IF(A822="","",IF(C822="2P",OPR_2P!B$2,IF(C822="SEG",SEG_6P!B$2,IF(C822="SOL",SOL_4P!B$2,IF(C822="RW",RW_2P!B$2,IF(C822="RW2",RW2_4P!B$2,0))))))</f>
        <v/>
      </c>
      <c r="G822" s="26"/>
      <c r="I822" s="26"/>
    </row>
    <row r="823" customFormat="false" ht="15" hidden="false" customHeight="true" outlineLevel="0" collapsed="false">
      <c r="D823" s="9" t="str">
        <f aca="false">IF(A823="","",IF(C823="2P",OPR_2P!B$2,IF(C823="SEG",SEG_6P!B$2,IF(C823="SOL",SOL_4P!B$2,IF(C823="RW",RW_2P!B$2,IF(C823="RW2",RW2_4P!B$2,0))))))</f>
        <v/>
      </c>
      <c r="G823" s="26"/>
      <c r="I823" s="26"/>
    </row>
    <row r="824" customFormat="false" ht="15" hidden="false" customHeight="true" outlineLevel="0" collapsed="false">
      <c r="D824" s="9" t="str">
        <f aca="false">IF(A824="","",IF(C824="2P",OPR_2P!B$2,IF(C824="SEG",SEG_6P!B$2,IF(C824="SOL",SOL_4P!B$2,IF(C824="RW",RW_2P!B$2,IF(C824="RW2",RW2_4P!B$2,0))))))</f>
        <v/>
      </c>
      <c r="G824" s="26"/>
      <c r="I824" s="26"/>
    </row>
    <row r="825" customFormat="false" ht="15" hidden="false" customHeight="true" outlineLevel="0" collapsed="false">
      <c r="D825" s="9" t="str">
        <f aca="false">IF(A825="","",IF(C825="2P",OPR_2P!B$2,IF(C825="SEG",SEG_6P!B$2,IF(C825="SOL",SOL_4P!B$2,IF(C825="RW",RW_2P!B$2,IF(C825="RW2",RW2_4P!B$2,0))))))</f>
        <v/>
      </c>
      <c r="G825" s="26"/>
      <c r="I825" s="26"/>
    </row>
    <row r="826" customFormat="false" ht="15" hidden="false" customHeight="true" outlineLevel="0" collapsed="false">
      <c r="D826" s="9" t="str">
        <f aca="false">IF(A826="","",IF(C826="2P",OPR_2P!B$2,IF(C826="SEG",SEG_6P!B$2,IF(C826="SOL",SOL_4P!B$2,IF(C826="RW",RW_2P!B$2,IF(C826="RW2",RW2_4P!B$2,0))))))</f>
        <v/>
      </c>
      <c r="G826" s="26"/>
      <c r="I826" s="26"/>
    </row>
    <row r="827" customFormat="false" ht="15" hidden="false" customHeight="true" outlineLevel="0" collapsed="false">
      <c r="D827" s="9" t="str">
        <f aca="false">IF(A827="","",IF(C827="2P",OPR_2P!B$2,IF(C827="SEG",SEG_6P!B$2,IF(C827="SOL",SOL_4P!B$2,IF(C827="RW",RW_2P!B$2,IF(C827="RW2",RW2_4P!B$2,0))))))</f>
        <v/>
      </c>
      <c r="G827" s="26"/>
      <c r="I827" s="26"/>
    </row>
    <row r="828" customFormat="false" ht="15" hidden="false" customHeight="true" outlineLevel="0" collapsed="false">
      <c r="D828" s="9" t="str">
        <f aca="false">IF(A828="","",IF(C828="2P",OPR_2P!B$2,IF(C828="SEG",SEG_6P!B$2,IF(C828="SOL",SOL_4P!B$2,IF(C828="RW",RW_2P!B$2,IF(C828="RW2",RW2_4P!B$2,0))))))</f>
        <v/>
      </c>
      <c r="G828" s="26"/>
      <c r="I828" s="26"/>
    </row>
    <row r="829" customFormat="false" ht="15" hidden="false" customHeight="true" outlineLevel="0" collapsed="false">
      <c r="D829" s="9" t="str">
        <f aca="false">IF(A829="","",IF(C829="2P",OPR_2P!B$2,IF(C829="SEG",SEG_6P!B$2,IF(C829="SOL",SOL_4P!B$2,IF(C829="RW",RW_2P!B$2,IF(C829="RW2",RW2_4P!B$2,0))))))</f>
        <v/>
      </c>
      <c r="G829" s="26"/>
      <c r="I829" s="26"/>
    </row>
    <row r="830" customFormat="false" ht="15" hidden="false" customHeight="true" outlineLevel="0" collapsed="false">
      <c r="D830" s="9" t="str">
        <f aca="false">IF(A830="","",IF(C830="2P",OPR_2P!B$2,IF(C830="SEG",SEG_6P!B$2,IF(C830="SOL",SOL_4P!B$2,IF(C830="RW",RW_2P!B$2,IF(C830="RW2",RW2_4P!B$2,0))))))</f>
        <v/>
      </c>
      <c r="G830" s="26"/>
      <c r="I830" s="26"/>
    </row>
    <row r="831" customFormat="false" ht="15" hidden="false" customHeight="true" outlineLevel="0" collapsed="false">
      <c r="D831" s="9" t="str">
        <f aca="false">IF(A831="","",IF(C831="2P",OPR_2P!B$2,IF(C831="SEG",SEG_6P!B$2,IF(C831="SOL",SOL_4P!B$2,IF(C831="RW",RW_2P!B$2,IF(C831="RW2",RW2_4P!B$2,0))))))</f>
        <v/>
      </c>
      <c r="G831" s="26"/>
      <c r="I831" s="26"/>
    </row>
    <row r="832" customFormat="false" ht="15" hidden="false" customHeight="true" outlineLevel="0" collapsed="false">
      <c r="D832" s="9" t="str">
        <f aca="false">IF(A832="","",IF(C832="2P",OPR_2P!B$2,IF(C832="SEG",SEG_6P!B$2,IF(C832="SOL",SOL_4P!B$2,IF(C832="RW",RW_2P!B$2,IF(C832="RW2",RW2_4P!B$2,0))))))</f>
        <v/>
      </c>
      <c r="G832" s="26"/>
      <c r="I832" s="26"/>
    </row>
    <row r="833" customFormat="false" ht="15" hidden="false" customHeight="true" outlineLevel="0" collapsed="false">
      <c r="D833" s="9" t="str">
        <f aca="false">IF(A833="","",IF(C833="2P",OPR_2P!B$2,IF(C833="SEG",SEG_6P!B$2,IF(C833="SOL",SOL_4P!B$2,IF(C833="RW",RW_2P!B$2,IF(C833="RW2",RW2_4P!B$2,0))))))</f>
        <v/>
      </c>
      <c r="G833" s="26"/>
      <c r="I833" s="26"/>
    </row>
    <row r="834" customFormat="false" ht="15" hidden="false" customHeight="true" outlineLevel="0" collapsed="false">
      <c r="D834" s="9" t="str">
        <f aca="false">IF(A834="","",IF(C834="2P",OPR_2P!B$2,IF(C834="SEG",SEG_6P!B$2,IF(C834="SOL",SOL_4P!B$2,IF(C834="RW",RW_2P!B$2,IF(C834="RW2",RW2_4P!B$2,0))))))</f>
        <v/>
      </c>
      <c r="G834" s="26"/>
      <c r="I834" s="26"/>
    </row>
    <row r="835" customFormat="false" ht="15" hidden="false" customHeight="true" outlineLevel="0" collapsed="false">
      <c r="D835" s="9" t="str">
        <f aca="false">IF(A835="","",IF(C835="2P",OPR_2P!B$2,IF(C835="SEG",SEG_6P!B$2,IF(C835="SOL",SOL_4P!B$2,IF(C835="RW",RW_2P!B$2,IF(C835="RW2",RW2_4P!B$2,0))))))</f>
        <v/>
      </c>
      <c r="G835" s="26"/>
      <c r="I835" s="26"/>
    </row>
    <row r="836" customFormat="false" ht="15" hidden="false" customHeight="true" outlineLevel="0" collapsed="false">
      <c r="D836" s="9" t="str">
        <f aca="false">IF(A836="","",IF(C836="2P",OPR_2P!B$2,IF(C836="SEG",SEG_6P!B$2,IF(C836="SOL",SOL_4P!B$2,IF(C836="RW",RW_2P!B$2,IF(C836="RW2",RW2_4P!B$2,0))))))</f>
        <v/>
      </c>
      <c r="G836" s="26"/>
      <c r="I836" s="26"/>
    </row>
    <row r="837" customFormat="false" ht="15" hidden="false" customHeight="true" outlineLevel="0" collapsed="false">
      <c r="D837" s="9" t="str">
        <f aca="false">IF(A837="","",IF(C837="2P",OPR_2P!B$2,IF(C837="SEG",SEG_6P!B$2,IF(C837="SOL",SOL_4P!B$2,IF(C837="RW",RW_2P!B$2,IF(C837="RW2",RW2_4P!B$2,0))))))</f>
        <v/>
      </c>
      <c r="G837" s="26"/>
      <c r="I837" s="26"/>
    </row>
    <row r="838" customFormat="false" ht="15" hidden="false" customHeight="true" outlineLevel="0" collapsed="false">
      <c r="D838" s="9" t="str">
        <f aca="false">IF(A838="","",IF(C838="2P",OPR_2P!B$2,IF(C838="SEG",SEG_6P!B$2,IF(C838="SOL",SOL_4P!B$2,IF(C838="RW",RW_2P!B$2,IF(C838="RW2",RW2_4P!B$2,0))))))</f>
        <v/>
      </c>
      <c r="G838" s="26"/>
      <c r="I838" s="26"/>
    </row>
    <row r="839" customFormat="false" ht="15" hidden="false" customHeight="true" outlineLevel="0" collapsed="false">
      <c r="D839" s="9" t="str">
        <f aca="false">IF(A839="","",IF(C839="2P",OPR_2P!B$2,IF(C839="SEG",SEG_6P!B$2,IF(C839="SOL",SOL_4P!B$2,IF(C839="RW",RW_2P!B$2,IF(C839="RW2",RW2_4P!B$2,0))))))</f>
        <v/>
      </c>
      <c r="G839" s="26"/>
      <c r="I839" s="26"/>
    </row>
    <row r="840" customFormat="false" ht="15" hidden="false" customHeight="true" outlineLevel="0" collapsed="false">
      <c r="D840" s="9" t="str">
        <f aca="false">IF(A840="","",IF(C840="2P",OPR_2P!B$2,IF(C840="SEG",SEG_6P!B$2,IF(C840="SOL",SOL_4P!B$2,IF(C840="RW",RW_2P!B$2,IF(C840="RW2",RW2_4P!B$2,0))))))</f>
        <v/>
      </c>
      <c r="G840" s="26"/>
      <c r="I840" s="26"/>
    </row>
    <row r="841" customFormat="false" ht="15" hidden="false" customHeight="true" outlineLevel="0" collapsed="false">
      <c r="D841" s="9" t="str">
        <f aca="false">IF(A841="","",IF(C841="2P",OPR_2P!B$2,IF(C841="SEG",SEG_6P!B$2,IF(C841="SOL",SOL_4P!B$2,IF(C841="RW",RW_2P!B$2,IF(C841="RW2",RW2_4P!B$2,0))))))</f>
        <v/>
      </c>
      <c r="G841" s="26"/>
      <c r="I841" s="26"/>
    </row>
    <row r="842" customFormat="false" ht="15" hidden="false" customHeight="true" outlineLevel="0" collapsed="false">
      <c r="D842" s="9" t="str">
        <f aca="false">IF(A842="","",IF(C842="2P",OPR_2P!B$2,IF(C842="SEG",SEG_6P!B$2,IF(C842="SOL",SOL_4P!B$2,IF(C842="RW",RW_2P!B$2,IF(C842="RW2",RW2_4P!B$2,0))))))</f>
        <v/>
      </c>
      <c r="G842" s="26"/>
      <c r="I842" s="26"/>
    </row>
    <row r="843" customFormat="false" ht="15" hidden="false" customHeight="true" outlineLevel="0" collapsed="false">
      <c r="D843" s="9" t="str">
        <f aca="false">IF(A843="","",IF(C843="2P",OPR_2P!B$2,IF(C843="SEG",SEG_6P!B$2,IF(C843="SOL",SOL_4P!B$2,IF(C843="RW",RW_2P!B$2,IF(C843="RW2",RW2_4P!B$2,0))))))</f>
        <v/>
      </c>
      <c r="G843" s="26"/>
      <c r="I843" s="26"/>
    </row>
    <row r="844" customFormat="false" ht="15" hidden="false" customHeight="true" outlineLevel="0" collapsed="false">
      <c r="D844" s="9" t="str">
        <f aca="false">IF(A844="","",IF(C844="2P",OPR_2P!B$2,IF(C844="SEG",SEG_6P!B$2,IF(C844="SOL",SOL_4P!B$2,IF(C844="RW",RW_2P!B$2,IF(C844="RW2",RW2_4P!B$2,0))))))</f>
        <v/>
      </c>
      <c r="G844" s="26"/>
      <c r="I844" s="26"/>
    </row>
    <row r="845" customFormat="false" ht="15" hidden="false" customHeight="true" outlineLevel="0" collapsed="false">
      <c r="D845" s="9" t="str">
        <f aca="false">IF(A845="","",IF(C845="2P",OPR_2P!B$2,IF(C845="SEG",SEG_6P!B$2,IF(C845="SOL",SOL_4P!B$2,IF(C845="RW",RW_2P!B$2,IF(C845="RW2",RW2_4P!B$2,0))))))</f>
        <v/>
      </c>
      <c r="G845" s="26"/>
      <c r="I845" s="26"/>
    </row>
    <row r="846" customFormat="false" ht="15" hidden="false" customHeight="true" outlineLevel="0" collapsed="false">
      <c r="D846" s="9" t="str">
        <f aca="false">IF(A846="","",IF(C846="2P",OPR_2P!B$2,IF(C846="SEG",SEG_6P!B$2,IF(C846="SOL",SOL_4P!B$2,IF(C846="RW",RW_2P!B$2,IF(C846="RW2",RW2_4P!B$2,0))))))</f>
        <v/>
      </c>
      <c r="G846" s="26"/>
      <c r="I846" s="26"/>
    </row>
    <row r="847" customFormat="false" ht="15" hidden="false" customHeight="true" outlineLevel="0" collapsed="false">
      <c r="D847" s="9" t="str">
        <f aca="false">IF(A847="","",IF(C847="2P",OPR_2P!B$2,IF(C847="SEG",SEG_6P!B$2,IF(C847="SOL",SOL_4P!B$2,IF(C847="RW",RW_2P!B$2,IF(C847="RW2",RW2_4P!B$2,0))))))</f>
        <v/>
      </c>
      <c r="G847" s="26"/>
      <c r="I847" s="26"/>
    </row>
    <row r="848" customFormat="false" ht="15" hidden="false" customHeight="true" outlineLevel="0" collapsed="false">
      <c r="D848" s="9" t="str">
        <f aca="false">IF(A848="","",IF(C848="2P",OPR_2P!B$2,IF(C848="SEG",SEG_6P!B$2,IF(C848="SOL",SOL_4P!B$2,IF(C848="RW",RW_2P!B$2,IF(C848="RW2",RW2_4P!B$2,0))))))</f>
        <v/>
      </c>
      <c r="G848" s="26"/>
      <c r="I848" s="26"/>
    </row>
    <row r="849" customFormat="false" ht="15" hidden="false" customHeight="true" outlineLevel="0" collapsed="false">
      <c r="D849" s="9" t="str">
        <f aca="false">IF(A849="","",IF(C849="2P",OPR_2P!B$2,IF(C849="SEG",SEG_6P!B$2,IF(C849="SOL",SOL_4P!B$2,IF(C849="RW",RW_2P!B$2,IF(C849="RW2",RW2_4P!B$2,0))))))</f>
        <v/>
      </c>
      <c r="G849" s="26"/>
      <c r="I849" s="26"/>
    </row>
    <row r="850" customFormat="false" ht="15" hidden="false" customHeight="true" outlineLevel="0" collapsed="false">
      <c r="D850" s="9" t="str">
        <f aca="false">IF(A850="","",IF(C850="2P",OPR_2P!B$2,IF(C850="SEG",SEG_6P!B$2,IF(C850="SOL",SOL_4P!B$2,IF(C850="RW",RW_2P!B$2,IF(C850="RW2",RW2_4P!B$2,0))))))</f>
        <v/>
      </c>
      <c r="G850" s="26"/>
      <c r="I850" s="26"/>
    </row>
    <row r="851" customFormat="false" ht="15" hidden="false" customHeight="true" outlineLevel="0" collapsed="false">
      <c r="D851" s="9" t="str">
        <f aca="false">IF(A851="","",IF(C851="2P",OPR_2P!B$2,IF(C851="SEG",SEG_6P!B$2,IF(C851="SOL",SOL_4P!B$2,IF(C851="RW",RW_2P!B$2,IF(C851="RW2",RW2_4P!B$2,0))))))</f>
        <v/>
      </c>
      <c r="G851" s="26"/>
      <c r="I851" s="26"/>
    </row>
    <row r="852" customFormat="false" ht="15" hidden="false" customHeight="true" outlineLevel="0" collapsed="false">
      <c r="D852" s="9" t="str">
        <f aca="false">IF(A852="","",IF(C852="2P",OPR_2P!B$2,IF(C852="SEG",SEG_6P!B$2,IF(C852="SOL",SOL_4P!B$2,IF(C852="RW",RW_2P!B$2,IF(C852="RW2",RW2_4P!B$2,0))))))</f>
        <v/>
      </c>
      <c r="G852" s="26"/>
      <c r="I852" s="26"/>
    </row>
    <row r="853" customFormat="false" ht="15" hidden="false" customHeight="true" outlineLevel="0" collapsed="false">
      <c r="D853" s="9" t="str">
        <f aca="false">IF(A853="","",IF(C853="2P",OPR_2P!B$2,IF(C853="SEG",SEG_6P!B$2,IF(C853="SOL",SOL_4P!B$2,IF(C853="RW",RW_2P!B$2,IF(C853="RW2",RW2_4P!B$2,0))))))</f>
        <v/>
      </c>
      <c r="G853" s="26"/>
      <c r="I853" s="26"/>
    </row>
    <row r="854" customFormat="false" ht="15" hidden="false" customHeight="true" outlineLevel="0" collapsed="false">
      <c r="D854" s="9" t="str">
        <f aca="false">IF(A854="","",IF(C854="2P",OPR_2P!B$2,IF(C854="SEG",SEG_6P!B$2,IF(C854="SOL",SOL_4P!B$2,IF(C854="RW",RW_2P!B$2,IF(C854="RW2",RW2_4P!B$2,0))))))</f>
        <v/>
      </c>
      <c r="G854" s="26"/>
      <c r="I854" s="26"/>
    </row>
    <row r="855" customFormat="false" ht="15" hidden="false" customHeight="true" outlineLevel="0" collapsed="false">
      <c r="D855" s="9" t="str">
        <f aca="false">IF(A855="","",IF(C855="2P",OPR_2P!B$2,IF(C855="SEG",SEG_6P!B$2,IF(C855="SOL",SOL_4P!B$2,IF(C855="RW",RW_2P!B$2,IF(C855="RW2",RW2_4P!B$2,0))))))</f>
        <v/>
      </c>
      <c r="G855" s="26"/>
      <c r="I855" s="26"/>
    </row>
    <row r="856" customFormat="false" ht="15" hidden="false" customHeight="true" outlineLevel="0" collapsed="false">
      <c r="D856" s="9" t="str">
        <f aca="false">IF(A856="","",IF(C856="2P",OPR_2P!B$2,IF(C856="SEG",SEG_6P!B$2,IF(C856="SOL",SOL_4P!B$2,IF(C856="RW",RW_2P!B$2,IF(C856="RW2",RW2_4P!B$2,0))))))</f>
        <v/>
      </c>
      <c r="G856" s="26"/>
      <c r="I856" s="26"/>
    </row>
    <row r="857" customFormat="false" ht="15" hidden="false" customHeight="true" outlineLevel="0" collapsed="false">
      <c r="D857" s="9" t="str">
        <f aca="false">IF(A857="","",IF(C857="2P",OPR_2P!B$2,IF(C857="SEG",SEG_6P!B$2,IF(C857="SOL",SOL_4P!B$2,IF(C857="RW",RW_2P!B$2,IF(C857="RW2",RW2_4P!B$2,0))))))</f>
        <v/>
      </c>
      <c r="G857" s="26"/>
      <c r="I857" s="26"/>
    </row>
    <row r="858" customFormat="false" ht="15" hidden="false" customHeight="true" outlineLevel="0" collapsed="false">
      <c r="D858" s="9" t="str">
        <f aca="false">IF(A858="","",IF(C858="2P",OPR_2P!B$2,IF(C858="SEG",SEG_6P!B$2,IF(C858="SOL",SOL_4P!B$2,IF(C858="RW",RW_2P!B$2,IF(C858="RW2",RW2_4P!B$2,0))))))</f>
        <v/>
      </c>
      <c r="G858" s="26"/>
      <c r="I858" s="26"/>
    </row>
    <row r="859" customFormat="false" ht="15" hidden="false" customHeight="true" outlineLevel="0" collapsed="false">
      <c r="D859" s="9" t="str">
        <f aca="false">IF(A859="","",IF(C859="2P",OPR_2P!B$2,IF(C859="SEG",SEG_6P!B$2,IF(C859="SOL",SOL_4P!B$2,IF(C859="RW",RW_2P!B$2,IF(C859="RW2",RW2_4P!B$2,0))))))</f>
        <v/>
      </c>
      <c r="G859" s="26"/>
      <c r="I859" s="26"/>
    </row>
    <row r="860" customFormat="false" ht="15" hidden="false" customHeight="true" outlineLevel="0" collapsed="false">
      <c r="D860" s="9" t="str">
        <f aca="false">IF(A860="","",IF(C860="2P",OPR_2P!B$2,IF(C860="SEG",SEG_6P!B$2,IF(C860="SOL",SOL_4P!B$2,IF(C860="RW",RW_2P!B$2,IF(C860="RW2",RW2_4P!B$2,0))))))</f>
        <v/>
      </c>
      <c r="G860" s="26"/>
      <c r="I860" s="26"/>
    </row>
    <row r="861" customFormat="false" ht="15" hidden="false" customHeight="true" outlineLevel="0" collapsed="false">
      <c r="D861" s="9" t="str">
        <f aca="false">IF(A861="","",IF(C861="2P",OPR_2P!B$2,IF(C861="SEG",SEG_6P!B$2,IF(C861="SOL",SOL_4P!B$2,IF(C861="RW",RW_2P!B$2,IF(C861="RW2",RW2_4P!B$2,0))))))</f>
        <v/>
      </c>
      <c r="G861" s="26"/>
      <c r="I861" s="26"/>
    </row>
    <row r="862" customFormat="false" ht="15" hidden="false" customHeight="true" outlineLevel="0" collapsed="false">
      <c r="D862" s="9" t="str">
        <f aca="false">IF(A862="","",IF(C862="2P",OPR_2P!B$2,IF(C862="SEG",SEG_6P!B$2,IF(C862="SOL",SOL_4P!B$2,IF(C862="RW",RW_2P!B$2,IF(C862="RW2",RW2_4P!B$2,0))))))</f>
        <v/>
      </c>
      <c r="G862" s="26"/>
      <c r="I862" s="26"/>
    </row>
    <row r="863" customFormat="false" ht="15" hidden="false" customHeight="true" outlineLevel="0" collapsed="false">
      <c r="D863" s="9" t="str">
        <f aca="false">IF(A863="","",IF(C863="2P",OPR_2P!B$2,IF(C863="SEG",SEG_6P!B$2,IF(C863="SOL",SOL_4P!B$2,IF(C863="RW",RW_2P!B$2,IF(C863="RW2",RW2_4P!B$2,0))))))</f>
        <v/>
      </c>
      <c r="G863" s="26"/>
      <c r="I863" s="26"/>
    </row>
    <row r="864" customFormat="false" ht="15" hidden="false" customHeight="true" outlineLevel="0" collapsed="false">
      <c r="D864" s="9" t="str">
        <f aca="false">IF(A864="","",IF(C864="2P",OPR_2P!B$2,IF(C864="SEG",SEG_6P!B$2,IF(C864="SOL",SOL_4P!B$2,IF(C864="RW",RW_2P!B$2,IF(C864="RW2",RW2_4P!B$2,0))))))</f>
        <v/>
      </c>
      <c r="G864" s="26"/>
      <c r="I864" s="26"/>
    </row>
    <row r="865" customFormat="false" ht="15" hidden="false" customHeight="true" outlineLevel="0" collapsed="false">
      <c r="D865" s="9" t="str">
        <f aca="false">IF(A865="","",IF(C865="2P",OPR_2P!B$2,IF(C865="SEG",SEG_6P!B$2,IF(C865="SOL",SOL_4P!B$2,IF(C865="RW",RW_2P!B$2,IF(C865="RW2",RW2_4P!B$2,0))))))</f>
        <v/>
      </c>
      <c r="G865" s="26"/>
      <c r="I865" s="26"/>
    </row>
    <row r="866" customFormat="false" ht="15" hidden="false" customHeight="true" outlineLevel="0" collapsed="false">
      <c r="D866" s="9" t="str">
        <f aca="false">IF(A866="","",IF(C866="2P",OPR_2P!B$2,IF(C866="SEG",SEG_6P!B$2,IF(C866="SOL",SOL_4P!B$2,IF(C866="RW",RW_2P!B$2,IF(C866="RW2",RW2_4P!B$2,0))))))</f>
        <v/>
      </c>
      <c r="G866" s="26"/>
      <c r="I866" s="26"/>
    </row>
    <row r="867" customFormat="false" ht="15" hidden="false" customHeight="true" outlineLevel="0" collapsed="false">
      <c r="D867" s="9" t="str">
        <f aca="false">IF(A867="","",IF(C867="2P",OPR_2P!B$2,IF(C867="SEG",SEG_6P!B$2,IF(C867="SOL",SOL_4P!B$2,IF(C867="RW",RW_2P!B$2,IF(C867="RW2",RW2_4P!B$2,0))))))</f>
        <v/>
      </c>
      <c r="G867" s="26"/>
      <c r="I867" s="26"/>
    </row>
    <row r="868" customFormat="false" ht="15" hidden="false" customHeight="true" outlineLevel="0" collapsed="false">
      <c r="D868" s="9" t="str">
        <f aca="false">IF(A868="","",IF(C868="2P",OPR_2P!B$2,IF(C868="SEG",SEG_6P!B$2,IF(C868="SOL",SOL_4P!B$2,IF(C868="RW",RW_2P!B$2,IF(C868="RW2",RW2_4P!B$2,0))))))</f>
        <v/>
      </c>
      <c r="G868" s="26"/>
      <c r="I868" s="26"/>
    </row>
    <row r="869" customFormat="false" ht="15" hidden="false" customHeight="true" outlineLevel="0" collapsed="false">
      <c r="D869" s="9" t="str">
        <f aca="false">IF(A869="","",IF(C869="2P",OPR_2P!B$2,IF(C869="SEG",SEG_6P!B$2,IF(C869="SOL",SOL_4P!B$2,IF(C869="RW",RW_2P!B$2,IF(C869="RW2",RW2_4P!B$2,0))))))</f>
        <v/>
      </c>
      <c r="G869" s="26"/>
      <c r="I869" s="26"/>
    </row>
    <row r="870" customFormat="false" ht="15" hidden="false" customHeight="true" outlineLevel="0" collapsed="false">
      <c r="D870" s="9" t="str">
        <f aca="false">IF(A870="","",IF(C870="2P",OPR_2P!B$2,IF(C870="SEG",SEG_6P!B$2,IF(C870="SOL",SOL_4P!B$2,IF(C870="RW",RW_2P!B$2,IF(C870="RW2",RW2_4P!B$2,0))))))</f>
        <v/>
      </c>
      <c r="G870" s="26"/>
      <c r="I870" s="26"/>
    </row>
    <row r="871" customFormat="false" ht="15" hidden="false" customHeight="true" outlineLevel="0" collapsed="false">
      <c r="D871" s="9" t="str">
        <f aca="false">IF(A871="","",IF(C871="2P",OPR_2P!B$2,IF(C871="SEG",SEG_6P!B$2,IF(C871="SOL",SOL_4P!B$2,IF(C871="RW",RW_2P!B$2,IF(C871="RW2",RW2_4P!B$2,0))))))</f>
        <v/>
      </c>
      <c r="G871" s="26"/>
      <c r="I871" s="26"/>
    </row>
    <row r="872" customFormat="false" ht="15" hidden="false" customHeight="true" outlineLevel="0" collapsed="false">
      <c r="D872" s="9" t="str">
        <f aca="false">IF(A872="","",IF(C872="2P",OPR_2P!B$2,IF(C872="SEG",SEG_6P!B$2,IF(C872="SOL",SOL_4P!B$2,IF(C872="RW",RW_2P!B$2,IF(C872="RW2",RW2_4P!B$2,0))))))</f>
        <v/>
      </c>
      <c r="G872" s="26"/>
      <c r="I872" s="26"/>
    </row>
    <row r="873" customFormat="false" ht="15" hidden="false" customHeight="true" outlineLevel="0" collapsed="false">
      <c r="D873" s="9" t="str">
        <f aca="false">IF(A873="","",IF(C873="2P",OPR_2P!B$2,IF(C873="SEG",SEG_6P!B$2,IF(C873="SOL",SOL_4P!B$2,IF(C873="RW",RW_2P!B$2,IF(C873="RW2",RW2_4P!B$2,0))))))</f>
        <v/>
      </c>
      <c r="G873" s="26"/>
      <c r="I873" s="26"/>
    </row>
    <row r="874" customFormat="false" ht="15" hidden="false" customHeight="true" outlineLevel="0" collapsed="false">
      <c r="D874" s="9" t="str">
        <f aca="false">IF(A874="","",IF(C874="2P",OPR_2P!B$2,IF(C874="SEG",SEG_6P!B$2,IF(C874="SOL",SOL_4P!B$2,IF(C874="RW",RW_2P!B$2,IF(C874="RW2",RW2_4P!B$2,0))))))</f>
        <v/>
      </c>
      <c r="G874" s="26"/>
      <c r="I874" s="26"/>
    </row>
    <row r="875" customFormat="false" ht="15" hidden="false" customHeight="true" outlineLevel="0" collapsed="false">
      <c r="D875" s="9" t="str">
        <f aca="false">IF(A875="","",IF(C875="2P",OPR_2P!B$2,IF(C875="SEG",SEG_6P!B$2,IF(C875="SOL",SOL_4P!B$2,IF(C875="RW",RW_2P!B$2,IF(C875="RW2",RW2_4P!B$2,0))))))</f>
        <v/>
      </c>
      <c r="G875" s="26"/>
      <c r="I875" s="26"/>
    </row>
    <row r="876" customFormat="false" ht="15" hidden="false" customHeight="true" outlineLevel="0" collapsed="false">
      <c r="D876" s="9" t="str">
        <f aca="false">IF(A876="","",IF(C876="2P",OPR_2P!B$2,IF(C876="SEG",SEG_6P!B$2,IF(C876="SOL",SOL_4P!B$2,IF(C876="RW",RW_2P!B$2,IF(C876="RW2",RW2_4P!B$2,0))))))</f>
        <v/>
      </c>
      <c r="G876" s="26"/>
      <c r="I876" s="26"/>
    </row>
    <row r="877" customFormat="false" ht="15" hidden="false" customHeight="true" outlineLevel="0" collapsed="false">
      <c r="D877" s="9" t="str">
        <f aca="false">IF(A877="","",IF(C877="2P",OPR_2P!B$2,IF(C877="SEG",SEG_6P!B$2,IF(C877="SOL",SOL_4P!B$2,IF(C877="RW",RW_2P!B$2,IF(C877="RW2",RW2_4P!B$2,0))))))</f>
        <v/>
      </c>
      <c r="G877" s="26"/>
      <c r="I877" s="26"/>
    </row>
    <row r="878" customFormat="false" ht="15" hidden="false" customHeight="true" outlineLevel="0" collapsed="false">
      <c r="D878" s="9" t="str">
        <f aca="false">IF(A878="","",IF(C878="2P",OPR_2P!B$2,IF(C878="SEG",SEG_6P!B$2,IF(C878="SOL",SOL_4P!B$2,IF(C878="RW",RW_2P!B$2,IF(C878="RW2",RW2_4P!B$2,0))))))</f>
        <v/>
      </c>
      <c r="G878" s="26"/>
      <c r="I878" s="26"/>
    </row>
    <row r="879" customFormat="false" ht="15" hidden="false" customHeight="true" outlineLevel="0" collapsed="false">
      <c r="D879" s="9" t="str">
        <f aca="false">IF(A879="","",IF(C879="2P",OPR_2P!B$2,IF(C879="SEG",SEG_6P!B$2,IF(C879="SOL",SOL_4P!B$2,IF(C879="RW",RW_2P!B$2,IF(C879="RW2",RW2_4P!B$2,0))))))</f>
        <v/>
      </c>
      <c r="G879" s="26"/>
      <c r="I879" s="26"/>
    </row>
    <row r="880" customFormat="false" ht="15" hidden="false" customHeight="true" outlineLevel="0" collapsed="false">
      <c r="D880" s="9" t="str">
        <f aca="false">IF(A880="","",IF(C880="2P",OPR_2P!B$2,IF(C880="SEG",SEG_6P!B$2,IF(C880="SOL",SOL_4P!B$2,IF(C880="RW",RW_2P!B$2,IF(C880="RW2",RW2_4P!B$2,0))))))</f>
        <v/>
      </c>
      <c r="G880" s="26"/>
      <c r="I880" s="26"/>
    </row>
    <row r="881" customFormat="false" ht="15" hidden="false" customHeight="true" outlineLevel="0" collapsed="false">
      <c r="D881" s="9" t="str">
        <f aca="false">IF(A881="","",IF(C881="2P",OPR_2P!B$2,IF(C881="SEG",SEG_6P!B$2,IF(C881="SOL",SOL_4P!B$2,IF(C881="RW",RW_2P!B$2,IF(C881="RW2",RW2_4P!B$2,0))))))</f>
        <v/>
      </c>
      <c r="G881" s="26"/>
      <c r="I881" s="26"/>
    </row>
    <row r="882" customFormat="false" ht="15" hidden="false" customHeight="true" outlineLevel="0" collapsed="false">
      <c r="D882" s="9" t="str">
        <f aca="false">IF(A882="","",IF(C882="2P",OPR_2P!B$2,IF(C882="SEG",SEG_6P!B$2,IF(C882="SOL",SOL_4P!B$2,IF(C882="RW",RW_2P!B$2,IF(C882="RW2",RW2_4P!B$2,0))))))</f>
        <v/>
      </c>
      <c r="G882" s="26"/>
      <c r="I882" s="26"/>
    </row>
    <row r="883" customFormat="false" ht="15" hidden="false" customHeight="true" outlineLevel="0" collapsed="false">
      <c r="D883" s="9" t="str">
        <f aca="false">IF(A883="","",IF(C883="2P",OPR_2P!B$2,IF(C883="SEG",SEG_6P!B$2,IF(C883="SOL",SOL_4P!B$2,IF(C883="RW",RW_2P!B$2,IF(C883="RW2",RW2_4P!B$2,0))))))</f>
        <v/>
      </c>
      <c r="G883" s="26"/>
      <c r="I883" s="26"/>
    </row>
    <row r="884" customFormat="false" ht="15" hidden="false" customHeight="true" outlineLevel="0" collapsed="false">
      <c r="D884" s="9" t="str">
        <f aca="false">IF(A884="","",IF(C884="2P",OPR_2P!B$2,IF(C884="SEG",SEG_6P!B$2,IF(C884="SOL",SOL_4P!B$2,IF(C884="RW",RW_2P!B$2,IF(C884="RW2",RW2_4P!B$2,0))))))</f>
        <v/>
      </c>
      <c r="G884" s="26"/>
      <c r="I884" s="26"/>
    </row>
    <row r="885" customFormat="false" ht="15" hidden="false" customHeight="true" outlineLevel="0" collapsed="false">
      <c r="D885" s="9" t="str">
        <f aca="false">IF(A885="","",IF(C885="2P",OPR_2P!B$2,IF(C885="SEG",SEG_6P!B$2,IF(C885="SOL",SOL_4P!B$2,IF(C885="RW",RW_2P!B$2,IF(C885="RW2",RW2_4P!B$2,0))))))</f>
        <v/>
      </c>
      <c r="G885" s="26"/>
      <c r="I885" s="26"/>
    </row>
    <row r="886" customFormat="false" ht="15" hidden="false" customHeight="true" outlineLevel="0" collapsed="false">
      <c r="D886" s="9" t="str">
        <f aca="false">IF(A886="","",IF(C886="2P",OPR_2P!B$2,IF(C886="SEG",SEG_6P!B$2,IF(C886="SOL",SOL_4P!B$2,IF(C886="RW",RW_2P!B$2,IF(C886="RW2",RW2_4P!B$2,0))))))</f>
        <v/>
      </c>
      <c r="G886" s="26"/>
      <c r="I886" s="26"/>
    </row>
    <row r="887" customFormat="false" ht="15" hidden="false" customHeight="true" outlineLevel="0" collapsed="false">
      <c r="D887" s="9" t="str">
        <f aca="false">IF(A887="","",IF(C887="2P",OPR_2P!B$2,IF(C887="SEG",SEG_6P!B$2,IF(C887="SOL",SOL_4P!B$2,IF(C887="RW",RW_2P!B$2,IF(C887="RW2",RW2_4P!B$2,0))))))</f>
        <v/>
      </c>
      <c r="G887" s="26"/>
      <c r="I887" s="26"/>
    </row>
    <row r="888" customFormat="false" ht="15" hidden="false" customHeight="true" outlineLevel="0" collapsed="false">
      <c r="D888" s="9" t="str">
        <f aca="false">IF(A888="","",IF(C888="2P",OPR_2P!B$2,IF(C888="SEG",SEG_6P!B$2,IF(C888="SOL",SOL_4P!B$2,IF(C888="RW",RW_2P!B$2,IF(C888="RW2",RW2_4P!B$2,0))))))</f>
        <v/>
      </c>
      <c r="G888" s="26"/>
      <c r="I888" s="26"/>
    </row>
    <row r="889" customFormat="false" ht="15" hidden="false" customHeight="true" outlineLevel="0" collapsed="false">
      <c r="D889" s="9" t="str">
        <f aca="false">IF(A889="","",IF(C889="2P",OPR_2P!B$2,IF(C889="SEG",SEG_6P!B$2,IF(C889="SOL",SOL_4P!B$2,IF(C889="RW",RW_2P!B$2,IF(C889="RW2",RW2_4P!B$2,0))))))</f>
        <v/>
      </c>
      <c r="G889" s="26"/>
      <c r="I889" s="26"/>
    </row>
    <row r="890" customFormat="false" ht="15" hidden="false" customHeight="true" outlineLevel="0" collapsed="false">
      <c r="D890" s="9" t="str">
        <f aca="false">IF(A890="","",IF(C890="2P",OPR_2P!B$2,IF(C890="SEG",SEG_6P!B$2,IF(C890="SOL",SOL_4P!B$2,IF(C890="RW",RW_2P!B$2,IF(C890="RW2",RW2_4P!B$2,0))))))</f>
        <v/>
      </c>
      <c r="G890" s="26"/>
      <c r="I890" s="26"/>
    </row>
    <row r="891" customFormat="false" ht="15" hidden="false" customHeight="true" outlineLevel="0" collapsed="false">
      <c r="D891" s="9" t="str">
        <f aca="false">IF(A891="","",IF(C891="2P",OPR_2P!B$2,IF(C891="SEG",SEG_6P!B$2,IF(C891="SOL",SOL_4P!B$2,IF(C891="RW",RW_2P!B$2,IF(C891="RW2",RW2_4P!B$2,0))))))</f>
        <v/>
      </c>
      <c r="G891" s="26"/>
      <c r="I891" s="26"/>
    </row>
    <row r="892" customFormat="false" ht="15" hidden="false" customHeight="true" outlineLevel="0" collapsed="false">
      <c r="D892" s="9" t="str">
        <f aca="false">IF(A892="","",IF(C892="2P",OPR_2P!B$2,IF(C892="SEG",SEG_6P!B$2,IF(C892="SOL",SOL_4P!B$2,IF(C892="RW",RW_2P!B$2,IF(C892="RW2",RW2_4P!B$2,0))))))</f>
        <v/>
      </c>
      <c r="G892" s="26"/>
      <c r="I892" s="26"/>
    </row>
    <row r="893" customFormat="false" ht="15" hidden="false" customHeight="true" outlineLevel="0" collapsed="false">
      <c r="D893" s="9" t="str">
        <f aca="false">IF(A893="","",IF(C893="2P",OPR_2P!B$2,IF(C893="SEG",SEG_6P!B$2,IF(C893="SOL",SOL_4P!B$2,IF(C893="RW",RW_2P!B$2,IF(C893="RW2",RW2_4P!B$2,0))))))</f>
        <v/>
      </c>
      <c r="G893" s="26"/>
      <c r="I893" s="26"/>
    </row>
    <row r="894" customFormat="false" ht="15" hidden="false" customHeight="true" outlineLevel="0" collapsed="false">
      <c r="D894" s="9" t="str">
        <f aca="false">IF(A894="","",IF(C894="2P",OPR_2P!B$2,IF(C894="SEG",SEG_6P!B$2,IF(C894="SOL",SOL_4P!B$2,IF(C894="RW",RW_2P!B$2,IF(C894="RW2",RW2_4P!B$2,0))))))</f>
        <v/>
      </c>
      <c r="G894" s="26"/>
      <c r="I894" s="26"/>
    </row>
    <row r="895" customFormat="false" ht="15" hidden="false" customHeight="true" outlineLevel="0" collapsed="false">
      <c r="D895" s="9" t="str">
        <f aca="false">IF(A895="","",IF(C895="2P",OPR_2P!B$2,IF(C895="SEG",SEG_6P!B$2,IF(C895="SOL",SOL_4P!B$2,IF(C895="RW",RW_2P!B$2,IF(C895="RW2",RW2_4P!B$2,0))))))</f>
        <v/>
      </c>
      <c r="G895" s="26"/>
      <c r="I895" s="26"/>
    </row>
    <row r="896" customFormat="false" ht="15" hidden="false" customHeight="true" outlineLevel="0" collapsed="false">
      <c r="D896" s="9" t="str">
        <f aca="false">IF(A896="","",IF(C896="2P",OPR_2P!B$2,IF(C896="SEG",SEG_6P!B$2,IF(C896="SOL",SOL_4P!B$2,IF(C896="RW",RW_2P!B$2,IF(C896="RW2",RW2_4P!B$2,0))))))</f>
        <v/>
      </c>
      <c r="G896" s="26"/>
      <c r="I896" s="26"/>
    </row>
    <row r="897" customFormat="false" ht="15" hidden="false" customHeight="true" outlineLevel="0" collapsed="false">
      <c r="D897" s="9" t="str">
        <f aca="false">IF(A897="","",IF(C897="2P",OPR_2P!B$2,IF(C897="SEG",SEG_6P!B$2,IF(C897="SOL",SOL_4P!B$2,IF(C897="RW",RW_2P!B$2,IF(C897="RW2",RW2_4P!B$2,0))))))</f>
        <v/>
      </c>
      <c r="G897" s="26"/>
      <c r="I897" s="26"/>
    </row>
    <row r="898" customFormat="false" ht="15" hidden="false" customHeight="true" outlineLevel="0" collapsed="false">
      <c r="D898" s="9" t="str">
        <f aca="false">IF(A898="","",IF(C898="2P",OPR_2P!B$2,IF(C898="SEG",SEG_6P!B$2,IF(C898="SOL",SOL_4P!B$2,IF(C898="RW",RW_2P!B$2,IF(C898="RW2",RW2_4P!B$2,0))))))</f>
        <v/>
      </c>
      <c r="G898" s="26"/>
      <c r="I898" s="26"/>
    </row>
    <row r="899" customFormat="false" ht="15" hidden="false" customHeight="true" outlineLevel="0" collapsed="false">
      <c r="D899" s="9" t="str">
        <f aca="false">IF(A899="","",IF(C899="2P",OPR_2P!B$2,IF(C899="SEG",SEG_6P!B$2,IF(C899="SOL",SOL_4P!B$2,IF(C899="RW",RW_2P!B$2,IF(C899="RW2",RW2_4P!B$2,0))))))</f>
        <v/>
      </c>
      <c r="G899" s="26"/>
      <c r="I899" s="26"/>
    </row>
    <row r="900" customFormat="false" ht="15" hidden="false" customHeight="true" outlineLevel="0" collapsed="false">
      <c r="D900" s="9" t="str">
        <f aca="false">IF(A900="","",IF(C900="2P",OPR_2P!B$2,IF(C900="SEG",SEG_6P!B$2,IF(C900="SOL",SOL_4P!B$2,IF(C900="RW",RW_2P!B$2,IF(C900="RW2",RW2_4P!B$2,0))))))</f>
        <v/>
      </c>
      <c r="G900" s="26"/>
      <c r="I900" s="26"/>
    </row>
    <row r="901" customFormat="false" ht="15" hidden="false" customHeight="true" outlineLevel="0" collapsed="false">
      <c r="D901" s="9" t="str">
        <f aca="false">IF(A901="","",IF(C901="2P",OPR_2P!B$2,IF(C901="SEG",SEG_6P!B$2,IF(C901="SOL",SOL_4P!B$2,IF(C901="RW",RW_2P!B$2,IF(C901="RW2",RW2_4P!B$2,0))))))</f>
        <v/>
      </c>
      <c r="G901" s="26"/>
      <c r="I901" s="26"/>
    </row>
    <row r="902" customFormat="false" ht="15" hidden="false" customHeight="true" outlineLevel="0" collapsed="false">
      <c r="D902" s="9" t="str">
        <f aca="false">IF(A902="","",IF(C902="2P",OPR_2P!B$2,IF(C902="SEG",SEG_6P!B$2,IF(C902="SOL",SOL_4P!B$2,IF(C902="RW",RW_2P!B$2,IF(C902="RW2",RW2_4P!B$2,0))))))</f>
        <v/>
      </c>
      <c r="G902" s="26"/>
      <c r="I902" s="26"/>
    </row>
    <row r="903" customFormat="false" ht="15" hidden="false" customHeight="true" outlineLevel="0" collapsed="false">
      <c r="D903" s="9" t="str">
        <f aca="false">IF(A903="","",IF(C903="2P",OPR_2P!B$2,IF(C903="SEG",SEG_6P!B$2,IF(C903="SOL",SOL_4P!B$2,IF(C903="RW",RW_2P!B$2,IF(C903="RW2",RW2_4P!B$2,0))))))</f>
        <v/>
      </c>
      <c r="G903" s="26"/>
      <c r="I903" s="26"/>
    </row>
    <row r="904" customFormat="false" ht="15" hidden="false" customHeight="true" outlineLevel="0" collapsed="false">
      <c r="D904" s="9" t="str">
        <f aca="false">IF(A904="","",IF(C904="2P",OPR_2P!B$2,IF(C904="SEG",SEG_6P!B$2,IF(C904="SOL",SOL_4P!B$2,IF(C904="RW",RW_2P!B$2,IF(C904="RW2",RW2_4P!B$2,0))))))</f>
        <v/>
      </c>
      <c r="G904" s="26"/>
      <c r="I904" s="26"/>
    </row>
    <row r="905" customFormat="false" ht="15" hidden="false" customHeight="true" outlineLevel="0" collapsed="false">
      <c r="D905" s="9" t="str">
        <f aca="false">IF(A905="","",IF(C905="2P",OPR_2P!B$2,IF(C905="SEG",SEG_6P!B$2,IF(C905="SOL",SOL_4P!B$2,IF(C905="RW",RW_2P!B$2,IF(C905="RW2",RW2_4P!B$2,0))))))</f>
        <v/>
      </c>
      <c r="G905" s="26"/>
      <c r="I905" s="26"/>
    </row>
    <row r="906" customFormat="false" ht="15" hidden="false" customHeight="true" outlineLevel="0" collapsed="false">
      <c r="D906" s="9" t="str">
        <f aca="false">IF(A906="","",IF(C906="2P",OPR_2P!B$2,IF(C906="SEG",SEG_6P!B$2,IF(C906="SOL",SOL_4P!B$2,IF(C906="RW",RW_2P!B$2,IF(C906="RW2",RW2_4P!B$2,0))))))</f>
        <v/>
      </c>
      <c r="G906" s="26"/>
      <c r="I906" s="26"/>
    </row>
    <row r="907" customFormat="false" ht="15" hidden="false" customHeight="true" outlineLevel="0" collapsed="false">
      <c r="D907" s="9" t="str">
        <f aca="false">IF(A907="","",IF(C907="2P",OPR_2P!B$2,IF(C907="SEG",SEG_6P!B$2,IF(C907="SOL",SOL_4P!B$2,IF(C907="RW",RW_2P!B$2,IF(C907="RW2",RW2_4P!B$2,0))))))</f>
        <v/>
      </c>
      <c r="G907" s="26"/>
      <c r="I907" s="26"/>
    </row>
    <row r="908" customFormat="false" ht="15" hidden="false" customHeight="true" outlineLevel="0" collapsed="false">
      <c r="D908" s="9" t="str">
        <f aca="false">IF(A908="","",IF(C908="2P",OPR_2P!B$2,IF(C908="SEG",SEG_6P!B$2,IF(C908="SOL",SOL_4P!B$2,IF(C908="RW",RW_2P!B$2,IF(C908="RW2",RW2_4P!B$2,0))))))</f>
        <v/>
      </c>
      <c r="G908" s="26"/>
      <c r="I908" s="26"/>
    </row>
    <row r="909" customFormat="false" ht="15" hidden="false" customHeight="true" outlineLevel="0" collapsed="false">
      <c r="D909" s="9" t="str">
        <f aca="false">IF(A909="","",IF(C909="2P",OPR_2P!B$2,IF(C909="SEG",SEG_6P!B$2,IF(C909="SOL",SOL_4P!B$2,IF(C909="RW",RW_2P!B$2,IF(C909="RW2",RW2_4P!B$2,0))))))</f>
        <v/>
      </c>
      <c r="G909" s="26"/>
      <c r="I909" s="26"/>
    </row>
    <row r="910" customFormat="false" ht="15" hidden="false" customHeight="true" outlineLevel="0" collapsed="false">
      <c r="D910" s="9" t="str">
        <f aca="false">IF(A910="","",IF(C910="2P",OPR_2P!B$2,IF(C910="SEG",SEG_6P!B$2,IF(C910="SOL",SOL_4P!B$2,IF(C910="RW",RW_2P!B$2,IF(C910="RW2",RW2_4P!B$2,0))))))</f>
        <v/>
      </c>
      <c r="G910" s="26"/>
      <c r="I910" s="26"/>
    </row>
    <row r="911" customFormat="false" ht="15" hidden="false" customHeight="true" outlineLevel="0" collapsed="false">
      <c r="D911" s="9" t="str">
        <f aca="false">IF(A911="","",IF(C911="2P",OPR_2P!B$2,IF(C911="SEG",SEG_6P!B$2,IF(C911="SOL",SOL_4P!B$2,IF(C911="RW",RW_2P!B$2,IF(C911="RW2",RW2_4P!B$2,0))))))</f>
        <v/>
      </c>
      <c r="G911" s="26"/>
      <c r="I911" s="26"/>
    </row>
    <row r="912" customFormat="false" ht="15" hidden="false" customHeight="true" outlineLevel="0" collapsed="false">
      <c r="D912" s="9" t="str">
        <f aca="false">IF(A912="","",IF(C912="2P",OPR_2P!B$2,IF(C912="SEG",SEG_6P!B$2,IF(C912="SOL",SOL_4P!B$2,IF(C912="RW",RW_2P!B$2,IF(C912="RW2",RW2_4P!B$2,0))))))</f>
        <v/>
      </c>
      <c r="G912" s="26"/>
      <c r="I912" s="26"/>
    </row>
    <row r="913" customFormat="false" ht="15" hidden="false" customHeight="true" outlineLevel="0" collapsed="false">
      <c r="D913" s="9" t="str">
        <f aca="false">IF(A913="","",IF(C913="2P",OPR_2P!B$2,IF(C913="SEG",SEG_6P!B$2,IF(C913="SOL",SOL_4P!B$2,IF(C913="RW",RW_2P!B$2,IF(C913="RW2",RW2_4P!B$2,0))))))</f>
        <v/>
      </c>
      <c r="G913" s="26"/>
      <c r="I913" s="26"/>
    </row>
    <row r="914" customFormat="false" ht="15" hidden="false" customHeight="true" outlineLevel="0" collapsed="false">
      <c r="D914" s="9" t="str">
        <f aca="false">IF(A914="","",IF(C914="2P",OPR_2P!B$2,IF(C914="SEG",SEG_6P!B$2,IF(C914="SOL",SOL_4P!B$2,IF(C914="RW",RW_2P!B$2,IF(C914="RW2",RW2_4P!B$2,0))))))</f>
        <v/>
      </c>
      <c r="G914" s="26"/>
      <c r="I914" s="26"/>
    </row>
    <row r="915" customFormat="false" ht="15" hidden="false" customHeight="true" outlineLevel="0" collapsed="false">
      <c r="D915" s="9" t="str">
        <f aca="false">IF(A915="","",IF(C915="2P",OPR_2P!B$2,IF(C915="SEG",SEG_6P!B$2,IF(C915="SOL",SOL_4P!B$2,IF(C915="RW",RW_2P!B$2,IF(C915="RW2",RW2_4P!B$2,0))))))</f>
        <v/>
      </c>
      <c r="G915" s="26"/>
      <c r="I915" s="26"/>
    </row>
    <row r="916" customFormat="false" ht="15" hidden="false" customHeight="true" outlineLevel="0" collapsed="false">
      <c r="D916" s="9" t="str">
        <f aca="false">IF(A916="","",IF(C916="2P",OPR_2P!B$2,IF(C916="SEG",SEG_6P!B$2,IF(C916="SOL",SOL_4P!B$2,IF(C916="RW",RW_2P!B$2,IF(C916="RW2",RW2_4P!B$2,0))))))</f>
        <v/>
      </c>
      <c r="G916" s="26"/>
      <c r="I916" s="26"/>
    </row>
    <row r="917" customFormat="false" ht="15" hidden="false" customHeight="true" outlineLevel="0" collapsed="false">
      <c r="D917" s="9" t="str">
        <f aca="false">IF(A917="","",IF(C917="2P",OPR_2P!B$2,IF(C917="SEG",SEG_6P!B$2,IF(C917="SOL",SOL_4P!B$2,IF(C917="RW",RW_2P!B$2,IF(C917="RW2",RW2_4P!B$2,0))))))</f>
        <v/>
      </c>
      <c r="G917" s="26"/>
      <c r="I917" s="26"/>
    </row>
    <row r="918" customFormat="false" ht="15" hidden="false" customHeight="true" outlineLevel="0" collapsed="false">
      <c r="D918" s="9" t="str">
        <f aca="false">IF(A918="","",IF(C918="2P",OPR_2P!B$2,IF(C918="SEG",SEG_6P!B$2,IF(C918="SOL",SOL_4P!B$2,IF(C918="RW",RW_2P!B$2,IF(C918="RW2",RW2_4P!B$2,0))))))</f>
        <v/>
      </c>
      <c r="G918" s="26"/>
      <c r="I918" s="26"/>
    </row>
    <row r="919" customFormat="false" ht="15" hidden="false" customHeight="true" outlineLevel="0" collapsed="false">
      <c r="D919" s="9" t="str">
        <f aca="false">IF(A919="","",IF(C919="2P",OPR_2P!B$2,IF(C919="SEG",SEG_6P!B$2,IF(C919="SOL",SOL_4P!B$2,IF(C919="RW",RW_2P!B$2,IF(C919="RW2",RW2_4P!B$2,0))))))</f>
        <v/>
      </c>
      <c r="G919" s="26"/>
      <c r="I919" s="26"/>
    </row>
    <row r="920" customFormat="false" ht="15" hidden="false" customHeight="true" outlineLevel="0" collapsed="false">
      <c r="D920" s="9" t="str">
        <f aca="false">IF(A920="","",IF(C920="2P",OPR_2P!B$2,IF(C920="SEG",SEG_6P!B$2,IF(C920="SOL",SOL_4P!B$2,IF(C920="RW",RW_2P!B$2,IF(C920="RW2",RW2_4P!B$2,0))))))</f>
        <v/>
      </c>
      <c r="G920" s="26"/>
      <c r="I920" s="26"/>
    </row>
    <row r="921" customFormat="false" ht="15" hidden="false" customHeight="true" outlineLevel="0" collapsed="false">
      <c r="D921" s="9" t="str">
        <f aca="false">IF(A921="","",IF(C921="2P",OPR_2P!B$2,IF(C921="SEG",SEG_6P!B$2,IF(C921="SOL",SOL_4P!B$2,IF(C921="RW",RW_2P!B$2,IF(C921="RW2",RW2_4P!B$2,0))))))</f>
        <v/>
      </c>
      <c r="G921" s="26"/>
      <c r="I921" s="26"/>
    </row>
    <row r="922" customFormat="false" ht="15" hidden="false" customHeight="true" outlineLevel="0" collapsed="false">
      <c r="D922" s="9" t="str">
        <f aca="false">IF(A922="","",IF(C922="2P",OPR_2P!B$2,IF(C922="SEG",SEG_6P!B$2,IF(C922="SOL",SOL_4P!B$2,IF(C922="RW",RW_2P!B$2,IF(C922="RW2",RW2_4P!B$2,0))))))</f>
        <v/>
      </c>
      <c r="G922" s="26"/>
      <c r="I922" s="26"/>
    </row>
    <row r="923" customFormat="false" ht="15" hidden="false" customHeight="true" outlineLevel="0" collapsed="false">
      <c r="D923" s="9" t="str">
        <f aca="false">IF(A923="","",IF(C923="2P",OPR_2P!B$2,IF(C923="SEG",SEG_6P!B$2,IF(C923="SOL",SOL_4P!B$2,IF(C923="RW",RW_2P!B$2,IF(C923="RW2",RW2_4P!B$2,0))))))</f>
        <v/>
      </c>
      <c r="G923" s="26"/>
      <c r="I923" s="26"/>
    </row>
    <row r="924" customFormat="false" ht="15" hidden="false" customHeight="true" outlineLevel="0" collapsed="false">
      <c r="D924" s="9" t="str">
        <f aca="false">IF(A924="","",IF(C924="2P",OPR_2P!B$2,IF(C924="SEG",SEG_6P!B$2,IF(C924="SOL",SOL_4P!B$2,IF(C924="RW",RW_2P!B$2,IF(C924="RW2",RW2_4P!B$2,0))))))</f>
        <v/>
      </c>
      <c r="G924" s="26"/>
      <c r="I924" s="26"/>
    </row>
    <row r="925" customFormat="false" ht="15" hidden="false" customHeight="true" outlineLevel="0" collapsed="false">
      <c r="D925" s="9" t="str">
        <f aca="false">IF(A925="","",IF(C925="2P",OPR_2P!B$2,IF(C925="SEG",SEG_6P!B$2,IF(C925="SOL",SOL_4P!B$2,IF(C925="RW",RW_2P!B$2,IF(C925="RW2",RW2_4P!B$2,0))))))</f>
        <v/>
      </c>
      <c r="G925" s="26"/>
      <c r="I925" s="26"/>
    </row>
    <row r="926" customFormat="false" ht="15" hidden="false" customHeight="true" outlineLevel="0" collapsed="false">
      <c r="D926" s="9" t="str">
        <f aca="false">IF(A926="","",IF(C926="2P",OPR_2P!B$2,IF(C926="SEG",SEG_6P!B$2,IF(C926="SOL",SOL_4P!B$2,IF(C926="RW",RW_2P!B$2,IF(C926="RW2",RW2_4P!B$2,0))))))</f>
        <v/>
      </c>
      <c r="G926" s="26"/>
      <c r="I926" s="26"/>
    </row>
    <row r="927" customFormat="false" ht="15" hidden="false" customHeight="true" outlineLevel="0" collapsed="false">
      <c r="D927" s="9" t="str">
        <f aca="false">IF(A927="","",IF(C927="2P",OPR_2P!B$2,IF(C927="SEG",SEG_6P!B$2,IF(C927="SOL",SOL_4P!B$2,IF(C927="RW",RW_2P!B$2,IF(C927="RW2",RW2_4P!B$2,0))))))</f>
        <v/>
      </c>
      <c r="G927" s="26"/>
      <c r="I927" s="26"/>
    </row>
    <row r="928" customFormat="false" ht="15" hidden="false" customHeight="true" outlineLevel="0" collapsed="false">
      <c r="D928" s="9" t="str">
        <f aca="false">IF(A928="","",IF(C928="2P",OPR_2P!B$2,IF(C928="SEG",SEG_6P!B$2,IF(C928="SOL",SOL_4P!B$2,IF(C928="RW",RW_2P!B$2,IF(C928="RW2",RW2_4P!B$2,0))))))</f>
        <v/>
      </c>
      <c r="G928" s="26"/>
      <c r="I928" s="26"/>
    </row>
    <row r="929" customFormat="false" ht="15" hidden="false" customHeight="true" outlineLevel="0" collapsed="false">
      <c r="D929" s="9" t="str">
        <f aca="false">IF(A929="","",IF(C929="2P",OPR_2P!B$2,IF(C929="SEG",SEG_6P!B$2,IF(C929="SOL",SOL_4P!B$2,IF(C929="RW",RW_2P!B$2,IF(C929="RW2",RW2_4P!B$2,0))))))</f>
        <v/>
      </c>
      <c r="G929" s="26"/>
      <c r="I929" s="26"/>
    </row>
    <row r="930" customFormat="false" ht="15" hidden="false" customHeight="true" outlineLevel="0" collapsed="false">
      <c r="D930" s="9" t="str">
        <f aca="false">IF(A930="","",IF(C930="2P",OPR_2P!B$2,IF(C930="SEG",SEG_6P!B$2,IF(C930="SOL",SOL_4P!B$2,IF(C930="RW",RW_2P!B$2,IF(C930="RW2",RW2_4P!B$2,0))))))</f>
        <v/>
      </c>
      <c r="G930" s="26"/>
      <c r="I930" s="26"/>
    </row>
    <row r="931" customFormat="false" ht="15" hidden="false" customHeight="true" outlineLevel="0" collapsed="false">
      <c r="D931" s="9" t="str">
        <f aca="false">IF(A931="","",IF(C931="2P",OPR_2P!B$2,IF(C931="SEG",SEG_6P!B$2,IF(C931="SOL",SOL_4P!B$2,IF(C931="RW",RW_2P!B$2,IF(C931="RW2",RW2_4P!B$2,0))))))</f>
        <v/>
      </c>
      <c r="G931" s="26"/>
      <c r="I931" s="26"/>
    </row>
    <row r="932" customFormat="false" ht="15" hidden="false" customHeight="true" outlineLevel="0" collapsed="false">
      <c r="D932" s="9" t="str">
        <f aca="false">IF(A932="","",IF(C932="2P",OPR_2P!B$2,IF(C932="SEG",SEG_6P!B$2,IF(C932="SOL",SOL_4P!B$2,IF(C932="RW",RW_2P!B$2,IF(C932="RW2",RW2_4P!B$2,0))))))</f>
        <v/>
      </c>
      <c r="G932" s="26"/>
      <c r="I932" s="26"/>
    </row>
    <row r="933" customFormat="false" ht="15" hidden="false" customHeight="true" outlineLevel="0" collapsed="false">
      <c r="D933" s="9" t="str">
        <f aca="false">IF(A933="","",IF(C933="2P",OPR_2P!B$2,IF(C933="SEG",SEG_6P!B$2,IF(C933="SOL",SOL_4P!B$2,IF(C933="RW",RW_2P!B$2,IF(C933="RW2",RW2_4P!B$2,0))))))</f>
        <v/>
      </c>
      <c r="G933" s="26"/>
      <c r="I933" s="26"/>
    </row>
    <row r="934" customFormat="false" ht="15" hidden="false" customHeight="true" outlineLevel="0" collapsed="false">
      <c r="D934" s="9" t="str">
        <f aca="false">IF(A934="","",IF(C934="2P",OPR_2P!B$2,IF(C934="SEG",SEG_6P!B$2,IF(C934="SOL",SOL_4P!B$2,IF(C934="RW",RW_2P!B$2,IF(C934="RW2",RW2_4P!B$2,0))))))</f>
        <v/>
      </c>
      <c r="G934" s="26"/>
      <c r="I934" s="26"/>
    </row>
    <row r="935" customFormat="false" ht="15" hidden="false" customHeight="true" outlineLevel="0" collapsed="false">
      <c r="D935" s="9" t="str">
        <f aca="false">IF(A935="","",IF(C935="2P",OPR_2P!B$2,IF(C935="SEG",SEG_6P!B$2,IF(C935="SOL",SOL_4P!B$2,IF(C935="RW",RW_2P!B$2,IF(C935="RW2",RW2_4P!B$2,0))))))</f>
        <v/>
      </c>
      <c r="G935" s="26"/>
      <c r="I935" s="26"/>
    </row>
    <row r="936" customFormat="false" ht="15" hidden="false" customHeight="true" outlineLevel="0" collapsed="false">
      <c r="D936" s="9" t="str">
        <f aca="false">IF(A936="","",IF(C936="2P",OPR_2P!B$2,IF(C936="SEG",SEG_6P!B$2,IF(C936="SOL",SOL_4P!B$2,IF(C936="RW",RW_2P!B$2,IF(C936="RW2",RW2_4P!B$2,0))))))</f>
        <v/>
      </c>
      <c r="G936" s="26"/>
      <c r="I936" s="26"/>
    </row>
    <row r="937" customFormat="false" ht="15" hidden="false" customHeight="true" outlineLevel="0" collapsed="false">
      <c r="D937" s="9" t="str">
        <f aca="false">IF(A937="","",IF(C937="2P",OPR_2P!B$2,IF(C937="SEG",SEG_6P!B$2,IF(C937="SOL",SOL_4P!B$2,IF(C937="RW",RW_2P!B$2,IF(C937="RW2",RW2_4P!B$2,0))))))</f>
        <v/>
      </c>
      <c r="G937" s="26"/>
      <c r="I937" s="26"/>
    </row>
    <row r="938" customFormat="false" ht="15" hidden="false" customHeight="true" outlineLevel="0" collapsed="false">
      <c r="D938" s="9" t="str">
        <f aca="false">IF(A938="","",IF(C938="2P",OPR_2P!B$2,IF(C938="SEG",SEG_6P!B$2,IF(C938="SOL",SOL_4P!B$2,IF(C938="RW",RW_2P!B$2,IF(C938="RW2",RW2_4P!B$2,0))))))</f>
        <v/>
      </c>
      <c r="G938" s="26"/>
      <c r="I938" s="26"/>
    </row>
    <row r="939" customFormat="false" ht="15" hidden="false" customHeight="true" outlineLevel="0" collapsed="false">
      <c r="D939" s="9" t="str">
        <f aca="false">IF(A939="","",IF(C939="2P",OPR_2P!B$2,IF(C939="SEG",SEG_6P!B$2,IF(C939="SOL",SOL_4P!B$2,IF(C939="RW",RW_2P!B$2,IF(C939="RW2",RW2_4P!B$2,0))))))</f>
        <v/>
      </c>
      <c r="G939" s="26"/>
      <c r="I939" s="26"/>
    </row>
    <row r="940" customFormat="false" ht="15" hidden="false" customHeight="true" outlineLevel="0" collapsed="false">
      <c r="D940" s="9" t="str">
        <f aca="false">IF(A940="","",IF(C940="2P",OPR_2P!B$2,IF(C940="SEG",SEG_6P!B$2,IF(C940="SOL",SOL_4P!B$2,IF(C940="RW",RW_2P!B$2,IF(C940="RW2",RW2_4P!B$2,0))))))</f>
        <v/>
      </c>
      <c r="G940" s="26"/>
      <c r="I940" s="26"/>
    </row>
    <row r="941" customFormat="false" ht="15" hidden="false" customHeight="true" outlineLevel="0" collapsed="false">
      <c r="D941" s="9" t="str">
        <f aca="false">IF(A941="","",IF(C941="2P",OPR_2P!B$2,IF(C941="SEG",SEG_6P!B$2,IF(C941="SOL",SOL_4P!B$2,IF(C941="RW",RW_2P!B$2,IF(C941="RW2",RW2_4P!B$2,0))))))</f>
        <v/>
      </c>
      <c r="G941" s="26"/>
      <c r="I941" s="26"/>
    </row>
    <row r="942" customFormat="false" ht="15" hidden="false" customHeight="true" outlineLevel="0" collapsed="false">
      <c r="D942" s="9" t="str">
        <f aca="false">IF(A942="","",IF(C942="2P",OPR_2P!B$2,IF(C942="SEG",SEG_6P!B$2,IF(C942="SOL",SOL_4P!B$2,IF(C942="RW",RW_2P!B$2,IF(C942="RW2",RW2_4P!B$2,0))))))</f>
        <v/>
      </c>
      <c r="G942" s="26"/>
      <c r="I942" s="26"/>
    </row>
    <row r="943" customFormat="false" ht="15" hidden="false" customHeight="true" outlineLevel="0" collapsed="false">
      <c r="D943" s="9" t="str">
        <f aca="false">IF(A943="","",IF(C943="2P",OPR_2P!B$2,IF(C943="SEG",SEG_6P!B$2,IF(C943="SOL",SOL_4P!B$2,IF(C943="RW",RW_2P!B$2,IF(C943="RW2",RW2_4P!B$2,0))))))</f>
        <v/>
      </c>
      <c r="G943" s="26"/>
      <c r="I943" s="26"/>
    </row>
    <row r="944" customFormat="false" ht="15" hidden="false" customHeight="true" outlineLevel="0" collapsed="false">
      <c r="D944" s="9" t="str">
        <f aca="false">IF(A944="","",IF(C944="2P",OPR_2P!B$2,IF(C944="SEG",SEG_6P!B$2,IF(C944="SOL",SOL_4P!B$2,IF(C944="RW",RW_2P!B$2,IF(C944="RW2",RW2_4P!B$2,0))))))</f>
        <v/>
      </c>
      <c r="G944" s="26"/>
      <c r="I944" s="26"/>
    </row>
    <row r="945" customFormat="false" ht="15" hidden="false" customHeight="true" outlineLevel="0" collapsed="false">
      <c r="D945" s="9" t="str">
        <f aca="false">IF(A945="","",IF(C945="2P",OPR_2P!B$2,IF(C945="SEG",SEG_6P!B$2,IF(C945="SOL",SOL_4P!B$2,IF(C945="RW",RW_2P!B$2,IF(C945="RW2",RW2_4P!B$2,0))))))</f>
        <v/>
      </c>
      <c r="G945" s="26"/>
      <c r="I945" s="26"/>
    </row>
    <row r="946" customFormat="false" ht="15" hidden="false" customHeight="true" outlineLevel="0" collapsed="false">
      <c r="D946" s="9" t="str">
        <f aca="false">IF(A946="","",IF(C946="2P",OPR_2P!B$2,IF(C946="SEG",SEG_6P!B$2,IF(C946="SOL",SOL_4P!B$2,IF(C946="RW",RW_2P!B$2,IF(C946="RW2",RW2_4P!B$2,0))))))</f>
        <v/>
      </c>
      <c r="G946" s="26"/>
      <c r="I946" s="26"/>
    </row>
    <row r="947" customFormat="false" ht="15" hidden="false" customHeight="true" outlineLevel="0" collapsed="false">
      <c r="D947" s="9" t="str">
        <f aca="false">IF(A947="","",IF(C947="2P",OPR_2P!B$2,IF(C947="SEG",SEG_6P!B$2,IF(C947="SOL",SOL_4P!B$2,IF(C947="RW",RW_2P!B$2,IF(C947="RW2",RW2_4P!B$2,0))))))</f>
        <v/>
      </c>
      <c r="G947" s="26"/>
      <c r="I947" s="26"/>
    </row>
    <row r="948" customFormat="false" ht="15" hidden="false" customHeight="true" outlineLevel="0" collapsed="false">
      <c r="D948" s="9" t="str">
        <f aca="false">IF(A948="","",IF(C948="2P",OPR_2P!B$2,IF(C948="SEG",SEG_6P!B$2,IF(C948="SOL",SOL_4P!B$2,IF(C948="RW",RW_2P!B$2,IF(C948="RW2",RW2_4P!B$2,0))))))</f>
        <v/>
      </c>
      <c r="G948" s="26"/>
      <c r="I948" s="26"/>
    </row>
    <row r="949" customFormat="false" ht="15" hidden="false" customHeight="true" outlineLevel="0" collapsed="false">
      <c r="D949" s="9" t="str">
        <f aca="false">IF(A949="","",IF(C949="2P",OPR_2P!B$2,IF(C949="SEG",SEG_6P!B$2,IF(C949="SOL",SOL_4P!B$2,IF(C949="RW",RW_2P!B$2,IF(C949="RW2",RW2_4P!B$2,0))))))</f>
        <v/>
      </c>
      <c r="G949" s="26"/>
      <c r="I949" s="26"/>
    </row>
    <row r="950" customFormat="false" ht="15" hidden="false" customHeight="true" outlineLevel="0" collapsed="false">
      <c r="D950" s="9" t="str">
        <f aca="false">IF(A950="","",IF(C950="2P",OPR_2P!B$2,IF(C950="SEG",SEG_6P!B$2,IF(C950="SOL",SOL_4P!B$2,IF(C950="RW",RW_2P!B$2,IF(C950="RW2",RW2_4P!B$2,0))))))</f>
        <v/>
      </c>
      <c r="G950" s="26"/>
      <c r="I950" s="26"/>
    </row>
    <row r="951" customFormat="false" ht="15" hidden="false" customHeight="true" outlineLevel="0" collapsed="false">
      <c r="D951" s="9" t="str">
        <f aca="false">IF(A951="","",IF(C951="2P",OPR_2P!B$2,IF(C951="SEG",SEG_6P!B$2,IF(C951="SOL",SOL_4P!B$2,IF(C951="RW",RW_2P!B$2,IF(C951="RW2",RW2_4P!B$2,0))))))</f>
        <v/>
      </c>
      <c r="G951" s="26"/>
      <c r="I951" s="26"/>
    </row>
    <row r="952" customFormat="false" ht="15" hidden="false" customHeight="true" outlineLevel="0" collapsed="false">
      <c r="D952" s="9" t="str">
        <f aca="false">IF(A952="","",IF(C952="2P",OPR_2P!B$2,IF(C952="SEG",SEG_6P!B$2,IF(C952="SOL",SOL_4P!B$2,IF(C952="RW",RW_2P!B$2,IF(C952="RW2",RW2_4P!B$2,0))))))</f>
        <v/>
      </c>
      <c r="G952" s="26"/>
      <c r="I952" s="26"/>
    </row>
    <row r="953" customFormat="false" ht="15" hidden="false" customHeight="true" outlineLevel="0" collapsed="false">
      <c r="D953" s="9" t="str">
        <f aca="false">IF(A953="","",IF(C953="2P",OPR_2P!B$2,IF(C953="SEG",SEG_6P!B$2,IF(C953="SOL",SOL_4P!B$2,IF(C953="RW",RW_2P!B$2,IF(C953="RW2",RW2_4P!B$2,0))))))</f>
        <v/>
      </c>
      <c r="G953" s="26"/>
      <c r="I953" s="26"/>
    </row>
    <row r="954" customFormat="false" ht="15" hidden="false" customHeight="true" outlineLevel="0" collapsed="false">
      <c r="D954" s="9" t="str">
        <f aca="false">IF(A954="","",IF(C954="2P",OPR_2P!B$2,IF(C954="SEG",SEG_6P!B$2,IF(C954="SOL",SOL_4P!B$2,IF(C954="RW",RW_2P!B$2,IF(C954="RW2",RW2_4P!B$2,0))))))</f>
        <v/>
      </c>
      <c r="G954" s="26"/>
      <c r="I954" s="26"/>
    </row>
    <row r="955" customFormat="false" ht="15" hidden="false" customHeight="true" outlineLevel="0" collapsed="false">
      <c r="D955" s="9" t="str">
        <f aca="false">IF(A955="","",IF(C955="2P",OPR_2P!B$2,IF(C955="SEG",SEG_6P!B$2,IF(C955="SOL",SOL_4P!B$2,IF(C955="RW",RW_2P!B$2,IF(C955="RW2",RW2_4P!B$2,0))))))</f>
        <v/>
      </c>
      <c r="G955" s="26"/>
      <c r="I955" s="26"/>
    </row>
    <row r="956" customFormat="false" ht="15" hidden="false" customHeight="true" outlineLevel="0" collapsed="false">
      <c r="D956" s="9" t="str">
        <f aca="false">IF(A956="","",IF(C956="2P",OPR_2P!B$2,IF(C956="SEG",SEG_6P!B$2,IF(C956="SOL",SOL_4P!B$2,IF(C956="RW",RW_2P!B$2,IF(C956="RW2",RW2_4P!B$2,0))))))</f>
        <v/>
      </c>
      <c r="G956" s="26"/>
      <c r="I956" s="26"/>
    </row>
    <row r="957" customFormat="false" ht="15" hidden="false" customHeight="true" outlineLevel="0" collapsed="false">
      <c r="D957" s="9" t="str">
        <f aca="false">IF(A957="","",IF(C957="2P",OPR_2P!B$2,IF(C957="SEG",SEG_6P!B$2,IF(C957="SOL",SOL_4P!B$2,IF(C957="RW",RW_2P!B$2,IF(C957="RW2",RW2_4P!B$2,0))))))</f>
        <v/>
      </c>
      <c r="G957" s="26"/>
      <c r="I957" s="26"/>
    </row>
    <row r="958" customFormat="false" ht="15" hidden="false" customHeight="true" outlineLevel="0" collapsed="false">
      <c r="D958" s="9" t="str">
        <f aca="false">IF(A958="","",IF(C958="2P",OPR_2P!B$2,IF(C958="SEG",SEG_6P!B$2,IF(C958="SOL",SOL_4P!B$2,IF(C958="RW",RW_2P!B$2,IF(C958="RW2",RW2_4P!B$2,0))))))</f>
        <v/>
      </c>
      <c r="G958" s="26"/>
      <c r="I958" s="26"/>
    </row>
    <row r="959" customFormat="false" ht="15" hidden="false" customHeight="true" outlineLevel="0" collapsed="false">
      <c r="D959" s="9" t="str">
        <f aca="false">IF(A959="","",IF(C959="2P",OPR_2P!B$2,IF(C959="SEG",SEG_6P!B$2,IF(C959="SOL",SOL_4P!B$2,IF(C959="RW",RW_2P!B$2,IF(C959="RW2",RW2_4P!B$2,0))))))</f>
        <v/>
      </c>
      <c r="G959" s="26"/>
      <c r="I959" s="26"/>
    </row>
    <row r="960" customFormat="false" ht="15" hidden="false" customHeight="true" outlineLevel="0" collapsed="false">
      <c r="D960" s="9" t="str">
        <f aca="false">IF(A960="","",IF(C960="2P",OPR_2P!B$2,IF(C960="SEG",SEG_6P!B$2,IF(C960="SOL",SOL_4P!B$2,IF(C960="RW",RW_2P!B$2,IF(C960="RW2",RW2_4P!B$2,0))))))</f>
        <v/>
      </c>
      <c r="G960" s="26"/>
      <c r="I960" s="26"/>
    </row>
    <row r="961" customFormat="false" ht="15" hidden="false" customHeight="true" outlineLevel="0" collapsed="false">
      <c r="D961" s="9" t="str">
        <f aca="false">IF(A961="","",IF(C961="2P",OPR_2P!B$2,IF(C961="SEG",SEG_6P!B$2,IF(C961="SOL",SOL_4P!B$2,IF(C961="RW",RW_2P!B$2,IF(C961="RW2",RW2_4P!B$2,0))))))</f>
        <v/>
      </c>
      <c r="G961" s="26"/>
      <c r="I961" s="26"/>
    </row>
    <row r="962" customFormat="false" ht="15" hidden="false" customHeight="true" outlineLevel="0" collapsed="false">
      <c r="D962" s="9" t="str">
        <f aca="false">IF(A962="","",IF(C962="2P",OPR_2P!B$2,IF(C962="SEG",SEG_6P!B$2,IF(C962="SOL",SOL_4P!B$2,IF(C962="RW",RW_2P!B$2,IF(C962="RW2",RW2_4P!B$2,0))))))</f>
        <v/>
      </c>
      <c r="G962" s="26"/>
      <c r="I962" s="26"/>
    </row>
    <row r="963" customFormat="false" ht="15" hidden="false" customHeight="true" outlineLevel="0" collapsed="false">
      <c r="D963" s="9" t="str">
        <f aca="false">IF(A963="","",IF(C963="2P",OPR_2P!B$2,IF(C963="SEG",SEG_6P!B$2,IF(C963="SOL",SOL_4P!B$2,IF(C963="RW",RW_2P!B$2,IF(C963="RW2",RW2_4P!B$2,0))))))</f>
        <v/>
      </c>
      <c r="G963" s="26"/>
      <c r="I963" s="26"/>
    </row>
    <row r="964" customFormat="false" ht="15" hidden="false" customHeight="true" outlineLevel="0" collapsed="false">
      <c r="D964" s="9" t="str">
        <f aca="false">IF(A964="","",IF(C964="2P",OPR_2P!B$2,IF(C964="SEG",SEG_6P!B$2,IF(C964="SOL",SOL_4P!B$2,IF(C964="RW",RW_2P!B$2,IF(C964="RW2",RW2_4P!B$2,0))))))</f>
        <v/>
      </c>
      <c r="G964" s="26"/>
      <c r="I964" s="26"/>
    </row>
    <row r="965" customFormat="false" ht="15" hidden="false" customHeight="true" outlineLevel="0" collapsed="false">
      <c r="D965" s="9" t="str">
        <f aca="false">IF(A965="","",IF(C965="2P",OPR_2P!B$2,IF(C965="SEG",SEG_6P!B$2,IF(C965="SOL",SOL_4P!B$2,IF(C965="RW",RW_2P!B$2,IF(C965="RW2",RW2_4P!B$2,0))))))</f>
        <v/>
      </c>
      <c r="G965" s="26"/>
      <c r="I965" s="26"/>
    </row>
    <row r="966" customFormat="false" ht="15" hidden="false" customHeight="true" outlineLevel="0" collapsed="false">
      <c r="D966" s="9" t="str">
        <f aca="false">IF(A966="","",IF(C966="2P",OPR_2P!B$2,IF(C966="SEG",SEG_6P!B$2,IF(C966="SOL",SOL_4P!B$2,IF(C966="RW",RW_2P!B$2,IF(C966="RW2",RW2_4P!B$2,0))))))</f>
        <v/>
      </c>
      <c r="G966" s="26"/>
      <c r="I966" s="26"/>
    </row>
    <row r="967" customFormat="false" ht="15" hidden="false" customHeight="true" outlineLevel="0" collapsed="false">
      <c r="D967" s="9" t="str">
        <f aca="false">IF(A967="","",IF(C967="2P",OPR_2P!B$2,IF(C967="SEG",SEG_6P!B$2,IF(C967="SOL",SOL_4P!B$2,IF(C967="RW",RW_2P!B$2,IF(C967="RW2",RW2_4P!B$2,0))))))</f>
        <v/>
      </c>
      <c r="G967" s="26"/>
      <c r="I967" s="26"/>
    </row>
    <row r="968" customFormat="false" ht="15" hidden="false" customHeight="true" outlineLevel="0" collapsed="false">
      <c r="D968" s="9" t="str">
        <f aca="false">IF(A968="","",IF(C968="2P",OPR_2P!B$2,IF(C968="SEG",SEG_6P!B$2,IF(C968="SOL",SOL_4P!B$2,IF(C968="RW",RW_2P!B$2,IF(C968="RW2",RW2_4P!B$2,0))))))</f>
        <v/>
      </c>
      <c r="G968" s="26"/>
      <c r="I968" s="26"/>
    </row>
    <row r="969" customFormat="false" ht="15" hidden="false" customHeight="true" outlineLevel="0" collapsed="false">
      <c r="D969" s="9" t="str">
        <f aca="false">IF(A969="","",IF(C969="2P",OPR_2P!B$2,IF(C969="SEG",SEG_6P!B$2,IF(C969="SOL",SOL_4P!B$2,IF(C969="RW",RW_2P!B$2,IF(C969="RW2",RW2_4P!B$2,0))))))</f>
        <v/>
      </c>
      <c r="G969" s="26"/>
      <c r="I969" s="26"/>
    </row>
    <row r="970" customFormat="false" ht="15" hidden="false" customHeight="true" outlineLevel="0" collapsed="false">
      <c r="D970" s="9" t="str">
        <f aca="false">IF(A970="","",IF(C970="2P",OPR_2P!B$2,IF(C970="SEG",SEG_6P!B$2,IF(C970="SOL",SOL_4P!B$2,IF(C970="RW",RW_2P!B$2,IF(C970="RW2",RW2_4P!B$2,0))))))</f>
        <v/>
      </c>
      <c r="G970" s="26"/>
      <c r="I970" s="26"/>
    </row>
    <row r="971" customFormat="false" ht="15" hidden="false" customHeight="true" outlineLevel="0" collapsed="false">
      <c r="D971" s="9" t="str">
        <f aca="false">IF(A971="","",IF(C971="2P",OPR_2P!B$2,IF(C971="SEG",SEG_6P!B$2,IF(C971="SOL",SOL_4P!B$2,IF(C971="RW",RW_2P!B$2,IF(C971="RW2",RW2_4P!B$2,0))))))</f>
        <v/>
      </c>
      <c r="G971" s="26"/>
      <c r="I971" s="26"/>
    </row>
    <row r="972" customFormat="false" ht="15" hidden="false" customHeight="true" outlineLevel="0" collapsed="false">
      <c r="D972" s="9" t="str">
        <f aca="false">IF(A972="","",IF(C972="2P",OPR_2P!B$2,IF(C972="SEG",SEG_6P!B$2,IF(C972="SOL",SOL_4P!B$2,IF(C972="RW",RW_2P!B$2,IF(C972="RW2",RW2_4P!B$2,0))))))</f>
        <v/>
      </c>
      <c r="G972" s="26"/>
      <c r="I972" s="26"/>
    </row>
    <row r="973" customFormat="false" ht="15" hidden="false" customHeight="true" outlineLevel="0" collapsed="false">
      <c r="D973" s="9" t="str">
        <f aca="false">IF(A973="","",IF(C973="2P",OPR_2P!B$2,IF(C973="SEG",SEG_6P!B$2,IF(C973="SOL",SOL_4P!B$2,IF(C973="RW",RW_2P!B$2,IF(C973="RW2",RW2_4P!B$2,0))))))</f>
        <v/>
      </c>
      <c r="G973" s="26"/>
      <c r="I973" s="26"/>
    </row>
    <row r="974" customFormat="false" ht="15" hidden="false" customHeight="true" outlineLevel="0" collapsed="false">
      <c r="D974" s="9" t="str">
        <f aca="false">IF(A974="","",IF(C974="2P",OPR_2P!B$2,IF(C974="SEG",SEG_6P!B$2,IF(C974="SOL",SOL_4P!B$2,IF(C974="RW",RW_2P!B$2,IF(C974="RW2",RW2_4P!B$2,0))))))</f>
        <v/>
      </c>
      <c r="G974" s="26"/>
      <c r="I974" s="26"/>
    </row>
    <row r="975" customFormat="false" ht="15" hidden="false" customHeight="true" outlineLevel="0" collapsed="false">
      <c r="D975" s="9" t="str">
        <f aca="false">IF(A975="","",IF(C975="2P",OPR_2P!B$2,IF(C975="SEG",SEG_6P!B$2,IF(C975="SOL",SOL_4P!B$2,IF(C975="RW",RW_2P!B$2,IF(C975="RW2",RW2_4P!B$2,0))))))</f>
        <v/>
      </c>
      <c r="G975" s="26"/>
      <c r="I975" s="26"/>
    </row>
    <row r="976" customFormat="false" ht="15" hidden="false" customHeight="true" outlineLevel="0" collapsed="false">
      <c r="D976" s="9" t="str">
        <f aca="false">IF(A976="","",IF(C976="2P",OPR_2P!B$2,IF(C976="SEG",SEG_6P!B$2,IF(C976="SOL",SOL_4P!B$2,IF(C976="RW",RW_2P!B$2,IF(C976="RW2",RW2_4P!B$2,0))))))</f>
        <v/>
      </c>
      <c r="G976" s="26"/>
      <c r="I976" s="26"/>
    </row>
    <row r="977" customFormat="false" ht="15" hidden="false" customHeight="true" outlineLevel="0" collapsed="false">
      <c r="D977" s="9" t="str">
        <f aca="false">IF(A977="","",IF(C977="2P",OPR_2P!B$2,IF(C977="SEG",SEG_6P!B$2,IF(C977="SOL",SOL_4P!B$2,IF(C977="RW",RW_2P!B$2,IF(C977="RW2",RW2_4P!B$2,0))))))</f>
        <v/>
      </c>
      <c r="G977" s="26"/>
      <c r="I977" s="26"/>
    </row>
    <row r="978" customFormat="false" ht="15" hidden="false" customHeight="true" outlineLevel="0" collapsed="false">
      <c r="D978" s="9" t="str">
        <f aca="false">IF(A978="","",IF(C978="2P",OPR_2P!B$2,IF(C978="SEG",SEG_6P!B$2,IF(C978="SOL",SOL_4P!B$2,IF(C978="RW",RW_2P!B$2,IF(C978="RW2",RW2_4P!B$2,0))))))</f>
        <v/>
      </c>
      <c r="G978" s="26"/>
      <c r="I978" s="26"/>
    </row>
    <row r="979" customFormat="false" ht="15" hidden="false" customHeight="true" outlineLevel="0" collapsed="false">
      <c r="D979" s="9" t="str">
        <f aca="false">IF(A979="","",IF(C979="2P",OPR_2P!B$2,IF(C979="SEG",SEG_6P!B$2,IF(C979="SOL",SOL_4P!B$2,IF(C979="RW",RW_2P!B$2,IF(C979="RW2",RW2_4P!B$2,0))))))</f>
        <v/>
      </c>
      <c r="G979" s="26"/>
      <c r="I979" s="26"/>
    </row>
    <row r="980" customFormat="false" ht="15" hidden="false" customHeight="true" outlineLevel="0" collapsed="false">
      <c r="D980" s="9" t="str">
        <f aca="false">IF(A980="","",IF(C980="2P",OPR_2P!B$2,IF(C980="SEG",SEG_6P!B$2,IF(C980="SOL",SOL_4P!B$2,IF(C980="RW",RW_2P!B$2,IF(C980="RW2",RW2_4P!B$2,0))))))</f>
        <v/>
      </c>
      <c r="G980" s="26"/>
      <c r="I980" s="26"/>
    </row>
    <row r="981" customFormat="false" ht="15" hidden="false" customHeight="true" outlineLevel="0" collapsed="false">
      <c r="D981" s="9" t="str">
        <f aca="false">IF(A981="","",IF(C981="2P",OPR_2P!B$2,IF(C981="SEG",SEG_6P!B$2,IF(C981="SOL",SOL_4P!B$2,IF(C981="RW",RW_2P!B$2,IF(C981="RW2",RW2_4P!B$2,0))))))</f>
        <v/>
      </c>
      <c r="G981" s="26"/>
      <c r="I981" s="26"/>
    </row>
    <row r="982" customFormat="false" ht="15" hidden="false" customHeight="true" outlineLevel="0" collapsed="false">
      <c r="D982" s="9" t="str">
        <f aca="false">IF(A982="","",IF(C982="2P",OPR_2P!B$2,IF(C982="SEG",SEG_6P!B$2,IF(C982="SOL",SOL_4P!B$2,IF(C982="RW",RW_2P!B$2,IF(C982="RW2",RW2_4P!B$2,0))))))</f>
        <v/>
      </c>
      <c r="G982" s="26"/>
      <c r="I982" s="26"/>
    </row>
    <row r="983" customFormat="false" ht="15" hidden="false" customHeight="true" outlineLevel="0" collapsed="false">
      <c r="D983" s="9" t="str">
        <f aca="false">IF(A983="","",IF(C983="2P",OPR_2P!B$2,IF(C983="SEG",SEG_6P!B$2,IF(C983="SOL",SOL_4P!B$2,IF(C983="RW",RW_2P!B$2,IF(C983="RW2",RW2_4P!B$2,0))))))</f>
        <v/>
      </c>
      <c r="G983" s="26"/>
      <c r="I983" s="26"/>
    </row>
    <row r="984" customFormat="false" ht="15" hidden="false" customHeight="true" outlineLevel="0" collapsed="false">
      <c r="D984" s="9" t="str">
        <f aca="false">IF(A984="","",IF(C984="2P",OPR_2P!B$2,IF(C984="SEG",SEG_6P!B$2,IF(C984="SOL",SOL_4P!B$2,IF(C984="RW",RW_2P!B$2,IF(C984="RW2",RW2_4P!B$2,0))))))</f>
        <v/>
      </c>
      <c r="G984" s="26"/>
      <c r="I984" s="26"/>
    </row>
    <row r="985" customFormat="false" ht="15" hidden="false" customHeight="true" outlineLevel="0" collapsed="false">
      <c r="D985" s="9" t="str">
        <f aca="false">IF(A985="","",IF(C985="2P",OPR_2P!B$2,IF(C985="SEG",SEG_6P!B$2,IF(C985="SOL",SOL_4P!B$2,IF(C985="RW",RW_2P!B$2,IF(C985="RW2",RW2_4P!B$2,0))))))</f>
        <v/>
      </c>
      <c r="G985" s="26"/>
      <c r="I985" s="26"/>
    </row>
    <row r="986" customFormat="false" ht="15" hidden="false" customHeight="true" outlineLevel="0" collapsed="false">
      <c r="D986" s="9" t="str">
        <f aca="false">IF(A986="","",IF(C986="2P",OPR_2P!B$2,IF(C986="SEG",SEG_6P!B$2,IF(C986="SOL",SOL_4P!B$2,IF(C986="RW",RW_2P!B$2,IF(C986="RW2",RW2_4P!B$2,0))))))</f>
        <v/>
      </c>
      <c r="G986" s="26"/>
      <c r="I986" s="26"/>
    </row>
    <row r="987" customFormat="false" ht="15" hidden="false" customHeight="true" outlineLevel="0" collapsed="false">
      <c r="D987" s="9" t="str">
        <f aca="false">IF(A987="","",IF(C987="2P",OPR_2P!B$2,IF(C987="SEG",SEG_6P!B$2,IF(C987="SOL",SOL_4P!B$2,IF(C987="RW",RW_2P!B$2,IF(C987="RW2",RW2_4P!B$2,0))))))</f>
        <v/>
      </c>
      <c r="G987" s="26"/>
      <c r="I987" s="26"/>
    </row>
    <row r="988" customFormat="false" ht="15" hidden="false" customHeight="true" outlineLevel="0" collapsed="false">
      <c r="D988" s="9" t="str">
        <f aca="false">IF(A988="","",IF(C988="2P",OPR_2P!B$2,IF(C988="SEG",SEG_6P!B$2,IF(C988="SOL",SOL_4P!B$2,IF(C988="RW",RW_2P!B$2,IF(C988="RW2",RW2_4P!B$2,0))))))</f>
        <v/>
      </c>
      <c r="G988" s="26"/>
      <c r="I988" s="26"/>
    </row>
    <row r="989" customFormat="false" ht="15" hidden="false" customHeight="true" outlineLevel="0" collapsed="false">
      <c r="D989" s="9" t="str">
        <f aca="false">IF(A989="","",IF(C989="2P",OPR_2P!B$2,IF(C989="SEG",SEG_6P!B$2,IF(C989="SOL",SOL_4P!B$2,IF(C989="RW",RW_2P!B$2,IF(C989="RW2",RW2_4P!B$2,0))))))</f>
        <v/>
      </c>
      <c r="G989" s="26"/>
      <c r="I989" s="26"/>
    </row>
    <row r="990" customFormat="false" ht="15" hidden="false" customHeight="true" outlineLevel="0" collapsed="false">
      <c r="D990" s="9" t="str">
        <f aca="false">IF(A990="","",IF(C990="2P",OPR_2P!B$2,IF(C990="SEG",SEG_6P!B$2,IF(C990="SOL",SOL_4P!B$2,IF(C990="RW",RW_2P!B$2,IF(C990="RW2",RW2_4P!B$2,0))))))</f>
        <v/>
      </c>
      <c r="G990" s="26"/>
      <c r="I990" s="26"/>
    </row>
    <row r="991" customFormat="false" ht="15" hidden="false" customHeight="true" outlineLevel="0" collapsed="false">
      <c r="D991" s="9" t="str">
        <f aca="false">IF(A991="","",IF(C991="2P",OPR_2P!B$2,IF(C991="SEG",SEG_6P!B$2,IF(C991="SOL",SOL_4P!B$2,IF(C991="RW",RW_2P!B$2,IF(C991="RW2",RW2_4P!B$2,0))))))</f>
        <v/>
      </c>
      <c r="G991" s="26"/>
      <c r="I991" s="26"/>
    </row>
    <row r="992" customFormat="false" ht="15" hidden="false" customHeight="true" outlineLevel="0" collapsed="false">
      <c r="D992" s="9" t="str">
        <f aca="false">IF(A992="","",IF(C992="2P",OPR_2P!B$2,IF(C992="SEG",SEG_6P!B$2,IF(C992="SOL",SOL_4P!B$2,IF(C992="RW",RW_2P!B$2,IF(C992="RW2",RW2_4P!B$2,0))))))</f>
        <v/>
      </c>
      <c r="G992" s="26"/>
      <c r="I992" s="26"/>
    </row>
    <row r="993" customFormat="false" ht="15" hidden="false" customHeight="true" outlineLevel="0" collapsed="false">
      <c r="D993" s="9" t="str">
        <f aca="false">IF(A993="","",IF(C993="2P",OPR_2P!B$2,IF(C993="SEG",SEG_6P!B$2,IF(C993="SOL",SOL_4P!B$2,IF(C993="RW",RW_2P!B$2,IF(C993="RW2",RW2_4P!B$2,0))))))</f>
        <v/>
      </c>
      <c r="G993" s="26"/>
      <c r="I993" s="26"/>
    </row>
    <row r="994" customFormat="false" ht="15" hidden="false" customHeight="true" outlineLevel="0" collapsed="false">
      <c r="D994" s="9" t="str">
        <f aca="false">IF(A994="","",IF(C994="2P",OPR_2P!B$2,IF(C994="SEG",SEG_6P!B$2,IF(C994="SOL",SOL_4P!B$2,IF(C994="RW",RW_2P!B$2,IF(C994="RW2",RW2_4P!B$2,0))))))</f>
        <v/>
      </c>
      <c r="G994" s="26"/>
      <c r="I994" s="26"/>
    </row>
    <row r="995" customFormat="false" ht="15" hidden="false" customHeight="true" outlineLevel="0" collapsed="false">
      <c r="D995" s="9" t="str">
        <f aca="false">IF(A995="","",IF(C995="2P",OPR_2P!B$2,IF(C995="SEG",SEG_6P!B$2,IF(C995="SOL",SOL_4P!B$2,IF(C995="RW",RW_2P!B$2,IF(C995="RW2",RW2_4P!B$2,0))))))</f>
        <v/>
      </c>
      <c r="G995" s="26"/>
      <c r="I995" s="26"/>
    </row>
    <row r="996" customFormat="false" ht="15" hidden="false" customHeight="true" outlineLevel="0" collapsed="false">
      <c r="D996" s="9" t="str">
        <f aca="false">IF(A996="","",IF(C996="2P",OPR_2P!B$2,IF(C996="SEG",SEG_6P!B$2,IF(C996="SOL",SOL_4P!B$2,IF(C996="RW",RW_2P!B$2,IF(C996="RW2",RW2_4P!B$2,0))))))</f>
        <v/>
      </c>
      <c r="G996" s="26"/>
      <c r="I996" s="26"/>
    </row>
    <row r="997" customFormat="false" ht="15" hidden="false" customHeight="true" outlineLevel="0" collapsed="false">
      <c r="D997" s="9" t="str">
        <f aca="false">IF(A997="","",IF(C997="2P",OPR_2P!B$2,IF(C997="SEG",SEG_6P!B$2,IF(C997="SOL",SOL_4P!B$2,IF(C997="RW",RW_2P!B$2,IF(C997="RW2",RW2_4P!B$2,0))))))</f>
        <v/>
      </c>
      <c r="G997" s="26"/>
      <c r="I997" s="26"/>
    </row>
    <row r="998" customFormat="false" ht="15" hidden="false" customHeight="true" outlineLevel="0" collapsed="false">
      <c r="D998" s="9" t="str">
        <f aca="false">IF(A998="","",IF(C998="2P",OPR_2P!B$2,IF(C998="SEG",SEG_6P!B$2,IF(C998="SOL",SOL_4P!B$2,IF(C998="RW",RW_2P!B$2,IF(C998="RW2",RW2_4P!B$2,0))))))</f>
        <v/>
      </c>
      <c r="G998" s="26"/>
      <c r="I998" s="26"/>
    </row>
    <row r="999" customFormat="false" ht="15" hidden="false" customHeight="true" outlineLevel="0" collapsed="false">
      <c r="D999" s="9" t="str">
        <f aca="false">IF(A999="","",IF(C999="2P",OPR_2P!B$2,IF(C999="SEG",SEG_6P!B$2,IF(C999="SOL",SOL_4P!B$2,IF(C999="RW",RW_2P!B$2,IF(C999="RW2",RW2_4P!B$2,0))))))</f>
        <v/>
      </c>
      <c r="G999" s="26"/>
      <c r="I999" s="26"/>
    </row>
    <row r="1000" customFormat="false" ht="15" hidden="false" customHeight="true" outlineLevel="0" collapsed="false">
      <c r="D1000" s="9" t="str">
        <f aca="false">IF(A1000="","",IF(C1000="2P",OPR_2P!B$2,IF(C1000="SEG",SEG_6P!B$2,IF(C1000="SOL",SOL_4P!B$2,IF(C1000="RW",RW_2P!B$2,IF(C1000="RW2",RW2_4P!B$2,0))))))</f>
        <v/>
      </c>
      <c r="G1000" s="26"/>
      <c r="I1000" s="26"/>
    </row>
  </sheetData>
  <conditionalFormatting sqref="A4:A1000">
    <cfRule type="expression" priority="2" aboveAverage="0" equalAverage="0" bottom="0" percent="0" rank="0" text="" dxfId="0">
      <formula>$G4="High"</formula>
    </cfRule>
    <cfRule type="expression" priority="3" aboveAverage="0" equalAverage="0" bottom="0" percent="0" rank="0" text="" dxfId="1">
      <formula>$G4="Medium"</formula>
    </cfRule>
    <cfRule type="expression" priority="4" aboveAverage="0" equalAverage="0" bottom="0" percent="0" rank="0" text="" dxfId="2">
      <formula>$G4="Low"</formula>
    </cfRule>
  </conditionalFormatting>
  <conditionalFormatting sqref="BR4:BR500">
    <cfRule type="cellIs" priority="5" operator="equal" aboveAverage="0" equalAverage="0" bottom="0" percent="0" rank="0" text="" dxfId="3">
      <formula>"ON-TIME"</formula>
    </cfRule>
    <cfRule type="cellIs" priority="6" operator="equal" aboveAverage="0" equalAverage="0" bottom="0" percent="0" rank="0" text="" dxfId="4">
      <formula>"DELAYED"</formula>
    </cfRule>
  </conditionalFormatting>
  <conditionalFormatting sqref="I4:I1000">
    <cfRule type="containsText" priority="7" operator="containsText" aboveAverage="0" equalAverage="0" bottom="0" percent="0" rank="0" text="Released" dxfId="5">
      <formula>NOT(ISERROR(SEARCH("Released",I4)))</formula>
    </cfRule>
    <cfRule type="containsText" priority="8" operator="containsText" aboveAverage="0" equalAverage="0" bottom="0" percent="0" rank="0" text="On Hold" dxfId="6">
      <formula>NOT(ISERROR(SEARCH("On Hold",I4)))</formula>
    </cfRule>
    <cfRule type="containsText" priority="9" operator="containsText" aboveAverage="0" equalAverage="0" bottom="0" percent="0" rank="0" text="Cancelled" dxfId="7">
      <formula>NOT(ISERROR(SEARCH("Cancelled",I4)))</formula>
    </cfRule>
  </conditionalFormatting>
  <conditionalFormatting sqref="L4:BR103">
    <cfRule type="expression" priority="10" aboveAverage="0" equalAverage="0" bottom="0" percent="0" rank="0" text="" dxfId="8">
      <formula>AND($A4&lt;&gt;"",L$3&gt;=INT(VTL_Plan!$J4),L$3&lt;=INT(VTL_Plan!$M4))</formula>
    </cfRule>
    <cfRule type="expression" priority="11" aboveAverage="0" equalAverage="0" bottom="0" percent="0" rank="0" text="" dxfId="9">
      <formula>AND($A4&lt;&gt;"",L$3&gt;=INT(SPM_Plan!$J4),L$3&lt;=INT(SPM_Plan!$M4))</formula>
    </cfRule>
    <cfRule type="expression" priority="12" aboveAverage="0" equalAverage="0" bottom="0" percent="0" rank="0" text="" dxfId="10">
      <formula>AND($A4&lt;&gt;"",L$3&gt;=INT(CARVING_Plan!$J4),L$3&lt;=INT(CARVING_Plan!$M4))</formula>
    </cfRule>
    <cfRule type="expression" priority="13" aboveAverage="0" equalAverage="0" bottom="0" percent="0" rank="0" text="" dxfId="11">
      <formula>AND($A4&lt;&gt;"",L$3&gt;=INT(EDM_Plan!$J4),L$3&lt;=INT(EDM_Plan!$M4))</formula>
    </cfRule>
    <cfRule type="expression" priority="14" aboveAverage="0" equalAverage="0" bottom="0" percent="0" rank="0" text="" dxfId="12">
      <formula>AND($A4&lt;&gt;"",L$3&gt;=INT(ENG_Plan!$J4),L$3&lt;=INT(ENG_Plan!$M4))</formula>
    </cfRule>
    <cfRule type="expression" priority="15" aboveAverage="0" equalAverage="0" bottom="0" percent="0" rank="0" text="" dxfId="13">
      <formula>AND($A4&lt;&gt;"",L$3&gt;=INT(VENT_Plan!$J4),L$3&lt;=INT(VENT_Plan!$M4))</formula>
    </cfRule>
    <cfRule type="expression" priority="16" aboveAverage="0" equalAverage="0" bottom="0" percent="0" rank="0" text="" dxfId="14">
      <formula>AND($A4&lt;&gt;"",L$3&gt;=INT(FID_Plan!$J4),L$3&lt;=INT(FID_Plan!$M4))</formula>
    </cfRule>
    <cfRule type="expression" priority="17" aboveAverage="0" equalAverage="0" bottom="0" percent="0" rank="0" text="" dxfId="15">
      <formula>AND($A4&lt;&gt;"",L$3&gt;=INT(QC_Plan!$J4),L$3&lt;=INT(QC_Plan!$M4))</formula>
    </cfRule>
  </conditionalFormatting>
  <dataValidations count="4">
    <dataValidation allowBlank="true" errorStyle="stop" operator="between" showDropDown="false" showErrorMessage="true" showInputMessage="true" sqref="C4:C1000" type="list">
      <formula1>"2P,SEG,SOL,RW,RW2,FLAP,TUBE"</formula1>
      <formula2>0</formula2>
    </dataValidation>
    <dataValidation allowBlank="true" error="Please select a valid size from the list." errorStyle="stop" errorTitle="Invalid Size" operator="between" prompt="Choose part size from the Settings list (col M)." promptTitle="Select Size" showDropDown="false" showErrorMessage="true" showInputMessage="true" sqref="B4:B1000" type="list">
      <formula1>SizeList</formula1>
      <formula2>0</formula2>
    </dataValidation>
    <dataValidation allowBlank="true" error="Please select High, Medium, or Low." errorStyle="stop" errorTitle="Invalid Priority" operator="between" prompt="Select job priority: High, Medium, or Low." promptTitle="Set Priority" showDropDown="false" showErrorMessage="true" showInputMessage="tru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28" width="14.33"/>
    <col collapsed="false" customWidth="true" hidden="false" outlineLevel="0" max="7" min="7" style="1" width="12.11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6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225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3330</v>
      </c>
      <c r="BY3" s="45" t="n">
        <v>1678</v>
      </c>
      <c r="BZ3" s="45" t="n">
        <v>1614</v>
      </c>
      <c r="CA3" s="45" t="n">
        <v>1842</v>
      </c>
      <c r="CB3" s="45" t="n">
        <v>780</v>
      </c>
      <c r="CC3" s="45" t="n">
        <v>828</v>
      </c>
      <c r="CD3" s="45" t="n">
        <v>552</v>
      </c>
      <c r="CE3" s="45" t="n">
        <v>0</v>
      </c>
      <c r="CF3" s="45" t="n">
        <v>0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IF($A4="","",IFERROR(INDEX(Machine_List!$B$4:$B$7,MATCH("*"&amp;$B4&amp;"*",Machine_List!$J$4:$J$7,0)),"NO COMPATIBLE MACHINE"))</f>
        <v>VTL-MC-01</v>
      </c>
      <c r="F4" s="49" t="str">
        <f aca="false">IF($E4="","",IFERROR(VLOOKUP($E4,Machine_List!$B:$G,6,0),""))</f>
        <v>General Workman</v>
      </c>
      <c r="G4" s="50" t="n">
        <f aca="false">IF($E4="","",IFERROR(VLOOKUP($E4,Machine_List!$B:$C,2,0),""))</f>
        <v>46133</v>
      </c>
      <c r="H4" s="48" t="n">
        <f aca="false">IF($E4="","",IFERROR(VLOOKUP($E4,Machine_List!$B:$D,3,0),""))</f>
        <v>6</v>
      </c>
      <c r="I4" s="45"/>
      <c r="J4" s="51" t="n">
        <f aca="true">IF($A4="","",IF($I4&lt;&gt;"",$I4,MAX(GlobalStartDate,IFERROR(LOOKUP(2,1/($E$3:INDIRECT("E"&amp;(ROW()-1))=$E4),$M$3:INDIRECT("M"&amp;(ROW()-1))),GlobalStartDate))))</f>
        <v>46113.2916666667</v>
      </c>
      <c r="K4" s="48" t="n">
        <f aca="false">IF($A4="","",IFERROR(VLOOKUP(B4,CHOOSE(MATCH(C4,Settings!$L$4:$L$10,0),OPR_2P!$A$4:$I$18,SEG_6P!$A$4:$I$18,SOL_4P!$A$4:$I$18,RW_2P!$A$4:$I$18,RW2_4P!$A$4:$I$18,FLAP_4P!$A$4:$I$18,TUBE_4P!$A$4:$I$18),1,0),0))</f>
        <v>28</v>
      </c>
      <c r="L4" s="48" t="n">
        <f aca="false">IF($A4="","",K4*D4)</f>
        <v>56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46115.8842592593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2592</v>
      </c>
      <c r="BY4" s="45" t="n">
        <v>2678.4</v>
      </c>
      <c r="BZ4" s="45" t="n">
        <v>2592</v>
      </c>
      <c r="CA4" s="45" t="n">
        <v>2678.4</v>
      </c>
      <c r="CB4" s="45" t="n">
        <v>2678.4</v>
      </c>
      <c r="CC4" s="45" t="n">
        <v>2592</v>
      </c>
      <c r="CD4" s="45" t="n">
        <v>2678.4</v>
      </c>
      <c r="CE4" s="45" t="n">
        <v>2592</v>
      </c>
      <c r="CF4" s="45" t="n">
        <v>2678.4</v>
      </c>
      <c r="CG4" s="45" t="n">
        <v>2678.4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IF($A5="","",IFERROR(INDEX(Machine_List!$B$4:$B$7,MATCH("*"&amp;$B5&amp;"*",Machine_List!$J$4:$J$7,0)),"NO COMPATIBLE MACHINE"))</f>
        <v>VTL-MC-02</v>
      </c>
      <c r="F5" s="54" t="str">
        <f aca="false">IF($E5="","",IFERROR(VLOOKUP($E5,Machine_List!$B:$G,6,0),""))</f>
        <v>General Workman</v>
      </c>
      <c r="G5" s="55" t="n">
        <f aca="false">IF($E5="","",IFERROR(VLOOKUP($E5,Machine_List!$B:$C,2,0),""))</f>
        <v>46521</v>
      </c>
      <c r="H5" s="4" t="n">
        <f aca="false">IF($E5="","",IFERROR(VLOOKUP($E5,Machine_List!$B:$D,3,0),""))</f>
        <v>6</v>
      </c>
      <c r="I5" s="56"/>
      <c r="J5" s="57" t="n">
        <f aca="true">IF($A5="","",IF($I5&lt;&gt;"",$I5,MAX(GlobalStartDate,IFERROR(LOOKUP(2,1/($E$3:INDIRECT("E"&amp;(ROW()-1))=$E5),$M$3:INDIRECT("M"&amp;(ROW()-1))),GlobalStartDate))))</f>
        <v>46113.2916666667</v>
      </c>
      <c r="K5" s="4" t="n">
        <f aca="false">IF($A5="","",IFERROR(VLOOKUP(B5,CHOOSE(MATCH(C5,Settings!$L$4:$L$10,0),OPR_2P!$A$4:$I$18,SEG_6P!$A$4:$I$18,SOL_4P!$A$4:$I$18,RW_2P!$A$4:$I$18,RW2_4P!$A$4:$I$18,FLAP_4P!$A$4:$I$18,TUBE_4P!$A$4:$I$18),1,0),0))</f>
        <v>42</v>
      </c>
      <c r="L5" s="4" t="n">
        <f aca="false">IF($A5="","",K5*D5)</f>
        <v>168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46121.0694444444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IF($A6="","",IFERROR(INDEX(Machine_List!$B$4:$B$7,MATCH("*"&amp;$B6&amp;"*",Machine_List!$J$4:$J$7,0)),"NO COMPATIBLE MACHINE"))</f>
        <v>VTL-MC-01</v>
      </c>
      <c r="F6" s="54" t="str">
        <f aca="false">IF($E6="","",IFERROR(VLOOKUP($E6,Machine_List!$B:$G,6,0),""))</f>
        <v>General Workman</v>
      </c>
      <c r="G6" s="55" t="n">
        <f aca="false">IF($E6="","",IFERROR(VLOOKUP($E6,Machine_List!$B:$C,2,0),""))</f>
        <v>46133</v>
      </c>
      <c r="H6" s="4" t="n">
        <f aca="false">IF($E6="","",IFERROR(VLOOKUP($E6,Machine_List!$B:$D,3,0),""))</f>
        <v>6</v>
      </c>
      <c r="I6" s="56"/>
      <c r="J6" s="57" t="n">
        <f aca="true">IF($A6="","",IF($I6&lt;&gt;"",$I6,MAX(GlobalStartDate,IFERROR(LOOKUP(2,1/($E$3:INDIRECT("E"&amp;(ROW()-1))=$E6),$M$3:INDIRECT("M"&amp;(ROW()-1))),GlobalStartDate))))</f>
        <v>46115.8842592593</v>
      </c>
      <c r="K6" s="4" t="n">
        <f aca="false">IF($A6="","",IFERROR(VLOOKUP(B6,CHOOSE(MATCH(C6,Settings!$L$4:$L$10,0),OPR_2P!$A$4:$I$18,SEG_6P!$A$4:$I$18,SOL_4P!$A$4:$I$18,RW_2P!$A$4:$I$18,RW2_4P!$A$4:$I$18,FLAP_4P!$A$4:$I$18,TUBE_4P!$A$4:$I$18),1,0),0))</f>
        <v>28</v>
      </c>
      <c r="L6" s="4" t="n">
        <f aca="false">IF($A6="","",K6*D6)</f>
        <v>56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46118.4768518519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IF($A7="","",IFERROR(INDEX(Machine_List!$B$4:$B$7,MATCH("*"&amp;$B7&amp;"*",Machine_List!$J$4:$J$7,0)),"NO COMPATIBLE MACHINE"))</f>
        <v>VTL-MC-01</v>
      </c>
      <c r="F7" s="54" t="str">
        <f aca="false">IF($E7="","",IFERROR(VLOOKUP($E7,Machine_List!$B:$G,6,0),""))</f>
        <v>General Workman</v>
      </c>
      <c r="G7" s="55" t="n">
        <f aca="false">IF($E7="","",IFERROR(VLOOKUP($E7,Machine_List!$B:$C,2,0),""))</f>
        <v>46133</v>
      </c>
      <c r="H7" s="4" t="n">
        <f aca="false">IF($E7="","",IFERROR(VLOOKUP($E7,Machine_List!$B:$D,3,0),""))</f>
        <v>6</v>
      </c>
      <c r="I7" s="56"/>
      <c r="J7" s="57" t="n">
        <f aca="true">IF($A7="","",IF($I7&lt;&gt;"",$I7,MAX(GlobalStartDate,IFERROR(LOOKUP(2,1/($E$3:INDIRECT("E"&amp;(ROW()-1))=$E7),$M$3:INDIRECT("M"&amp;(ROW()-1))),GlobalStartDate))))</f>
        <v>46118.4768518519</v>
      </c>
      <c r="K7" s="4" t="n">
        <f aca="false">IF($A7="","",IFERROR(VLOOKUP(B7,CHOOSE(MATCH(C7,Settings!$L$4:$L$10,0),OPR_2P!$A$4:$I$18,SEG_6P!$A$4:$I$18,SOL_4P!$A$4:$I$18,RW_2P!$A$4:$I$18,RW2_4P!$A$4:$I$18,FLAP_4P!$A$4:$I$18,TUBE_4P!$A$4:$I$18),1,0),0))</f>
        <v>25</v>
      </c>
      <c r="L7" s="4" t="n">
        <f aca="false">IF($A7="","",K7*D7)</f>
        <v>150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46125.4212962963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IF($A8="","",IFERROR(INDEX(Machine_List!$B$4:$B$7,MATCH("*"&amp;$B8&amp;"*",Machine_List!$J$4:$J$7,0)),"NO COMPATIBLE MACHINE"))</f>
        <v>VTL-MC-02</v>
      </c>
      <c r="F8" s="54" t="str">
        <f aca="false">IF($E8="","",IFERROR(VLOOKUP($E8,Machine_List!$B:$G,6,0),""))</f>
        <v>General Workman</v>
      </c>
      <c r="G8" s="55" t="n">
        <f aca="false">IF($E8="","",IFERROR(VLOOKUP($E8,Machine_List!$B:$C,2,0),""))</f>
        <v>46521</v>
      </c>
      <c r="H8" s="4" t="n">
        <f aca="false">IF($E8="","",IFERROR(VLOOKUP($E8,Machine_List!$B:$D,3,0),""))</f>
        <v>6</v>
      </c>
      <c r="I8" s="56"/>
      <c r="J8" s="57" t="n">
        <f aca="true">IF($A8="","",IF($I8&lt;&gt;"",$I8,MAX(GlobalStartDate,IFERROR(LOOKUP(2,1/($E$3:INDIRECT("E"&amp;(ROW()-1))=$E8),$M$3:INDIRECT("M"&amp;(ROW()-1))),GlobalStartDate))))</f>
        <v>46121.0694444444</v>
      </c>
      <c r="K8" s="4" t="n">
        <f aca="false">IF($A8="","",IFERROR(VLOOKUP(B8,CHOOSE(MATCH(C8,Settings!$L$4:$L$10,0),OPR_2P!$A$4:$I$18,SEG_6P!$A$4:$I$18,SOL_4P!$A$4:$I$18,RW_2P!$A$4:$I$18,RW2_4P!$A$4:$I$18,FLAP_4P!$A$4:$I$18,TUBE_4P!$A$4:$I$18),1,0),0))</f>
        <v>34</v>
      </c>
      <c r="L8" s="4" t="n">
        <f aca="false">IF($A8="","",K8*D8)</f>
        <v>204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46130.5138888889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A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IF($A9="","",IFERROR(INDEX(Machine_List!$B$4:$B$7,MATCH("*"&amp;$B9&amp;"*",Machine_List!$J$4:$J$7,0)),"NO COMPATIBLE MACHINE"))</f>
        <v>VTL-MC-01</v>
      </c>
      <c r="F9" s="54" t="str">
        <f aca="false">IF($E9="","",IFERROR(VLOOKUP($E9,Machine_List!$B:$G,6,0),""))</f>
        <v>General Workman</v>
      </c>
      <c r="G9" s="55" t="n">
        <f aca="false">IF($E9="","",IFERROR(VLOOKUP($E9,Machine_List!$B:$C,2,0),""))</f>
        <v>46133</v>
      </c>
      <c r="H9" s="4" t="n">
        <f aca="false">IF($E9="","",IFERROR(VLOOKUP($E9,Machine_List!$B:$D,3,0),""))</f>
        <v>6</v>
      </c>
      <c r="I9" s="56"/>
      <c r="J9" s="57" t="n">
        <f aca="true">IF($A9="","",IF($I9&lt;&gt;"",$I9,MAX(GlobalStartDate,IFERROR(LOOKUP(2,1/($E$3:INDIRECT("E"&amp;(ROW()-1))=$E9),$M$3:INDIRECT("M"&amp;(ROW()-1))),GlobalStartDate))))</f>
        <v>46125.4212962963</v>
      </c>
      <c r="K9" s="4" t="n">
        <f aca="false">IF($A9="","",IFERROR(VLOOKUP(B9,CHOOSE(MATCH(C9,Settings!$L$4:$L$10,0),OPR_2P!$A$4:$I$18,SEG_6P!$A$4:$I$18,SOL_4P!$A$4:$I$18,RW_2P!$A$4:$I$18,RW2_4P!$A$4:$I$18,FLAP_4P!$A$4:$I$18,TUBE_4P!$A$4:$I$18),1,0),0))</f>
        <v>20</v>
      </c>
      <c r="L9" s="4" t="n">
        <f aca="false">IF($A9="","",K9*D9)</f>
        <v>40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46127.2731481481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C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IF($A10="","",IFERROR(INDEX(Machine_List!$B$4:$B$7,MATCH("*"&amp;$B10&amp;"*",Machine_List!$J$4:$J$7,0)),"NO COMPATIBLE MACHINE"))</f>
        <v>VTL-MC-03</v>
      </c>
      <c r="F10" s="5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46174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IF($A10="","",IF($I10&lt;&gt;"",$I10,MAX(GlobalStartDate,IFERROR(LOOKUP(2,1/($E$3:INDIRECT("E"&amp;(ROW()-1))=$E10),$M$3:INDIRECT("M"&amp;(ROW()-1))),GlobalStartDate))))</f>
        <v>46113.2916666667</v>
      </c>
      <c r="K10" s="4" t="n">
        <f aca="false">IF($A10="","",IFERROR(VLOOKUP(B10,CHOOSE(MATCH(C10,Settings!$L$4:$L$10,0),OPR_2P!$A$4:$I$18,SEG_6P!$A$4:$I$18,SOL_4P!$A$4:$I$18,RW_2P!$A$4:$I$18,RW2_4P!$A$4:$I$18,FLAP_4P!$A$4:$I$18,TUBE_4P!$A$4:$I$18),1,0),0))</f>
        <v>70</v>
      </c>
      <c r="L10" s="4" t="n">
        <f aca="false">IF($A10="","",K10*D10)</f>
        <v>140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46119.7731481481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IF($A11="","",IFERROR(INDEX(Machine_List!$B$4:$B$7,MATCH("*"&amp;$B11&amp;"*",Machine_List!$J$4:$J$7,0)),"NO COMPATIBLE MACHINE"))</f>
        <v>VTL-MC-01</v>
      </c>
      <c r="F11" s="5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46133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IF($A11="","",IF($I11&lt;&gt;"",$I11,MAX(GlobalStartDate,IFERROR(LOOKUP(2,1/($E$3:INDIRECT("E"&amp;(ROW()-1))=$E11),$M$3:INDIRECT("M"&amp;(ROW()-1))),GlobalStartDate))))</f>
        <v>46127.2731481481</v>
      </c>
      <c r="K11" s="4" t="n">
        <f aca="false">IF($A11="","",IFERROR(VLOOKUP(B11,CHOOSE(MATCH(C11,Settings!$L$4:$L$10,0),OPR_2P!$A$4:$I$18,SEG_6P!$A$4:$I$18,SOL_4P!$A$4:$I$18,RW_2P!$A$4:$I$18,RW2_4P!$A$4:$I$18,FLAP_4P!$A$4:$I$18,TUBE_4P!$A$4:$I$18),1,0),0))</f>
        <v>15</v>
      </c>
      <c r="L11" s="4" t="n">
        <f aca="false">IF($A11="","",K11*D11)</f>
        <v>30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46128.662037037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IF($A12="","",IFERROR(INDEX(Machine_List!$B$4:$B$7,MATCH("*"&amp;$B12&amp;"*",Machine_List!$J$4:$J$7,0)),"NO COMPATIBLE MACHINE"))</f>
        <v>VTL-MC-02</v>
      </c>
      <c r="F12" s="5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46521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IF($A12="","",IF($I12&lt;&gt;"",$I12,MAX(GlobalStartDate,IFERROR(LOOKUP(2,1/($E$3:INDIRECT("E"&amp;(ROW()-1))=$E12),$M$3:INDIRECT("M"&amp;(ROW()-1))),GlobalStartDate))))</f>
        <v>46130.5138888889</v>
      </c>
      <c r="K12" s="4" t="n">
        <f aca="false">IF($A12="","",IFERROR(VLOOKUP(B12,CHOOSE(MATCH(C12,Settings!$L$4:$L$10,0),OPR_2P!$A$4:$I$18,SEG_6P!$A$4:$I$18,SOL_4P!$A$4:$I$18,RW_2P!$A$4:$I$18,RW2_4P!$A$4:$I$18,FLAP_4P!$A$4:$I$18,TUBE_4P!$A$4:$I$18),1,0),0))</f>
        <v>30</v>
      </c>
      <c r="L12" s="4" t="n">
        <f aca="false">IF($A12="","",K12*D12)</f>
        <v>60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46133.2916666667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IF($A13="","",IFERROR(INDEX(Machine_List!$B$4:$B$7,MATCH("*"&amp;$B13&amp;"*",Machine_List!$J$4:$J$7,0)),"NO COMPATIBLE MACHINE"))</f>
        <v>VTL-MC-01</v>
      </c>
      <c r="F13" s="5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46133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IF($A13="","",IF($I13&lt;&gt;"",$I13,MAX(GlobalStartDate,IFERROR(LOOKUP(2,1/($E$3:INDIRECT("E"&amp;(ROW()-1))=$E13),$M$3:INDIRECT("M"&amp;(ROW()-1))),GlobalStartDate))))</f>
        <v>46128.662037037</v>
      </c>
      <c r="K13" s="4" t="n">
        <f aca="false">IF($A13="","",IFERROR(VLOOKUP(B13,CHOOSE(MATCH(C13,Settings!$L$4:$L$10,0),OPR_2P!$A$4:$I$18,SEG_6P!$A$4:$I$18,SOL_4P!$A$4:$I$18,RW_2P!$A$4:$I$18,RW2_4P!$A$4:$I$18,FLAP_4P!$A$4:$I$18,TUBE_4P!$A$4:$I$18),1,0),0))</f>
        <v>17</v>
      </c>
      <c r="L13" s="4" t="n">
        <f aca="false">IF($A13="","",K13*D13)</f>
        <v>34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46130.2361111111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IF($A14="","",IFERROR(INDEX(Machine_List!$B$4:$B$7,MATCH("*"&amp;$B14&amp;"*",Machine_List!$J$4:$J$7,0)),"NO COMPATIBLE MACHINE"))</f>
        <v>VTL-MC-01</v>
      </c>
      <c r="F14" s="5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46133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IF($A14="","",IF($I14&lt;&gt;"",$I14,MAX(GlobalStartDate,IFERROR(LOOKUP(2,1/($E$3:INDIRECT("E"&amp;(ROW()-1))=$E14),$M$3:INDIRECT("M"&amp;(ROW()-1))),GlobalStartDate))))</f>
        <v>46130.2361111111</v>
      </c>
      <c r="K14" s="4" t="n">
        <f aca="false">IF($A14="","",IFERROR(VLOOKUP(B14,CHOOSE(MATCH(C14,Settings!$L$4:$L$10,0),OPR_2P!$A$4:$I$18,SEG_6P!$A$4:$I$18,SOL_4P!$A$4:$I$18,RW_2P!$A$4:$I$18,RW2_4P!$A$4:$I$18,FLAP_4P!$A$4:$I$18,TUBE_4P!$A$4:$I$18),1,0),0))</f>
        <v>25</v>
      </c>
      <c r="L14" s="4" t="n">
        <f aca="false">IF($A14="","",K14*D14)</f>
        <v>50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46132.5509259259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IF($A15="","",IFERROR(INDEX(Machine_List!$B$4:$B$7,MATCH("*"&amp;$B15&amp;"*",Machine_List!$J$4:$J$7,0)),"NO COMPATIBLE MACHINE"))</f>
        <v>VTL-MC-01</v>
      </c>
      <c r="F15" s="5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46133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IF($A15="","",IF($I15&lt;&gt;"",$I15,MAX(GlobalStartDate,IFERROR(LOOKUP(2,1/($E$3:INDIRECT("E"&amp;(ROW()-1))=$E15),$M$3:INDIRECT("M"&amp;(ROW()-1))),GlobalStartDate))))</f>
        <v>46132.5509259259</v>
      </c>
      <c r="K15" s="4" t="n">
        <f aca="false">IF($A15="","",IFERROR(VLOOKUP(B15,CHOOSE(MATCH(C15,Settings!$L$4:$L$10,0),OPR_2P!$A$4:$I$18,SEG_6P!$A$4:$I$18,SOL_4P!$A$4:$I$18,RW_2P!$A$4:$I$18,RW2_4P!$A$4:$I$18,FLAP_4P!$A$4:$I$18,TUBE_4P!$A$4:$I$18),1,0),0))</f>
        <v>20</v>
      </c>
      <c r="L15" s="4" t="n">
        <f aca="false">IF($A15="","",K15*D15)</f>
        <v>120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46138.3842592593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IF($A16="","",IFERROR(INDEX(Machine_List!$B$4:$B$7,MATCH("*"&amp;$B16&amp;"*",Machine_List!$J$4:$J$7,0)),"NO COMPATIBLE MACHINE"))</f>
        <v>VTL-MC-01</v>
      </c>
      <c r="F16" s="5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46133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IF($A16="","",IF($I16&lt;&gt;"",$I16,MAX(GlobalStartDate,IFERROR(LOOKUP(2,1/($E$3:INDIRECT("E"&amp;(ROW()-1))=$E16),$M$3:INDIRECT("M"&amp;(ROW()-1))),GlobalStartDate))))</f>
        <v>46138.3842592593</v>
      </c>
      <c r="K16" s="4" t="n">
        <f aca="false">IF($A16="","",IFERROR(VLOOKUP(B16,CHOOSE(MATCH(C16,Settings!$L$4:$L$10,0),OPR_2P!$A$4:$I$18,SEG_6P!$A$4:$I$18,SOL_4P!$A$4:$I$18,RW_2P!$A$4:$I$18,RW2_4P!$A$4:$I$18,FLAP_4P!$A$4:$I$18,TUBE_4P!$A$4:$I$18),1,0),0))</f>
        <v>17</v>
      </c>
      <c r="L16" s="4" t="n">
        <f aca="false">IF($A16="","",K16*D16)</f>
        <v>34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46139.9583333333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IF($A17="","",IFERROR(INDEX(Machine_List!$B$4:$B$7,MATCH("*"&amp;$B17&amp;"*",Machine_List!$J$4:$J$7,0)),"NO COMPATIBLE MACHINE"))</f>
        <v>VTL-MC-03</v>
      </c>
      <c r="F17" s="5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46174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IF($A17="","",IF($I17&lt;&gt;"",$I17,MAX(GlobalStartDate,IFERROR(LOOKUP(2,1/($E$3:INDIRECT("E"&amp;(ROW()-1))=$E17),$M$3:INDIRECT("M"&amp;(ROW()-1))),GlobalStartDate))))</f>
        <v>46119.7731481481</v>
      </c>
      <c r="K17" s="4" t="n">
        <f aca="false">IF($A17="","",IFERROR(VLOOKUP(B17,CHOOSE(MATCH(C17,Settings!$L$4:$L$10,0),OPR_2P!$A$4:$I$18,SEG_6P!$A$4:$I$18,SOL_4P!$A$4:$I$18,RW_2P!$A$4:$I$18,RW2_4P!$A$4:$I$18,FLAP_4P!$A$4:$I$18,TUBE_4P!$A$4:$I$18),1,0),0))</f>
        <v>50</v>
      </c>
      <c r="L17" s="4" t="n">
        <f aca="false">IF($A17="","",K17*D17)</f>
        <v>300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46133.662037037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IF($A18="","",IFERROR(INDEX(Machine_List!$B$4:$B$7,MATCH("*"&amp;$B18&amp;"*",Machine_List!$J$4:$J$7,0)),"NO COMPATIBLE MACHINE"))</f>
        <v>VTL-MC-02</v>
      </c>
      <c r="F18" s="5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46521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IF($A18="","",IF($I18&lt;&gt;"",$I18,MAX(GlobalStartDate,IFERROR(LOOKUP(2,1/($E$3:INDIRECT("E"&amp;(ROW()-1))=$E18),$M$3:INDIRECT("M"&amp;(ROW()-1))),GlobalStartDate))))</f>
        <v>46133.2916666667</v>
      </c>
      <c r="K18" s="4" t="n">
        <f aca="false">IF($A18="","",IFERROR(VLOOKUP(B18,CHOOSE(MATCH(C18,Settings!$L$4:$L$10,0),OPR_2P!$A$4:$I$18,SEG_6P!$A$4:$I$18,SOL_4P!$A$4:$I$18,RW_2P!$A$4:$I$18,RW2_4P!$A$4:$I$18,FLAP_4P!$A$4:$I$18,TUBE_4P!$A$4:$I$18),1,0),0))</f>
        <v>46</v>
      </c>
      <c r="L18" s="4" t="n">
        <f aca="false">IF($A18="","",K18*D18)</f>
        <v>92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46137.5509259259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IF($A19="","",IFERROR(INDEX(Machine_List!$B$4:$B$7,MATCH("*"&amp;$B19&amp;"*",Machine_List!$J$4:$J$7,0)),"NO COMPATIBLE MACHINE"))</f>
        <v>VTL-MC-03</v>
      </c>
      <c r="F19" s="5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46174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IF($A19="","",IF($I19&lt;&gt;"",$I19,MAX(GlobalStartDate,IFERROR(LOOKUP(2,1/($E$3:INDIRECT("E"&amp;(ROW()-1))=$E19),$M$3:INDIRECT("M"&amp;(ROW()-1))),GlobalStartDate))))</f>
        <v>46133.662037037</v>
      </c>
      <c r="K19" s="4" t="n">
        <f aca="false">IF($A19="","",IFERROR(VLOOKUP(B19,CHOOSE(MATCH(C19,Settings!$L$4:$L$10,0),OPR_2P!$A$4:$I$18,SEG_6P!$A$4:$I$18,SOL_4P!$A$4:$I$18,RW_2P!$A$4:$I$18,RW2_4P!$A$4:$I$18,FLAP_4P!$A$4:$I$18,TUBE_4P!$A$4:$I$18),1,0),0))</f>
        <v>54</v>
      </c>
      <c r="L19" s="4" t="n">
        <f aca="false">IF($A19="","",K19*D19)</f>
        <v>108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46138.662037037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IF($A20="","",IFERROR(INDEX(Machine_List!$B$4:$B$7,MATCH("*"&amp;$B20&amp;"*",Machine_List!$J$4:$J$7,0)),"NO COMPATIBLE MACHINE"))</f>
        <v>VTL-MC-01</v>
      </c>
      <c r="F20" s="5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46133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IF($A20="","",IF($I20&lt;&gt;"",$I20,MAX(GlobalStartDate,IFERROR(LOOKUP(2,1/($E$3:INDIRECT("E"&amp;(ROW()-1))=$E20),$M$3:INDIRECT("M"&amp;(ROW()-1))),GlobalStartDate))))</f>
        <v>46139.9583333333</v>
      </c>
      <c r="K20" s="4" t="n">
        <f aca="false">IF($A20="","",IFERROR(VLOOKUP(B20,CHOOSE(MATCH(C20,Settings!$L$4:$L$10,0),OPR_2P!$A$4:$I$18,SEG_6P!$A$4:$I$18,SOL_4P!$A$4:$I$18,RW_2P!$A$4:$I$18,RW2_4P!$A$4:$I$18,FLAP_4P!$A$4:$I$18,TUBE_4P!$A$4:$I$18),1,0),0))</f>
        <v>28</v>
      </c>
      <c r="L20" s="4" t="n">
        <f aca="false">IF($A20="","",K20*D20)</f>
        <v>112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46145.1435185185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IF($A21="","",IFERROR(INDEX(Machine_List!$B$4:$B$7,MATCH("*"&amp;$B21&amp;"*",Machine_List!$J$4:$J$7,0)),"NO COMPATIBLE MACHINE"))</f>
        <v>VTL-MC-03</v>
      </c>
      <c r="F21" s="5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46174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IF($A21="","",IF($I21&lt;&gt;"",$I21,MAX(GlobalStartDate,IFERROR(LOOKUP(2,1/($E$3:INDIRECT("E"&amp;(ROW()-1))=$E21),$M$3:INDIRECT("M"&amp;(ROW()-1))),GlobalStartDate))))</f>
        <v>46138.662037037</v>
      </c>
      <c r="K21" s="4" t="n">
        <f aca="false">IF($A21="","",IFERROR(VLOOKUP(B21,CHOOSE(MATCH(C21,Settings!$L$4:$L$10,0),OPR_2P!$A$4:$I$18,SEG_6P!$A$4:$I$18,SOL_4P!$A$4:$I$18,RW_2P!$A$4:$I$18,RW2_4P!$A$4:$I$18,FLAP_4P!$A$4:$I$18,TUBE_4P!$A$4:$I$18),1,0),0))</f>
        <v>63</v>
      </c>
      <c r="L21" s="4" t="n">
        <f aca="false">IF($A21="","",K21*D21)</f>
        <v>252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46150.3287037037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IF($A22="","",IFERROR(INDEX(Machine_List!$B$4:$B$7,MATCH("*"&amp;$B22&amp;"*",Machine_List!$J$4:$J$7,0)),"NO COMPATIBLE MACHINE"))</f>
        <v>VTL-MC-02</v>
      </c>
      <c r="F22" s="5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46521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IF($A22="","",IF($I22&lt;&gt;"",$I22,MAX(GlobalStartDate,IFERROR(LOOKUP(2,1/($E$3:INDIRECT("E"&amp;(ROW()-1))=$E22),$M$3:INDIRECT("M"&amp;(ROW()-1))),GlobalStartDate))))</f>
        <v>46137.5509259259</v>
      </c>
      <c r="K22" s="4" t="n">
        <f aca="false">IF($A22="","",IFERROR(VLOOKUP(B22,CHOOSE(MATCH(C22,Settings!$L$4:$L$10,0),OPR_2P!$A$4:$I$18,SEG_6P!$A$4:$I$18,SOL_4P!$A$4:$I$18,RW_2P!$A$4:$I$18,RW2_4P!$A$4:$I$18,FLAP_4P!$A$4:$I$18,TUBE_4P!$A$4:$I$18),1,0),0))</f>
        <v>46</v>
      </c>
      <c r="L22" s="4" t="n">
        <f aca="false">IF($A22="","",K22*D22)</f>
        <v>92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46141.8101851852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B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IF($A23="","",IFERROR(INDEX(Machine_List!$B$4:$B$7,MATCH("*"&amp;$B23&amp;"*",Machine_List!$J$4:$J$7,0)),"NO COMPATIBLE MACHINE"))</f>
        <v>VTL-MC-01</v>
      </c>
      <c r="F23" s="5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46133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IF($A23="","",IF($I23&lt;&gt;"",$I23,MAX(GlobalStartDate,IFERROR(LOOKUP(2,1/($E$3:INDIRECT("E"&amp;(ROW()-1))=$E23),$M$3:INDIRECT("M"&amp;(ROW()-1))),GlobalStartDate))))</f>
        <v>46145.1435185185</v>
      </c>
      <c r="K23" s="4" t="n">
        <f aca="false">IF($A23="","",IFERROR(VLOOKUP(B23,CHOOSE(MATCH(C23,Settings!$L$4:$L$10,0),OPR_2P!$A$4:$I$18,SEG_6P!$A$4:$I$18,SOL_4P!$A$4:$I$18,RW_2P!$A$4:$I$18,RW2_4P!$A$4:$I$18,FLAP_4P!$A$4:$I$18,TUBE_4P!$A$4:$I$18),1,0),0))</f>
        <v>9</v>
      </c>
      <c r="L23" s="4" t="n">
        <f aca="false">IF($A23="","",K23*D23)</f>
        <v>54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46147.6435185185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IF($A24="","",IFERROR(INDEX(Machine_List!$B$4:$B$7,MATCH("*"&amp;$B24&amp;"*",Machine_List!$J$4:$J$7,0)),"NO COMPATIBLE MACHINE"))</f>
        <v>VTL-MC-03</v>
      </c>
      <c r="F24" s="5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46174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IF($A24="","",IF($I24&lt;&gt;"",$I24,MAX(GlobalStartDate,IFERROR(LOOKUP(2,1/($E$3:INDIRECT("E"&amp;(ROW()-1))=$E24),$M$3:INDIRECT("M"&amp;(ROW()-1))),GlobalStartDate))))</f>
        <v>46150.3287037037</v>
      </c>
      <c r="K24" s="4" t="n">
        <f aca="false">IF($A24="","",IFERROR(VLOOKUP(B24,CHOOSE(MATCH(C24,Settings!$L$4:$L$10,0),OPR_2P!$A$4:$I$18,SEG_6P!$A$4:$I$18,SOL_4P!$A$4:$I$18,RW_2P!$A$4:$I$18,RW2_4P!$A$4:$I$18,FLAP_4P!$A$4:$I$18,TUBE_4P!$A$4:$I$18),1,0),0))</f>
        <v>57</v>
      </c>
      <c r="L24" s="4" t="n">
        <f aca="false">IF($A24="","",K24*D24)</f>
        <v>114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46155.6064814815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IF($A25="","",IFERROR(INDEX(Machine_List!$B$4:$B$7,MATCH("*"&amp;$B25&amp;"*",Machine_List!$J$4:$J$7,0)),"NO COMPATIBLE MACHINE"))</f>
        <v>VTL-MC-02</v>
      </c>
      <c r="F25" s="5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46521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IF($A25="","",IF($I25&lt;&gt;"",$I25,MAX(GlobalStartDate,IFERROR(LOOKUP(2,1/($E$3:INDIRECT("E"&amp;(ROW()-1))=$E25),$M$3:INDIRECT("M"&amp;(ROW()-1))),GlobalStartDate))))</f>
        <v>46141.8101851852</v>
      </c>
      <c r="K25" s="4" t="n">
        <f aca="false">IF($A25="","",IFERROR(VLOOKUP(B25,CHOOSE(MATCH(C25,Settings!$L$4:$L$10,0),OPR_2P!$A$4:$I$18,SEG_6P!$A$4:$I$18,SOL_4P!$A$4:$I$18,RW_2P!$A$4:$I$18,RW2_4P!$A$4:$I$18,FLAP_4P!$A$4:$I$18,TUBE_4P!$A$4:$I$18),1,0),0))</f>
        <v>46</v>
      </c>
      <c r="L25" s="4" t="n">
        <f aca="false">IF($A25="","",K25*D25)</f>
        <v>92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46146.0694444444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IF($A26="","",IFERROR(INDEX(Machine_List!$B$4:$B$7,MATCH("*"&amp;$B26&amp;"*",Machine_List!$J$4:$J$7,0)),"NO COMPATIBLE MACHINE"))</f>
        <v>VTL-MC-01</v>
      </c>
      <c r="F26" s="5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46133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IF($A26="","",IF($I26&lt;&gt;"",$I26,MAX(GlobalStartDate,IFERROR(LOOKUP(2,1/($E$3:INDIRECT("E"&amp;(ROW()-1))=$E26),$M$3:INDIRECT("M"&amp;(ROW()-1))),GlobalStartDate))))</f>
        <v>46147.6435185185</v>
      </c>
      <c r="K26" s="4" t="n">
        <f aca="false">IF($A26="","",IFERROR(VLOOKUP(B26,CHOOSE(MATCH(C26,Settings!$L$4:$L$10,0),OPR_2P!$A$4:$I$18,SEG_6P!$A$4:$I$18,SOL_4P!$A$4:$I$18,RW_2P!$A$4:$I$18,RW2_4P!$A$4:$I$18,FLAP_4P!$A$4:$I$18,TUBE_4P!$A$4:$I$18),1,0),0))</f>
        <v>15</v>
      </c>
      <c r="L26" s="4" t="n">
        <f aca="false">IF($A26="","",K26*D26)</f>
        <v>30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46149.0324074074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IF($A27="","",IFERROR(INDEX(Machine_List!$B$4:$B$7,MATCH("*"&amp;$B27&amp;"*",Machine_List!$J$4:$J$7,0)),"NO COMPATIBLE MACHINE"))</f>
        <v>VTL-MC-03</v>
      </c>
      <c r="F27" s="5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46174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IF($A27="","",IF($I27&lt;&gt;"",$I27,MAX(GlobalStartDate,IFERROR(LOOKUP(2,1/($E$3:INDIRECT("E"&amp;(ROW()-1))=$E27),$M$3:INDIRECT("M"&amp;(ROW()-1))),GlobalStartDate))))</f>
        <v>46155.6064814815</v>
      </c>
      <c r="K27" s="4" t="n">
        <f aca="false">IF($A27="","",IFERROR(VLOOKUP(B27,CHOOSE(MATCH(C27,Settings!$L$4:$L$10,0),OPR_2P!$A$4:$I$18,SEG_6P!$A$4:$I$18,SOL_4P!$A$4:$I$18,RW_2P!$A$4:$I$18,RW2_4P!$A$4:$I$18,FLAP_4P!$A$4:$I$18,TUBE_4P!$A$4:$I$18),1,0),0))</f>
        <v>54</v>
      </c>
      <c r="L27" s="4" t="n">
        <f aca="false">IF($A27="","",K27*D27)</f>
        <v>216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46165.6064814815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A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IF($A28="","",IFERROR(INDEX(Machine_List!$B$4:$B$7,MATCH("*"&amp;$B28&amp;"*",Machine_List!$J$4:$J$7,0)),"NO COMPATIBLE MACHINE"))</f>
        <v>VTL-MC-02</v>
      </c>
      <c r="F28" s="5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46521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IF($A28="","",IF($I28&lt;&gt;"",$I28,MAX(GlobalStartDate,IFERROR(LOOKUP(2,1/($E$3:INDIRECT("E"&amp;(ROW()-1))=$E28),$M$3:INDIRECT("M"&amp;(ROW()-1))),GlobalStartDate))))</f>
        <v>46146.0694444444</v>
      </c>
      <c r="K28" s="4" t="n">
        <f aca="false">IF($A28="","",IFERROR(VLOOKUP(B28,CHOOSE(MATCH(C28,Settings!$L$4:$L$10,0),OPR_2P!$A$4:$I$18,SEG_6P!$A$4:$I$18,SOL_4P!$A$4:$I$18,RW_2P!$A$4:$I$18,RW2_4P!$A$4:$I$18,FLAP_4P!$A$4:$I$18,TUBE_4P!$A$4:$I$18),1,0),0))</f>
        <v>42</v>
      </c>
      <c r="L28" s="4" t="n">
        <f aca="false">IF($A28="","",K28*D28)</f>
        <v>84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46149.9583333333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IF($A29="","",IFERROR(INDEX(Machine_List!$B$4:$B$7,MATCH("*"&amp;$B29&amp;"*",Machine_List!$J$4:$J$7,0)),"NO COMPATIBLE MACHINE"))</f>
        <v>VTL-MC-02</v>
      </c>
      <c r="F29" s="5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46521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IF($A29="","",IF($I29&lt;&gt;"",$I29,MAX(GlobalStartDate,IFERROR(LOOKUP(2,1/($E$3:INDIRECT("E"&amp;(ROW()-1))=$E29),$M$3:INDIRECT("M"&amp;(ROW()-1))),GlobalStartDate))))</f>
        <v>46149.9583333333</v>
      </c>
      <c r="K29" s="4" t="n">
        <f aca="false">IF($A29="","",IFERROR(VLOOKUP(B29,CHOOSE(MATCH(C29,Settings!$L$4:$L$10,0),OPR_2P!$A$4:$I$18,SEG_6P!$A$4:$I$18,SOL_4P!$A$4:$I$18,RW_2P!$A$4:$I$18,RW2_4P!$A$4:$I$18,FLAP_4P!$A$4:$I$18,TUBE_4P!$A$4:$I$18),1,0),0))</f>
        <v>42</v>
      </c>
      <c r="L29" s="4" t="n">
        <f aca="false">IF($A29="","",K29*D29)</f>
        <v>84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46153.8472222222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IF($A30="","",IFERROR(INDEX(Machine_List!$B$4:$B$7,MATCH("*"&amp;$B30&amp;"*",Machine_List!$J$4:$J$7,0)),"NO COMPATIBLE MACHINE"))</f>
        <v>VTL-MC-01</v>
      </c>
      <c r="F30" s="5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46133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IF($A30="","",IF($I30&lt;&gt;"",$I30,MAX(GlobalStartDate,IFERROR(LOOKUP(2,1/($E$3:INDIRECT("E"&amp;(ROW()-1))=$E30),$M$3:INDIRECT("M"&amp;(ROW()-1))),GlobalStartDate))))</f>
        <v>46149.0324074074</v>
      </c>
      <c r="K30" s="4" t="n">
        <f aca="false">IF($A30="","",IFERROR(VLOOKUP(B30,CHOOSE(MATCH(C30,Settings!$L$4:$L$10,0),OPR_2P!$A$4:$I$18,SEG_6P!$A$4:$I$18,SOL_4P!$A$4:$I$18,RW_2P!$A$4:$I$18,RW2_4P!$A$4:$I$18,FLAP_4P!$A$4:$I$18,TUBE_4P!$A$4:$I$18),1,0),0))</f>
        <v>15</v>
      </c>
      <c r="L30" s="4" t="n">
        <f aca="false">IF($A30="","",K30*D30)</f>
        <v>30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46150.4212962963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A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IF($A31="","",IFERROR(INDEX(Machine_List!$B$4:$B$7,MATCH("*"&amp;$B31&amp;"*",Machine_List!$J$4:$J$7,0)),"NO COMPATIBLE MACHINE"))</f>
        <v>VTL-MC-02</v>
      </c>
      <c r="F31" s="5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46521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IF($A31="","",IF($I31&lt;&gt;"",$I31,MAX(GlobalStartDate,IFERROR(LOOKUP(2,1/($E$3:INDIRECT("E"&amp;(ROW()-1))=$E31),$M$3:INDIRECT("M"&amp;(ROW()-1))),GlobalStartDate))))</f>
        <v>46153.8472222222</v>
      </c>
      <c r="K31" s="4" t="n">
        <f aca="false">IF($A31="","",IFERROR(VLOOKUP(B31,CHOOSE(MATCH(C31,Settings!$L$4:$L$10,0),OPR_2P!$A$4:$I$18,SEG_6P!$A$4:$I$18,SOL_4P!$A$4:$I$18,RW_2P!$A$4:$I$18,RW2_4P!$A$4:$I$18,FLAP_4P!$A$4:$I$18,TUBE_4P!$A$4:$I$18),1,0),0))</f>
        <v>46</v>
      </c>
      <c r="L31" s="4" t="n">
        <f aca="false">IF($A31="","",K31*D31)</f>
        <v>92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46158.1064814815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IF($A32="","",IFERROR(INDEX(Machine_List!$B$4:$B$7,MATCH("*"&amp;$B32&amp;"*",Machine_List!$J$4:$J$7,0)),"NO COMPATIBLE MACHINE"))</f>
        <v>VTL-MC-01</v>
      </c>
      <c r="F32" s="5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46133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IF($A32="","",IF($I32&lt;&gt;"",$I32,MAX(GlobalStartDate,IFERROR(LOOKUP(2,1/($E$3:INDIRECT("E"&amp;(ROW()-1))=$E32),$M$3:INDIRECT("M"&amp;(ROW()-1))),GlobalStartDate))))</f>
        <v>46150.4212962963</v>
      </c>
      <c r="K32" s="4" t="n">
        <f aca="false">IF($A32="","",IFERROR(VLOOKUP(B32,CHOOSE(MATCH(C32,Settings!$L$4:$L$10,0),OPR_2P!$A$4:$I$18,SEG_6P!$A$4:$I$18,SOL_4P!$A$4:$I$18,RW_2P!$A$4:$I$18,RW2_4P!$A$4:$I$18,FLAP_4P!$A$4:$I$18,TUBE_4P!$A$4:$I$18),1,0),0))</f>
        <v>25</v>
      </c>
      <c r="L32" s="4" t="n">
        <f aca="false">IF($A32="","",K32*D32)</f>
        <v>150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46157.3657407407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A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IF($A33="","",IFERROR(INDEX(Machine_List!$B$4:$B$7,MATCH("*"&amp;$B33&amp;"*",Machine_List!$J$4:$J$7,0)),"NO COMPATIBLE MACHINE"))</f>
        <v>VTL-MC-01</v>
      </c>
      <c r="F33" s="5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46133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IF($A33="","",IF($I33&lt;&gt;"",$I33,MAX(GlobalStartDate,IFERROR(LOOKUP(2,1/($E$3:INDIRECT("E"&amp;(ROW()-1))=$E33),$M$3:INDIRECT("M"&amp;(ROW()-1))),GlobalStartDate))))</f>
        <v>46157.3657407407</v>
      </c>
      <c r="K33" s="4" t="n">
        <f aca="false">IF($A33="","",IFERROR(VLOOKUP(B33,CHOOSE(MATCH(C33,Settings!$L$4:$L$10,0),OPR_2P!$A$4:$I$18,SEG_6P!$A$4:$I$18,SOL_4P!$A$4:$I$18,RW_2P!$A$4:$I$18,RW2_4P!$A$4:$I$18,FLAP_4P!$A$4:$I$18,TUBE_4P!$A$4:$I$18),1,0),0))</f>
        <v>9</v>
      </c>
      <c r="L33" s="4" t="n">
        <f aca="false">IF($A33="","",K33*D33)</f>
        <v>18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46158.1990740741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IF($A34="","",IFERROR(INDEX(Machine_List!$B$4:$B$7,MATCH("*"&amp;$B34&amp;"*",Machine_List!$J$4:$J$7,0)),"NO COMPATIBLE MACHINE"))</f>
        <v>VTL-MC-03</v>
      </c>
      <c r="F34" s="5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46174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IF($A34="","",IF($I34&lt;&gt;"",$I34,MAX(GlobalStartDate,IFERROR(LOOKUP(2,1/($E$3:INDIRECT("E"&amp;(ROW()-1))=$E34),$M$3:INDIRECT("M"&amp;(ROW()-1))),GlobalStartDate))))</f>
        <v>46165.6064814815</v>
      </c>
      <c r="K34" s="4" t="n">
        <f aca="false">IF($A34="","",IFERROR(VLOOKUP(B34,CHOOSE(MATCH(C34,Settings!$L$4:$L$10,0),OPR_2P!$A$4:$I$18,SEG_6P!$A$4:$I$18,SOL_4P!$A$4:$I$18,RW_2P!$A$4:$I$18,RW2_4P!$A$4:$I$18,FLAP_4P!$A$4:$I$18,TUBE_4P!$A$4:$I$18),1,0),0))</f>
        <v>57</v>
      </c>
      <c r="L34" s="4" t="n">
        <f aca="false">IF($A34="","",K34*D34)</f>
        <v>114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46170.8842592593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IF($A35="","",IFERROR(INDEX(Machine_List!$B$4:$B$7,MATCH("*"&amp;$B35&amp;"*",Machine_List!$J$4:$J$7,0)),"NO COMPATIBLE MACHINE"))</f>
        <v>VTL-MC-01</v>
      </c>
      <c r="F35" s="5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46133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IF($A35="","",IF($I35&lt;&gt;"",$I35,MAX(GlobalStartDate,IFERROR(LOOKUP(2,1/($E$3:INDIRECT("E"&amp;(ROW()-1))=$E35),$M$3:INDIRECT("M"&amp;(ROW()-1))),GlobalStartDate))))</f>
        <v>46158.1990740741</v>
      </c>
      <c r="K35" s="4" t="n">
        <f aca="false">IF($A35="","",IFERROR(VLOOKUP(B35,CHOOSE(MATCH(C35,Settings!$L$4:$L$10,0),OPR_2P!$A$4:$I$18,SEG_6P!$A$4:$I$18,SOL_4P!$A$4:$I$18,RW_2P!$A$4:$I$18,RW2_4P!$A$4:$I$18,FLAP_4P!$A$4:$I$18,TUBE_4P!$A$4:$I$18),1,0),0))</f>
        <v>25</v>
      </c>
      <c r="L35" s="4" t="n">
        <f aca="false">IF($A35="","",K35*D35)</f>
        <v>50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46160.5138888889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IF($A36="","",IFERROR(INDEX(Machine_List!$B$4:$B$7,MATCH("*"&amp;$B36&amp;"*",Machine_List!$J$4:$J$7,0)),"NO COMPATIBLE MACHINE"))</f>
        <v>VTL-MC-03</v>
      </c>
      <c r="F36" s="5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46174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IF($A36="","",IF($I36&lt;&gt;"",$I36,MAX(GlobalStartDate,IFERROR(LOOKUP(2,1/($E$3:INDIRECT("E"&amp;(ROW()-1))=$E36),$M$3:INDIRECT("M"&amp;(ROW()-1))),GlobalStartDate))))</f>
        <v>46170.8842592593</v>
      </c>
      <c r="K36" s="4" t="n">
        <f aca="false">IF($A36="","",IFERROR(VLOOKUP(B36,CHOOSE(MATCH(C36,Settings!$L$4:$L$10,0),OPR_2P!$A$4:$I$18,SEG_6P!$A$4:$I$18,SOL_4P!$A$4:$I$18,RW_2P!$A$4:$I$18,RW2_4P!$A$4:$I$18,FLAP_4P!$A$4:$I$18,TUBE_4P!$A$4:$I$18),1,0),0))</f>
        <v>70</v>
      </c>
      <c r="L36" s="4" t="n">
        <f aca="false">IF($A36="","",K36*D36)</f>
        <v>140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46177.6435185185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IF($A37="","",IFERROR(INDEX(Machine_List!$B$4:$B$7,MATCH("*"&amp;$B37&amp;"*",Machine_List!$J$4:$J$7,0)),"NO COMPATIBLE MACHINE"))</f>
        <v>VTL-MC-01</v>
      </c>
      <c r="F37" s="5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46133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IF($A37="","",IF($I37&lt;&gt;"",$I37,MAX(GlobalStartDate,IFERROR(LOOKUP(2,1/($E$3:INDIRECT("E"&amp;(ROW()-1))=$E37),$M$3:INDIRECT("M"&amp;(ROW()-1))),GlobalStartDate))))</f>
        <v>46160.5138888889</v>
      </c>
      <c r="K37" s="4" t="n">
        <f aca="false">IF($A37="","",IFERROR(VLOOKUP(B37,CHOOSE(MATCH(C37,Settings!$L$4:$L$10,0),OPR_2P!$A$4:$I$18,SEG_6P!$A$4:$I$18,SOL_4P!$A$4:$I$18,RW_2P!$A$4:$I$18,RW2_4P!$A$4:$I$18,FLAP_4P!$A$4:$I$18,TUBE_4P!$A$4:$I$18),1,0),0))</f>
        <v>15</v>
      </c>
      <c r="L37" s="4" t="n">
        <f aca="false">IF($A37="","",K37*D37)</f>
        <v>30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46161.9027777778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B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IF($A38="","",IFERROR(INDEX(Machine_List!$B$4:$B$7,MATCH("*"&amp;$B38&amp;"*",Machine_List!$J$4:$J$7,0)),"NO COMPATIBLE MACHINE"))</f>
        <v>VTL-MC-01</v>
      </c>
      <c r="F38" s="5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46133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IF($A38="","",IF($I38&lt;&gt;"",$I38,MAX(GlobalStartDate,IFERROR(LOOKUP(2,1/($E$3:INDIRECT("E"&amp;(ROW()-1))=$E38),$M$3:INDIRECT("M"&amp;(ROW()-1))),GlobalStartDate))))</f>
        <v>46161.9027777778</v>
      </c>
      <c r="K38" s="4" t="n">
        <f aca="false">IF($A38="","",IFERROR(VLOOKUP(B38,CHOOSE(MATCH(C38,Settings!$L$4:$L$10,0),OPR_2P!$A$4:$I$18,SEG_6P!$A$4:$I$18,SOL_4P!$A$4:$I$18,RW_2P!$A$4:$I$18,RW2_4P!$A$4:$I$18,FLAP_4P!$A$4:$I$18,TUBE_4P!$A$4:$I$18),1,0),0))</f>
        <v>28</v>
      </c>
      <c r="L38" s="4" t="n">
        <f aca="false">IF($A38="","",K38*D38)</f>
        <v>56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46164.4953703704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IF($A39="","",IFERROR(INDEX(Machine_List!$B$4:$B$7,MATCH("*"&amp;$B39&amp;"*",Machine_List!$J$4:$J$7,0)),"NO COMPATIBLE MACHINE"))</f>
        <v>VTL-MC-03</v>
      </c>
      <c r="F39" s="5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46174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IF($A39="","",IF($I39&lt;&gt;"",$I39,MAX(GlobalStartDate,IFERROR(LOOKUP(2,1/($E$3:INDIRECT("E"&amp;(ROW()-1))=$E39),$M$3:INDIRECT("M"&amp;(ROW()-1))),GlobalStartDate))))</f>
        <v>46177.6435185185</v>
      </c>
      <c r="K39" s="4" t="n">
        <f aca="false">IF($A39="","",IFERROR(VLOOKUP(B39,CHOOSE(MATCH(C39,Settings!$L$4:$L$10,0),OPR_2P!$A$4:$I$18,SEG_6P!$A$4:$I$18,SOL_4P!$A$4:$I$18,RW_2P!$A$4:$I$18,RW2_4P!$A$4:$I$18,FLAP_4P!$A$4:$I$18,TUBE_4P!$A$4:$I$18),1,0),0))</f>
        <v>57</v>
      </c>
      <c r="L39" s="4" t="n">
        <f aca="false">IF($A39="","",K39*D39)</f>
        <v>228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46188.1990740741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IF($A40="","",IFERROR(INDEX(Machine_List!$B$4:$B$7,MATCH("*"&amp;$B40&amp;"*",Machine_List!$J$4:$J$7,0)),"NO COMPATIBLE MACHINE"))</f>
        <v>VTL-MC-01</v>
      </c>
      <c r="F40" s="5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46133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IF($A40="","",IF($I40&lt;&gt;"",$I40,MAX(GlobalStartDate,IFERROR(LOOKUP(2,1/($E$3:INDIRECT("E"&amp;(ROW()-1))=$E40),$M$3:INDIRECT("M"&amp;(ROW()-1))),GlobalStartDate))))</f>
        <v>46164.4953703704</v>
      </c>
      <c r="K40" s="4" t="n">
        <f aca="false">IF($A40="","",IFERROR(VLOOKUP(B40,CHOOSE(MATCH(C40,Settings!$L$4:$L$10,0),OPR_2P!$A$4:$I$18,SEG_6P!$A$4:$I$18,SOL_4P!$A$4:$I$18,RW_2P!$A$4:$I$18,RW2_4P!$A$4:$I$18,FLAP_4P!$A$4:$I$18,TUBE_4P!$A$4:$I$18),1,0),0))</f>
        <v>20</v>
      </c>
      <c r="L40" s="4" t="n">
        <f aca="false">IF($A40="","",K40*D40)</f>
        <v>40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46166.3472222222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IF($A41="","",IFERROR(INDEX(Machine_List!$B$4:$B$7,MATCH("*"&amp;$B41&amp;"*",Machine_List!$J$4:$J$7,0)),"NO COMPATIBLE MACHINE"))</f>
        <v>VTL-MC-02</v>
      </c>
      <c r="F41" s="5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46521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IF($A41="","",IF($I41&lt;&gt;"",$I41,MAX(GlobalStartDate,IFERROR(LOOKUP(2,1/($E$3:INDIRECT("E"&amp;(ROW()-1))=$E41),$M$3:INDIRECT("M"&amp;(ROW()-1))),GlobalStartDate))))</f>
        <v>46158.1064814815</v>
      </c>
      <c r="K41" s="4" t="n">
        <f aca="false">IF($A41="","",IFERROR(VLOOKUP(B41,CHOOSE(MATCH(C41,Settings!$L$4:$L$10,0),OPR_2P!$A$4:$I$18,SEG_6P!$A$4:$I$18,SOL_4P!$A$4:$I$18,RW_2P!$A$4:$I$18,RW2_4P!$A$4:$I$18,FLAP_4P!$A$4:$I$18,TUBE_4P!$A$4:$I$18),1,0),0))</f>
        <v>34</v>
      </c>
      <c r="L41" s="4" t="n">
        <f aca="false">IF($A41="","",K41*D41)</f>
        <v>68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46161.2546296296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IF($A42="","",IFERROR(INDEX(Machine_List!$B$4:$B$7,MATCH("*"&amp;$B42&amp;"*",Machine_List!$J$4:$J$7,0)),"NO COMPATIBLE MACHINE"))</f>
        <v>VTL-MC-03</v>
      </c>
      <c r="F42" s="5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46174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IF($A42="","",IF($I42&lt;&gt;"",$I42,MAX(GlobalStartDate,IFERROR(LOOKUP(2,1/($E$3:INDIRECT("E"&amp;(ROW()-1))=$E42),$M$3:INDIRECT("M"&amp;(ROW()-1))),GlobalStartDate))))</f>
        <v>46188.1990740741</v>
      </c>
      <c r="K42" s="4" t="n">
        <f aca="false">IF($A42="","",IFERROR(VLOOKUP(B42,CHOOSE(MATCH(C42,Settings!$L$4:$L$10,0),OPR_2P!$A$4:$I$18,SEG_6P!$A$4:$I$18,SOL_4P!$A$4:$I$18,RW_2P!$A$4:$I$18,RW2_4P!$A$4:$I$18,FLAP_4P!$A$4:$I$18,TUBE_4P!$A$4:$I$18),1,0),0))</f>
        <v>54</v>
      </c>
      <c r="L42" s="4" t="n">
        <f aca="false">IF($A42="","",K42*D42)</f>
        <v>108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46193.1990740741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IF($A43="","",IFERROR(INDEX(Machine_List!$B$4:$B$7,MATCH("*"&amp;$B43&amp;"*",Machine_List!$J$4:$J$7,0)),"NO COMPATIBLE MACHINE"))</f>
        <v>VTL-MC-01</v>
      </c>
      <c r="F43" s="5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46133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IF($A43="","",IF($I43&lt;&gt;"",$I43,MAX(GlobalStartDate,IFERROR(LOOKUP(2,1/($E$3:INDIRECT("E"&amp;(ROW()-1))=$E43),$M$3:INDIRECT("M"&amp;(ROW()-1))),GlobalStartDate))))</f>
        <v>46166.3472222222</v>
      </c>
      <c r="K43" s="4" t="n">
        <f aca="false">IF($A43="","",IFERROR(VLOOKUP(B43,CHOOSE(MATCH(C43,Settings!$L$4:$L$10,0),OPR_2P!$A$4:$I$18,SEG_6P!$A$4:$I$18,SOL_4P!$A$4:$I$18,RW_2P!$A$4:$I$18,RW2_4P!$A$4:$I$18,FLAP_4P!$A$4:$I$18,TUBE_4P!$A$4:$I$18),1,0),0))</f>
        <v>9</v>
      </c>
      <c r="L43" s="4" t="n">
        <f aca="false">IF($A43="","",K43*D43)</f>
        <v>18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46167.1805555556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IF($A44="","",IFERROR(INDEX(Machine_List!$B$4:$B$7,MATCH("*"&amp;$B44&amp;"*",Machine_List!$J$4:$J$7,0)),"NO COMPATIBLE MACHINE"))</f>
        <v>VTL-MC-03</v>
      </c>
      <c r="F44" s="5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46174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IF($A44="","",IF($I44&lt;&gt;"",$I44,MAX(GlobalStartDate,IFERROR(LOOKUP(2,1/($E$3:INDIRECT("E"&amp;(ROW()-1))=$E44),$M$3:INDIRECT("M"&amp;(ROW()-1))),GlobalStartDate))))</f>
        <v>46193.1990740741</v>
      </c>
      <c r="K44" s="4" t="n">
        <f aca="false">IF($A44="","",IFERROR(VLOOKUP(B44,CHOOSE(MATCH(C44,Settings!$L$4:$L$10,0),OPR_2P!$A$4:$I$18,SEG_6P!$A$4:$I$18,SOL_4P!$A$4:$I$18,RW_2P!$A$4:$I$18,RW2_4P!$A$4:$I$18,FLAP_4P!$A$4:$I$18,TUBE_4P!$A$4:$I$18),1,0),0))</f>
        <v>63</v>
      </c>
      <c r="L44" s="4" t="n">
        <f aca="false">IF($A44="","",K44*D44)</f>
        <v>126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46199.0324074074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IF($A45="","",IFERROR(INDEX(Machine_List!$B$4:$B$7,MATCH("*"&amp;$B45&amp;"*",Machine_List!$J$4:$J$7,0)),"NO COMPATIBLE MACHINE"))</f>
        <v>VTL-MC-01</v>
      </c>
      <c r="F45" s="5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46133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IF($A45="","",IF($I45&lt;&gt;"",$I45,MAX(GlobalStartDate,IFERROR(LOOKUP(2,1/($E$3:INDIRECT("E"&amp;(ROW()-1))=$E45),$M$3:INDIRECT("M"&amp;(ROW()-1))),GlobalStartDate))))</f>
        <v>46167.1805555556</v>
      </c>
      <c r="K45" s="4" t="n">
        <f aca="false">IF($A45="","",IFERROR(VLOOKUP(B45,CHOOSE(MATCH(C45,Settings!$L$4:$L$10,0),OPR_2P!$A$4:$I$18,SEG_6P!$A$4:$I$18,SOL_4P!$A$4:$I$18,RW_2P!$A$4:$I$18,RW2_4P!$A$4:$I$18,FLAP_4P!$A$4:$I$18,TUBE_4P!$A$4:$I$18),1,0),0))</f>
        <v>20</v>
      </c>
      <c r="L45" s="4" t="n">
        <f aca="false">IF($A45="","",K45*D45)</f>
        <v>40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46169.0324074074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IF($A46="","",IFERROR(INDEX(Machine_List!$B$4:$B$7,MATCH("*"&amp;$B46&amp;"*",Machine_List!$J$4:$J$7,0)),"NO COMPATIBLE MACHINE"))</f>
        <v>VTL-MC-01</v>
      </c>
      <c r="F46" s="5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46133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IF($A46="","",IF($I46&lt;&gt;"",$I46,MAX(GlobalStartDate,IFERROR(LOOKUP(2,1/($E$3:INDIRECT("E"&amp;(ROW()-1))=$E46),$M$3:INDIRECT("M"&amp;(ROW()-1))),GlobalStartDate))))</f>
        <v>46169.0324074074</v>
      </c>
      <c r="K46" s="4" t="n">
        <f aca="false">IF($A46="","",IFERROR(VLOOKUP(B46,CHOOSE(MATCH(C46,Settings!$L$4:$L$10,0),OPR_2P!$A$4:$I$18,SEG_6P!$A$4:$I$18,SOL_4P!$A$4:$I$18,RW_2P!$A$4:$I$18,RW2_4P!$A$4:$I$18,FLAP_4P!$A$4:$I$18,TUBE_4P!$A$4:$I$18),1,0),0))</f>
        <v>15</v>
      </c>
      <c r="L46" s="4" t="n">
        <f aca="false">IF($A46="","",K46*D46)</f>
        <v>30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46170.4212962963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IF($A47="","",IFERROR(INDEX(Machine_List!$B$4:$B$7,MATCH("*"&amp;$B47&amp;"*",Machine_List!$J$4:$J$7,0)),"NO COMPATIBLE MACHINE"))</f>
        <v>VTL-MC-03</v>
      </c>
      <c r="F47" s="5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46174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IF($A47="","",IF($I47&lt;&gt;"",$I47,MAX(GlobalStartDate,IFERROR(LOOKUP(2,1/($E$3:INDIRECT("E"&amp;(ROW()-1))=$E47),$M$3:INDIRECT("M"&amp;(ROW()-1))),GlobalStartDate))))</f>
        <v>46199.0324074074</v>
      </c>
      <c r="K47" s="4" t="n">
        <f aca="false">IF($A47="","",IFERROR(VLOOKUP(B47,CHOOSE(MATCH(C47,Settings!$L$4:$L$10,0),OPR_2P!$A$4:$I$18,SEG_6P!$A$4:$I$18,SOL_4P!$A$4:$I$18,RW_2P!$A$4:$I$18,RW2_4P!$A$4:$I$18,FLAP_4P!$A$4:$I$18,TUBE_4P!$A$4:$I$18),1,0),0))</f>
        <v>50</v>
      </c>
      <c r="L47" s="4" t="n">
        <f aca="false">IF($A47="","",K47*D47)</f>
        <v>200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46208.2916666667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IF($A48="","",IFERROR(INDEX(Machine_List!$B$4:$B$7,MATCH("*"&amp;$B48&amp;"*",Machine_List!$J$4:$J$7,0)),"NO COMPATIBLE MACHINE"))</f>
        <v>VTL-MC-01</v>
      </c>
      <c r="F48" s="5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46133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IF($A48="","",IF($I48&lt;&gt;"",$I48,MAX(GlobalStartDate,IFERROR(LOOKUP(2,1/($E$3:INDIRECT("E"&amp;(ROW()-1))=$E48),$M$3:INDIRECT("M"&amp;(ROW()-1))),GlobalStartDate))))</f>
        <v>46170.4212962963</v>
      </c>
      <c r="K48" s="4" t="n">
        <f aca="false">IF($A48="","",IFERROR(VLOOKUP(B48,CHOOSE(MATCH(C48,Settings!$L$4:$L$10,0),OPR_2P!$A$4:$I$18,SEG_6P!$A$4:$I$18,SOL_4P!$A$4:$I$18,RW_2P!$A$4:$I$18,RW2_4P!$A$4:$I$18,FLAP_4P!$A$4:$I$18,TUBE_4P!$A$4:$I$18),1,0),0))</f>
        <v>9</v>
      </c>
      <c r="L48" s="4" t="n">
        <f aca="false">IF($A48="","",K48*D48)</f>
        <v>18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46171.2546296296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IF($A49="","",IFERROR(INDEX(Machine_List!$B$4:$B$7,MATCH("*"&amp;$B49&amp;"*",Machine_List!$J$4:$J$7,0)),"NO COMPATIBLE MACHINE"))</f>
        <v>VTL-MC-02</v>
      </c>
      <c r="F49" s="5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46521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IF($A49="","",IF($I49&lt;&gt;"",$I49,MAX(GlobalStartDate,IFERROR(LOOKUP(2,1/($E$3:INDIRECT("E"&amp;(ROW()-1))=$E49),$M$3:INDIRECT("M"&amp;(ROW()-1))),GlobalStartDate))))</f>
        <v>46161.2546296296</v>
      </c>
      <c r="K49" s="4" t="n">
        <f aca="false">IF($A49="","",IFERROR(VLOOKUP(B49,CHOOSE(MATCH(C49,Settings!$L$4:$L$10,0),OPR_2P!$A$4:$I$18,SEG_6P!$A$4:$I$18,SOL_4P!$A$4:$I$18,RW_2P!$A$4:$I$18,RW2_4P!$A$4:$I$18,FLAP_4P!$A$4:$I$18,TUBE_4P!$A$4:$I$18),1,0),0))</f>
        <v>34</v>
      </c>
      <c r="L49" s="4" t="n">
        <f aca="false">IF($A49="","",K49*D49)</f>
        <v>136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46167.5509259259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IF($A50="","",IFERROR(INDEX(Machine_List!$B$4:$B$7,MATCH("*"&amp;$B50&amp;"*",Machine_List!$J$4:$J$7,0)),"NO COMPATIBLE MACHINE"))</f>
        <v>VTL-MC-02</v>
      </c>
      <c r="F50" s="5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46521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IF($A50="","",IF($I50&lt;&gt;"",$I50,MAX(GlobalStartDate,IFERROR(LOOKUP(2,1/($E$3:INDIRECT("E"&amp;(ROW()-1))=$E50),$M$3:INDIRECT("M"&amp;(ROW()-1))),GlobalStartDate))))</f>
        <v>46167.5509259259</v>
      </c>
      <c r="K50" s="4" t="n">
        <f aca="false">IF($A50="","",IFERROR(VLOOKUP(B50,CHOOSE(MATCH(C50,Settings!$L$4:$L$10,0),OPR_2P!$A$4:$I$18,SEG_6P!$A$4:$I$18,SOL_4P!$A$4:$I$18,RW_2P!$A$4:$I$18,RW2_4P!$A$4:$I$18,FLAP_4P!$A$4:$I$18,TUBE_4P!$A$4:$I$18),1,0),0))</f>
        <v>34</v>
      </c>
      <c r="L50" s="4" t="n">
        <f aca="false">IF($A50="","",K50*D50)</f>
        <v>136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46173.8472222222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IF($A51="","",IFERROR(INDEX(Machine_List!$B$4:$B$7,MATCH("*"&amp;$B51&amp;"*",Machine_List!$J$4:$J$7,0)),"NO COMPATIBLE MACHINE"))</f>
        <v>VTL-MC-01</v>
      </c>
      <c r="F51" s="5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46133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IF($A51="","",IF($I51&lt;&gt;"",$I51,MAX(GlobalStartDate,IFERROR(LOOKUP(2,1/($E$3:INDIRECT("E"&amp;(ROW()-1))=$E51),$M$3:INDIRECT("M"&amp;(ROW()-1))),GlobalStartDate))))</f>
        <v>46171.2546296296</v>
      </c>
      <c r="K51" s="4" t="n">
        <f aca="false">IF($A51="","",IFERROR(VLOOKUP(B51,CHOOSE(MATCH(C51,Settings!$L$4:$L$10,0),OPR_2P!$A$4:$I$18,SEG_6P!$A$4:$I$18,SOL_4P!$A$4:$I$18,RW_2P!$A$4:$I$18,RW2_4P!$A$4:$I$18,FLAP_4P!$A$4:$I$18,TUBE_4P!$A$4:$I$18),1,0),0))</f>
        <v>25</v>
      </c>
      <c r="L51" s="4" t="n">
        <f aca="false">IF($A51="","",K51*D51)</f>
        <v>100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46175.8842592593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IF($A52="","",IFERROR(INDEX(Machine_List!$B$4:$B$7,MATCH("*"&amp;$B52&amp;"*",Machine_List!$J$4:$J$7,0)),"NO COMPATIBLE MACHINE"))</f>
        <v>VTL-MC-02</v>
      </c>
      <c r="F52" s="5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46521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IF($A52="","",IF($I52&lt;&gt;"",$I52,MAX(GlobalStartDate,IFERROR(LOOKUP(2,1/($E$3:INDIRECT("E"&amp;(ROW()-1))=$E52),$M$3:INDIRECT("M"&amp;(ROW()-1))),GlobalStartDate))))</f>
        <v>46173.8472222222</v>
      </c>
      <c r="K52" s="4" t="n">
        <f aca="false">IF($A52="","",IFERROR(VLOOKUP(B52,CHOOSE(MATCH(C52,Settings!$L$4:$L$10,0),OPR_2P!$A$4:$I$18,SEG_6P!$A$4:$I$18,SOL_4P!$A$4:$I$18,RW_2P!$A$4:$I$18,RW2_4P!$A$4:$I$18,FLAP_4P!$A$4:$I$18,TUBE_4P!$A$4:$I$18),1,0),0))</f>
        <v>34</v>
      </c>
      <c r="L52" s="4" t="n">
        <f aca="false">IF($A52="","",K52*D52)</f>
        <v>68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46176.9953703704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IF($A53="","",IFERROR(INDEX(Machine_List!$B$4:$B$7,MATCH("*"&amp;$B53&amp;"*",Machine_List!$J$4:$J$7,0)),"NO COMPATIBLE MACHINE"))</f>
        <v>VTL-MC-01</v>
      </c>
      <c r="F53" s="5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46133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IF($A53="","",IF($I53&lt;&gt;"",$I53,MAX(GlobalStartDate,IFERROR(LOOKUP(2,1/($E$3:INDIRECT("E"&amp;(ROW()-1))=$E53),$M$3:INDIRECT("M"&amp;(ROW()-1))),GlobalStartDate))))</f>
        <v>46175.8842592593</v>
      </c>
      <c r="K53" s="4" t="n">
        <f aca="false">IF($A53="","",IFERROR(VLOOKUP(B53,CHOOSE(MATCH(C53,Settings!$L$4:$L$10,0),OPR_2P!$A$4:$I$18,SEG_6P!$A$4:$I$18,SOL_4P!$A$4:$I$18,RW_2P!$A$4:$I$18,RW2_4P!$A$4:$I$18,FLAP_4P!$A$4:$I$18,TUBE_4P!$A$4:$I$18),1,0),0))</f>
        <v>17</v>
      </c>
      <c r="L53" s="4" t="n">
        <f aca="false">IF($A53="","",K53*D53)</f>
        <v>68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46179.0324074074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IF($A54="","",IFERROR(INDEX(Machine_List!$B$4:$B$7,MATCH("*"&amp;$B54&amp;"*",Machine_List!$J$4:$J$7,0)),"NO COMPATIBLE MACHINE"))</f>
        <v>VTL-MC-01</v>
      </c>
      <c r="F54" s="5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46133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IF($A54="","",IF($I54&lt;&gt;"",$I54,MAX(GlobalStartDate,IFERROR(LOOKUP(2,1/($E$3:INDIRECT("E"&amp;(ROW()-1))=$E54),$M$3:INDIRECT("M"&amp;(ROW()-1))),GlobalStartDate))))</f>
        <v>46179.0324074074</v>
      </c>
      <c r="K54" s="4" t="n">
        <f aca="false">IF($A54="","",IFERROR(VLOOKUP(B54,CHOOSE(MATCH(C54,Settings!$L$4:$L$10,0),OPR_2P!$A$4:$I$18,SEG_6P!$A$4:$I$18,SOL_4P!$A$4:$I$18,RW_2P!$A$4:$I$18,RW2_4P!$A$4:$I$18,FLAP_4P!$A$4:$I$18,TUBE_4P!$A$4:$I$18),1,0),0))</f>
        <v>25</v>
      </c>
      <c r="L54" s="4" t="n">
        <f aca="false">IF($A54="","",K54*D54)</f>
        <v>50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46181.3472222222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IF($A55="","",IFERROR(INDEX(Machine_List!$B$4:$B$7,MATCH("*"&amp;$B55&amp;"*",Machine_List!$J$4:$J$7,0)),"NO COMPATIBLE MACHINE"))</f>
        <v>VTL-MC-01</v>
      </c>
      <c r="F55" s="5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46133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IF($A55="","",IF($I55&lt;&gt;"",$I55,MAX(GlobalStartDate,IFERROR(LOOKUP(2,1/($E$3:INDIRECT("E"&amp;(ROW()-1))=$E55),$M$3:INDIRECT("M"&amp;(ROW()-1))),GlobalStartDate))))</f>
        <v>46181.3472222222</v>
      </c>
      <c r="K55" s="4" t="n">
        <f aca="false">IF($A55="","",IFERROR(VLOOKUP(B55,CHOOSE(MATCH(C55,Settings!$L$4:$L$10,0),OPR_2P!$A$4:$I$18,SEG_6P!$A$4:$I$18,SOL_4P!$A$4:$I$18,RW_2P!$A$4:$I$18,RW2_4P!$A$4:$I$18,FLAP_4P!$A$4:$I$18,TUBE_4P!$A$4:$I$18),1,0),0))</f>
        <v>25</v>
      </c>
      <c r="L55" s="4" t="n">
        <f aca="false">IF($A55="","",K55*D55)</f>
        <v>50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46183.662037037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IF($A56="","",IFERROR(INDEX(Machine_List!$B$4:$B$7,MATCH("*"&amp;$B56&amp;"*",Machine_List!$J$4:$J$7,0)),"NO COMPATIBLE MACHINE"))</f>
        <v>VTL-MC-01</v>
      </c>
      <c r="F56" s="5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46133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IF($A56="","",IF($I56&lt;&gt;"",$I56,MAX(GlobalStartDate,IFERROR(LOOKUP(2,1/($E$3:INDIRECT("E"&amp;(ROW()-1))=$E56),$M$3:INDIRECT("M"&amp;(ROW()-1))),GlobalStartDate))))</f>
        <v>46183.662037037</v>
      </c>
      <c r="K56" s="4" t="n">
        <f aca="false">IF($A56="","",IFERROR(VLOOKUP(B56,CHOOSE(MATCH(C56,Settings!$L$4:$L$10,0),OPR_2P!$A$4:$I$18,SEG_6P!$A$4:$I$18,SOL_4P!$A$4:$I$18,RW_2P!$A$4:$I$18,RW2_4P!$A$4:$I$18,FLAP_4P!$A$4:$I$18,TUBE_4P!$A$4:$I$18),1,0),0))</f>
        <v>15</v>
      </c>
      <c r="L56" s="4" t="n">
        <f aca="false">IF($A56="","",K56*D56)</f>
        <v>30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46185.0509259259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IF($A57="","",IFERROR(INDEX(Machine_List!$B$4:$B$7,MATCH("*"&amp;$B57&amp;"*",Machine_List!$J$4:$J$7,0)),"NO COMPATIBLE MACHINE"))</f>
        <v>VTL-MC-02</v>
      </c>
      <c r="F57" s="5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46521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IF($A57="","",IF($I57&lt;&gt;"",$I57,MAX(GlobalStartDate,IFERROR(LOOKUP(2,1/($E$3:INDIRECT("E"&amp;(ROW()-1))=$E57),$M$3:INDIRECT("M"&amp;(ROW()-1))),GlobalStartDate))))</f>
        <v>46176.9953703704</v>
      </c>
      <c r="K57" s="4" t="n">
        <f aca="false">IF($A57="","",IFERROR(VLOOKUP(B57,CHOOSE(MATCH(C57,Settings!$L$4:$L$10,0),OPR_2P!$A$4:$I$18,SEG_6P!$A$4:$I$18,SOL_4P!$A$4:$I$18,RW_2P!$A$4:$I$18,RW2_4P!$A$4:$I$18,FLAP_4P!$A$4:$I$18,TUBE_4P!$A$4:$I$18),1,0),0))</f>
        <v>34</v>
      </c>
      <c r="L57" s="4" t="n">
        <f aca="false">IF($A57="","",K57*D57)</f>
        <v>204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46186.4398148148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IF($A58="","",IFERROR(INDEX(Machine_List!$B$4:$B$7,MATCH("*"&amp;$B58&amp;"*",Machine_List!$J$4:$J$7,0)),"NO COMPATIBLE MACHINE"))</f>
        <v>VTL-MC-02</v>
      </c>
      <c r="F58" s="5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46521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IF($A58="","",IF($I58&lt;&gt;"",$I58,MAX(GlobalStartDate,IFERROR(LOOKUP(2,1/($E$3:INDIRECT("E"&amp;(ROW()-1))=$E58),$M$3:INDIRECT("M"&amp;(ROW()-1))),GlobalStartDate))))</f>
        <v>46186.4398148148</v>
      </c>
      <c r="K58" s="4" t="n">
        <f aca="false">IF($A58="","",IFERROR(VLOOKUP(B58,CHOOSE(MATCH(C58,Settings!$L$4:$L$10,0),OPR_2P!$A$4:$I$18,SEG_6P!$A$4:$I$18,SOL_4P!$A$4:$I$18,RW_2P!$A$4:$I$18,RW2_4P!$A$4:$I$18,FLAP_4P!$A$4:$I$18,TUBE_4P!$A$4:$I$18),1,0),0))</f>
        <v>34</v>
      </c>
      <c r="L58" s="4" t="n">
        <f aca="false">IF($A58="","",K58*D58)</f>
        <v>68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46189.587962963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IF($A59="","",IFERROR(INDEX(Machine_List!$B$4:$B$7,MATCH("*"&amp;$B59&amp;"*",Machine_List!$J$4:$J$7,0)),"NO COMPATIBLE MACHINE"))</f>
        <v>VTL-MC-03</v>
      </c>
      <c r="F59" s="5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46174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IF($A59="","",IF($I59&lt;&gt;"",$I59,MAX(GlobalStartDate,IFERROR(LOOKUP(2,1/($E$3:INDIRECT("E"&amp;(ROW()-1))=$E59),$M$3:INDIRECT("M"&amp;(ROW()-1))),GlobalStartDate))))</f>
        <v>46208.2916666667</v>
      </c>
      <c r="K59" s="4" t="n">
        <f aca="false">IF($A59="","",IFERROR(VLOOKUP(B59,CHOOSE(MATCH(C59,Settings!$L$4:$L$10,0),OPR_2P!$A$4:$I$18,SEG_6P!$A$4:$I$18,SOL_4P!$A$4:$I$18,RW_2P!$A$4:$I$18,RW2_4P!$A$4:$I$18,FLAP_4P!$A$4:$I$18,TUBE_4P!$A$4:$I$18),1,0),0))</f>
        <v>54</v>
      </c>
      <c r="L59" s="4" t="n">
        <f aca="false">IF($A59="","",K59*D59)</f>
        <v>108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46213.2916666667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IF($A60="","",IFERROR(INDEX(Machine_List!$B$4:$B$7,MATCH("*"&amp;$B60&amp;"*",Machine_List!$J$4:$J$7,0)),"NO COMPATIBLE MACHINE"))</f>
        <v>VTL-MC-03</v>
      </c>
      <c r="F60" s="5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46174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IF($A60="","",IF($I60&lt;&gt;"",$I60,MAX(GlobalStartDate,IFERROR(LOOKUP(2,1/($E$3:INDIRECT("E"&amp;(ROW()-1))=$E60),$M$3:INDIRECT("M"&amp;(ROW()-1))),GlobalStartDate))))</f>
        <v>46213.2916666667</v>
      </c>
      <c r="K60" s="4" t="n">
        <f aca="false">IF($A60="","",IFERROR(VLOOKUP(B60,CHOOSE(MATCH(C60,Settings!$L$4:$L$10,0),OPR_2P!$A$4:$I$18,SEG_6P!$A$4:$I$18,SOL_4P!$A$4:$I$18,RW_2P!$A$4:$I$18,RW2_4P!$A$4:$I$18,FLAP_4P!$A$4:$I$18,TUBE_4P!$A$4:$I$18),1,0),0))</f>
        <v>50</v>
      </c>
      <c r="L60" s="4" t="n">
        <f aca="false">IF($A60="","",K60*D60)</f>
        <v>300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46227.1805555556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IF($A61="","",IFERROR(INDEX(Machine_List!$B$4:$B$7,MATCH("*"&amp;$B61&amp;"*",Machine_List!$J$4:$J$7,0)),"NO COMPATIBLE MACHINE"))</f>
        <v>VTL-MC-03</v>
      </c>
      <c r="F61" s="5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46174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IF($A61="","",IF($I61&lt;&gt;"",$I61,MAX(GlobalStartDate,IFERROR(LOOKUP(2,1/($E$3:INDIRECT("E"&amp;(ROW()-1))=$E61),$M$3:INDIRECT("M"&amp;(ROW()-1))),GlobalStartDate))))</f>
        <v>46227.1805555556</v>
      </c>
      <c r="K61" s="4" t="n">
        <f aca="false">IF($A61="","",IFERROR(VLOOKUP(B61,CHOOSE(MATCH(C61,Settings!$L$4:$L$10,0),OPR_2P!$A$4:$I$18,SEG_6P!$A$4:$I$18,SOL_4P!$A$4:$I$18,RW_2P!$A$4:$I$18,RW2_4P!$A$4:$I$18,FLAP_4P!$A$4:$I$18,TUBE_4P!$A$4:$I$18),1,0),0))</f>
        <v>54</v>
      </c>
      <c r="L61" s="4" t="n">
        <f aca="false">IF($A61="","",K61*D61)</f>
        <v>108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46232.1805555556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IF($A62="","",IFERROR(INDEX(Machine_List!$B$4:$B$7,MATCH("*"&amp;$B62&amp;"*",Machine_List!$J$4:$J$7,0)),"NO COMPATIBLE MACHINE"))</f>
        <v>VTL-MC-01</v>
      </c>
      <c r="F62" s="5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46133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IF($A62="","",IF($I62&lt;&gt;"",$I62,MAX(GlobalStartDate,IFERROR(LOOKUP(2,1/($E$3:INDIRECT("E"&amp;(ROW()-1))=$E62),$M$3:INDIRECT("M"&amp;(ROW()-1))),GlobalStartDate))))</f>
        <v>46185.0509259259</v>
      </c>
      <c r="K62" s="4" t="n">
        <f aca="false">IF($A62="","",IFERROR(VLOOKUP(B62,CHOOSE(MATCH(C62,Settings!$L$4:$L$10,0),OPR_2P!$A$4:$I$18,SEG_6P!$A$4:$I$18,SOL_4P!$A$4:$I$18,RW_2P!$A$4:$I$18,RW2_4P!$A$4:$I$18,FLAP_4P!$A$4:$I$18,TUBE_4P!$A$4:$I$18),1,0),0))</f>
        <v>9</v>
      </c>
      <c r="L62" s="4" t="n">
        <f aca="false">IF($A62="","",K62*D62)</f>
        <v>54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46187.5509259259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IF($A63="","",IFERROR(INDEX(Machine_List!$B$4:$B$7,MATCH("*"&amp;$B63&amp;"*",Machine_List!$J$4:$J$7,0)),"NO COMPATIBLE MACHINE"))</f>
        <v>VTL-MC-02</v>
      </c>
      <c r="F63" s="5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46521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IF($A63="","",IF($I63&lt;&gt;"",$I63,MAX(GlobalStartDate,IFERROR(LOOKUP(2,1/($E$3:INDIRECT("E"&amp;(ROW()-1))=$E63),$M$3:INDIRECT("M"&amp;(ROW()-1))),GlobalStartDate))))</f>
        <v>46189.587962963</v>
      </c>
      <c r="K63" s="4" t="n">
        <f aca="false">IF($A63="","",IFERROR(VLOOKUP(B63,CHOOSE(MATCH(C63,Settings!$L$4:$L$10,0),OPR_2P!$A$4:$I$18,SEG_6P!$A$4:$I$18,SOL_4P!$A$4:$I$18,RW_2P!$A$4:$I$18,RW2_4P!$A$4:$I$18,FLAP_4P!$A$4:$I$18,TUBE_4P!$A$4:$I$18),1,0),0))</f>
        <v>30</v>
      </c>
      <c r="L63" s="4" t="n">
        <f aca="false">IF($A63="","",K63*D63)</f>
        <v>180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46197.9212962963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IF($A64="","",IFERROR(INDEX(Machine_List!$B$4:$B$7,MATCH("*"&amp;$B64&amp;"*",Machine_List!$J$4:$J$7,0)),"NO COMPATIBLE MACHINE"))</f>
        <v>VTL-MC-01</v>
      </c>
      <c r="F64" s="5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46133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IF($A64="","",IF($I64&lt;&gt;"",$I64,MAX(GlobalStartDate,IFERROR(LOOKUP(2,1/($E$3:INDIRECT("E"&amp;(ROW()-1))=$E64),$M$3:INDIRECT("M"&amp;(ROW()-1))),GlobalStartDate))))</f>
        <v>46187.5509259259</v>
      </c>
      <c r="K64" s="4" t="n">
        <f aca="false">IF($A64="","",IFERROR(VLOOKUP(B64,CHOOSE(MATCH(C64,Settings!$L$4:$L$10,0),OPR_2P!$A$4:$I$18,SEG_6P!$A$4:$I$18,SOL_4P!$A$4:$I$18,RW_2P!$A$4:$I$18,RW2_4P!$A$4:$I$18,FLAP_4P!$A$4:$I$18,TUBE_4P!$A$4:$I$18),1,0),0))</f>
        <v>9</v>
      </c>
      <c r="L64" s="4" t="n">
        <f aca="false">IF($A64="","",K64*D64)</f>
        <v>18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46188.3842592593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A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IF($A65="","",IFERROR(INDEX(Machine_List!$B$4:$B$7,MATCH("*"&amp;$B65&amp;"*",Machine_List!$J$4:$J$7,0)),"NO COMPATIBLE MACHINE"))</f>
        <v>VTL-MC-03</v>
      </c>
      <c r="F65" s="5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46174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IF($A65="","",IF($I65&lt;&gt;"",$I65,MAX(GlobalStartDate,IFERROR(LOOKUP(2,1/($E$3:INDIRECT("E"&amp;(ROW()-1))=$E65),$M$3:INDIRECT("M"&amp;(ROW()-1))),GlobalStartDate))))</f>
        <v>46232.1805555556</v>
      </c>
      <c r="K65" s="4" t="n">
        <f aca="false">IF($A65="","",IFERROR(VLOOKUP(B65,CHOOSE(MATCH(C65,Settings!$L$4:$L$10,0),OPR_2P!$A$4:$I$18,SEG_6P!$A$4:$I$18,SOL_4P!$A$4:$I$18,RW_2P!$A$4:$I$18,RW2_4P!$A$4:$I$18,FLAP_4P!$A$4:$I$18,TUBE_4P!$A$4:$I$18),1,0),0))</f>
        <v>70</v>
      </c>
      <c r="L65" s="4" t="n">
        <f aca="false">IF($A65="","",K65*D65)</f>
        <v>280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46245.1435185185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IF($A66="","",IFERROR(INDEX(Machine_List!$B$4:$B$7,MATCH("*"&amp;$B66&amp;"*",Machine_List!$J$4:$J$7,0)),"NO COMPATIBLE MACHINE"))</f>
        <v>VTL-MC-02</v>
      </c>
      <c r="F66" s="5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46521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IF($A66="","",IF($I66&lt;&gt;"",$I66,MAX(GlobalStartDate,IFERROR(LOOKUP(2,1/($E$3:INDIRECT("E"&amp;(ROW()-1))=$E66),$M$3:INDIRECT("M"&amp;(ROW()-1))),GlobalStartDate))))</f>
        <v>46197.9212962963</v>
      </c>
      <c r="K66" s="4" t="n">
        <f aca="false">IF($A66="","",IFERROR(VLOOKUP(B66,CHOOSE(MATCH(C66,Settings!$L$4:$L$10,0),OPR_2P!$A$4:$I$18,SEG_6P!$A$4:$I$18,SOL_4P!$A$4:$I$18,RW_2P!$A$4:$I$18,RW2_4P!$A$4:$I$18,FLAP_4P!$A$4:$I$18,TUBE_4P!$A$4:$I$18),1,0),0))</f>
        <v>42</v>
      </c>
      <c r="L66" s="4" t="n">
        <f aca="false">IF($A66="","",K66*D66)</f>
        <v>168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46205.6990740741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B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IF($A67="","",IFERROR(INDEX(Machine_List!$B$4:$B$7,MATCH("*"&amp;$B67&amp;"*",Machine_List!$J$4:$J$7,0)),"NO COMPATIBLE MACHINE"))</f>
        <v>VTL-MC-01</v>
      </c>
      <c r="F67" s="5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46133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IF($A67="","",IF($I67&lt;&gt;"",$I67,MAX(GlobalStartDate,IFERROR(LOOKUP(2,1/($E$3:INDIRECT("E"&amp;(ROW()-1))=$E67),$M$3:INDIRECT("M"&amp;(ROW()-1))),GlobalStartDate))))</f>
        <v>46188.3842592593</v>
      </c>
      <c r="K67" s="4" t="n">
        <f aca="false">IF($A67="","",IFERROR(VLOOKUP(B67,CHOOSE(MATCH(C67,Settings!$L$4:$L$10,0),OPR_2P!$A$4:$I$18,SEG_6P!$A$4:$I$18,SOL_4P!$A$4:$I$18,RW_2P!$A$4:$I$18,RW2_4P!$A$4:$I$18,FLAP_4P!$A$4:$I$18,TUBE_4P!$A$4:$I$18),1,0),0))</f>
        <v>20</v>
      </c>
      <c r="L67" s="4" t="n">
        <f aca="false">IF($A67="","",K67*D67)</f>
        <v>40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46190.2361111111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IF($A68="","",IFERROR(INDEX(Machine_List!$B$4:$B$7,MATCH("*"&amp;$B68&amp;"*",Machine_List!$J$4:$J$7,0)),"NO COMPATIBLE MACHINE"))</f>
        <v>VTL-MC-01</v>
      </c>
      <c r="F68" s="5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46133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IF($A68="","",IF($I68&lt;&gt;"",$I68,MAX(GlobalStartDate,IFERROR(LOOKUP(2,1/($E$3:INDIRECT("E"&amp;(ROW()-1))=$E68),$M$3:INDIRECT("M"&amp;(ROW()-1))),GlobalStartDate))))</f>
        <v>46190.2361111111</v>
      </c>
      <c r="K68" s="4" t="n">
        <f aca="false">IF($A68="","",IFERROR(VLOOKUP(B68,CHOOSE(MATCH(C68,Settings!$L$4:$L$10,0),OPR_2P!$A$4:$I$18,SEG_6P!$A$4:$I$18,SOL_4P!$A$4:$I$18,RW_2P!$A$4:$I$18,RW2_4P!$A$4:$I$18,FLAP_4P!$A$4:$I$18,TUBE_4P!$A$4:$I$18),1,0),0))</f>
        <v>17</v>
      </c>
      <c r="L68" s="4" t="n">
        <f aca="false">IF($A68="","",K68*D68)</f>
        <v>34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46191.8101851852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IF($A69="","",IFERROR(INDEX(Machine_List!$B$4:$B$7,MATCH("*"&amp;$B69&amp;"*",Machine_List!$J$4:$J$7,0)),"NO COMPATIBLE MACHINE"))</f>
        <v>VTL-MC-03</v>
      </c>
      <c r="F69" s="5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46174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IF($A69="","",IF($I69&lt;&gt;"",$I69,MAX(GlobalStartDate,IFERROR(LOOKUP(2,1/($E$3:INDIRECT("E"&amp;(ROW()-1))=$E69),$M$3:INDIRECT("M"&amp;(ROW()-1))),GlobalStartDate))))</f>
        <v>46245.1435185185</v>
      </c>
      <c r="K69" s="4" t="n">
        <f aca="false">IF($A69="","",IFERROR(VLOOKUP(B69,CHOOSE(MATCH(C69,Settings!$L$4:$L$10,0),OPR_2P!$A$4:$I$18,SEG_6P!$A$4:$I$18,SOL_4P!$A$4:$I$18,RW_2P!$A$4:$I$18,RW2_4P!$A$4:$I$18,FLAP_4P!$A$4:$I$18,TUBE_4P!$A$4:$I$18),1,0),0))</f>
        <v>54</v>
      </c>
      <c r="L69" s="4" t="n">
        <f aca="false">IF($A69="","",K69*D69)</f>
        <v>108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46250.1435185185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IF($A70="","",IFERROR(INDEX(Machine_List!$B$4:$B$7,MATCH("*"&amp;$B70&amp;"*",Machine_List!$J$4:$J$7,0)),"NO COMPATIBLE MACHINE"))</f>
        <v>VTL-MC-03</v>
      </c>
      <c r="F70" s="5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46174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IF($A70="","",IF($I70&lt;&gt;"",$I70,MAX(GlobalStartDate,IFERROR(LOOKUP(2,1/($E$3:INDIRECT("E"&amp;(ROW()-1))=$E70),$M$3:INDIRECT("M"&amp;(ROW()-1))),GlobalStartDate))))</f>
        <v>46250.1435185185</v>
      </c>
      <c r="K70" s="4" t="n">
        <f aca="false">IF($A70="","",IFERROR(VLOOKUP(B70,CHOOSE(MATCH(C70,Settings!$L$4:$L$10,0),OPR_2P!$A$4:$I$18,SEG_6P!$A$4:$I$18,SOL_4P!$A$4:$I$18,RW_2P!$A$4:$I$18,RW2_4P!$A$4:$I$18,FLAP_4P!$A$4:$I$18,TUBE_4P!$A$4:$I$18),1,0),0))</f>
        <v>50</v>
      </c>
      <c r="L70" s="4" t="n">
        <f aca="false">IF($A70="","",K70*D70)</f>
        <v>200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46259.4027777778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IF($A71="","",IFERROR(INDEX(Machine_List!$B$4:$B$7,MATCH("*"&amp;$B71&amp;"*",Machine_List!$J$4:$J$7,0)),"NO COMPATIBLE MACHINE"))</f>
        <v>VTL-MC-01</v>
      </c>
      <c r="F71" s="5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46133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IF($A71="","",IF($I71&lt;&gt;"",$I71,MAX(GlobalStartDate,IFERROR(LOOKUP(2,1/($E$3:INDIRECT("E"&amp;(ROW()-1))=$E71),$M$3:INDIRECT("M"&amp;(ROW()-1))),GlobalStartDate))))</f>
        <v>46191.8101851852</v>
      </c>
      <c r="K71" s="4" t="n">
        <f aca="false">IF($A71="","",IFERROR(VLOOKUP(B71,CHOOSE(MATCH(C71,Settings!$L$4:$L$10,0),OPR_2P!$A$4:$I$18,SEG_6P!$A$4:$I$18,SOL_4P!$A$4:$I$18,RW_2P!$A$4:$I$18,RW2_4P!$A$4:$I$18,FLAP_4P!$A$4:$I$18,TUBE_4P!$A$4:$I$18),1,0),0))</f>
        <v>17</v>
      </c>
      <c r="L71" s="4" t="n">
        <f aca="false">IF($A71="","",K71*D71)</f>
        <v>68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46194.9583333333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IF($A72="","",IFERROR(INDEX(Machine_List!$B$4:$B$7,MATCH("*"&amp;$B72&amp;"*",Machine_List!$J$4:$J$7,0)),"NO COMPATIBLE MACHINE"))</f>
        <v>VTL-MC-01</v>
      </c>
      <c r="F72" s="5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46133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IF($A72="","",IF($I72&lt;&gt;"",$I72,MAX(GlobalStartDate,IFERROR(LOOKUP(2,1/($E$3:INDIRECT("E"&amp;(ROW()-1))=$E72),$M$3:INDIRECT("M"&amp;(ROW()-1))),GlobalStartDate))))</f>
        <v>46194.9583333333</v>
      </c>
      <c r="K72" s="4" t="n">
        <f aca="false">IF($A72="","",IFERROR(VLOOKUP(B72,CHOOSE(MATCH(C72,Settings!$L$4:$L$10,0),OPR_2P!$A$4:$I$18,SEG_6P!$A$4:$I$18,SOL_4P!$A$4:$I$18,RW_2P!$A$4:$I$18,RW2_4P!$A$4:$I$18,FLAP_4P!$A$4:$I$18,TUBE_4P!$A$4:$I$18),1,0),0))</f>
        <v>17</v>
      </c>
      <c r="L72" s="4" t="n">
        <f aca="false">IF($A72="","",K72*D72)</f>
        <v>34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46196.5324074074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IF($A73="","",IFERROR(INDEX(Machine_List!$B$4:$B$7,MATCH("*"&amp;$B73&amp;"*",Machine_List!$J$4:$J$7,0)),"NO COMPATIBLE MACHINE"))</f>
        <v>VTL-MC-01</v>
      </c>
      <c r="F73" s="5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46133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IF($A73="","",IF($I73&lt;&gt;"",$I73,MAX(GlobalStartDate,IFERROR(LOOKUP(2,1/($E$3:INDIRECT("E"&amp;(ROW()-1))=$E73),$M$3:INDIRECT("M"&amp;(ROW()-1))),GlobalStartDate))))</f>
        <v>46196.5324074074</v>
      </c>
      <c r="K73" s="4" t="n">
        <f aca="false">IF($A73="","",IFERROR(VLOOKUP(B73,CHOOSE(MATCH(C73,Settings!$L$4:$L$10,0),OPR_2P!$A$4:$I$18,SEG_6P!$A$4:$I$18,SOL_4P!$A$4:$I$18,RW_2P!$A$4:$I$18,RW2_4P!$A$4:$I$18,FLAP_4P!$A$4:$I$18,TUBE_4P!$A$4:$I$18),1,0),0))</f>
        <v>17</v>
      </c>
      <c r="L73" s="4" t="n">
        <f aca="false">IF($A73="","",K73*D73)</f>
        <v>102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46201.2546296296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IF($A74="","",IFERROR(INDEX(Machine_List!$B$4:$B$7,MATCH("*"&amp;$B74&amp;"*",Machine_List!$J$4:$J$7,0)),"NO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IF($A74="","",IF($I74&lt;&gt;"",$I74,MAX(GlobalStartDate,IFERROR(LOOKUP(2,1/($E$3:INDIRECT("E"&amp;(ROW()-1))=$E74),$M$3:INDIRECT("M"&amp;(ROW()-1))),GlobalStartDate))))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IF($A74="","",IFERROR(VLOOKUP(B74,CHOOSE(MATCH(C74,Settings!$L$4:$L$10,0),OPR_2P!$A$4:$I$18,SEG_6P!$A$4:$I$18,SOL_4P!$A$4:$I$18,RW_2P!$A$4:$I$18,RW2_4P!$A$4:$I$18,FLAP_4P!$A$4:$I$18,TUBE_4P!$A$4:$I$18),1,0),0))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IF($A75="","",IFERROR(INDEX(Machine_List!$B$4:$B$7,MATCH("*"&amp;$B75&amp;"*",Machine_List!$J$4:$J$7,0)),"NO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IF($A75="","",IF($I75&lt;&gt;"",$I75,MAX(GlobalStartDate,IFERROR(LOOKUP(2,1/($E$3:INDIRECT("E"&amp;(ROW()-1))=$E75),$M$3:INDIRECT("M"&amp;(ROW()-1))),GlobalStartDate))))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IF($A75="","",IFERROR(VLOOKUP(B75,CHOOSE(MATCH(C75,Settings!$L$4:$L$10,0),OPR_2P!$A$4:$I$18,SEG_6P!$A$4:$I$18,SOL_4P!$A$4:$I$18,RW_2P!$A$4:$I$18,RW2_4P!$A$4:$I$18,FLAP_4P!$A$4:$I$18,TUBE_4P!$A$4:$I$18),1,0),0))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IF($A76="","",IFERROR(INDEX(Machine_List!$B$4:$B$7,MATCH("*"&amp;$B76&amp;"*",Machine_List!$J$4:$J$7,0)),"NO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IF($A76="","",IF($I76&lt;&gt;"",$I76,MAX(GlobalStartDate,IFERROR(LOOKUP(2,1/($E$3:INDIRECT("E"&amp;(ROW()-1))=$E76),$M$3:INDIRECT("M"&amp;(ROW()-1))),GlobalStartDate))))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IF($A76="","",IFERROR(VLOOKUP(B76,CHOOSE(MATCH(C76,Settings!$L$4:$L$10,0),OPR_2P!$A$4:$I$18,SEG_6P!$A$4:$I$18,SOL_4P!$A$4:$I$18,RW_2P!$A$4:$I$18,RW2_4P!$A$4:$I$18,FLAP_4P!$A$4:$I$18,TUBE_4P!$A$4:$I$18),1,0),0))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IF($A77="","",IFERROR(INDEX(Machine_List!$B$4:$B$7,MATCH("*"&amp;$B77&amp;"*",Machine_List!$J$4:$J$7,0)),"NO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IF($A77="","",IF($I77&lt;&gt;"",$I77,MAX(GlobalStartDate,IFERROR(LOOKUP(2,1/($E$3:INDIRECT("E"&amp;(ROW()-1))=$E77),$M$3:INDIRECT("M"&amp;(ROW()-1))),GlobalStartDate))))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IF($A77="","",IFERROR(VLOOKUP(B77,CHOOSE(MATCH(C77,Settings!$L$4:$L$10,0),OPR_2P!$A$4:$I$18,SEG_6P!$A$4:$I$18,SOL_4P!$A$4:$I$18,RW_2P!$A$4:$I$18,RW2_4P!$A$4:$I$18,FLAP_4P!$A$4:$I$18,TUBE_4P!$A$4:$I$18),1,0),0))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IF($A78="","",IFERROR(INDEX(Machine_List!$B$4:$B$7,MATCH("*"&amp;$B78&amp;"*",Machine_List!$J$4:$J$7,0)),"NO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IF($A78="","",IF($I78&lt;&gt;"",$I78,MAX(GlobalStartDate,IFERROR(LOOKUP(2,1/($E$3:INDIRECT("E"&amp;(ROW()-1))=$E78),$M$3:INDIRECT("M"&amp;(ROW()-1))),GlobalStartDate))))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IF($A78="","",IFERROR(VLOOKUP(B78,CHOOSE(MATCH(C78,Settings!$L$4:$L$10,0),OPR_2P!$A$4:$I$18,SEG_6P!$A$4:$I$18,SOL_4P!$A$4:$I$18,RW_2P!$A$4:$I$18,RW2_4P!$A$4:$I$18,FLAP_4P!$A$4:$I$18,TUBE_4P!$A$4:$I$18),1,0),0))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IF($A79="","",IFERROR(INDEX(Machine_List!$B$4:$B$7,MATCH("*"&amp;$B79&amp;"*",Machine_List!$J$4:$J$7,0)),"NO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IF($A79="","",IF($I79&lt;&gt;"",$I79,MAX(GlobalStartDate,IFERROR(LOOKUP(2,1/($E$3:INDIRECT("E"&amp;(ROW()-1))=$E79),$M$3:INDIRECT("M"&amp;(ROW()-1))),GlobalStartDate))))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IF($A79="","",IFERROR(VLOOKUP(B79,CHOOSE(MATCH(C79,Settings!$L$4:$L$10,0),OPR_2P!$A$4:$I$18,SEG_6P!$A$4:$I$18,SOL_4P!$A$4:$I$18,RW_2P!$A$4:$I$18,RW2_4P!$A$4:$I$18,FLAP_4P!$A$4:$I$18,TUBE_4P!$A$4:$I$18),1,0),0))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IF($A80="","",IFERROR(INDEX(Machine_List!$B$4:$B$7,MATCH("*"&amp;$B80&amp;"*",Machine_List!$J$4:$J$7,0)),"NO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IF($A80="","",IF($I80&lt;&gt;"",$I80,MAX(GlobalStartDate,IFERROR(LOOKUP(2,1/($E$3:INDIRECT("E"&amp;(ROW()-1))=$E80),$M$3:INDIRECT("M"&amp;(ROW()-1))),GlobalStartDate))))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IF($A80="","",IFERROR(VLOOKUP(B80,CHOOSE(MATCH(C80,Settings!$L$4:$L$10,0),OPR_2P!$A$4:$I$18,SEG_6P!$A$4:$I$18,SOL_4P!$A$4:$I$18,RW_2P!$A$4:$I$18,RW2_4P!$A$4:$I$18,FLAP_4P!$A$4:$I$18,TUBE_4P!$A$4:$I$18),1,0),0))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IF($A81="","",IFERROR(INDEX(Machine_List!$B$4:$B$7,MATCH("*"&amp;$B81&amp;"*",Machine_List!$J$4:$J$7,0)),"NO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IF($A81="","",IF($I81&lt;&gt;"",$I81,MAX(GlobalStartDate,IFERROR(LOOKUP(2,1/($E$3:INDIRECT("E"&amp;(ROW()-1))=$E81),$M$3:INDIRECT("M"&amp;(ROW()-1))),GlobalStartDate))))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IF($A81="","",IFERROR(VLOOKUP(B81,CHOOSE(MATCH(C81,Settings!$L$4:$L$10,0),OPR_2P!$A$4:$I$18,SEG_6P!$A$4:$I$18,SOL_4P!$A$4:$I$18,RW_2P!$A$4:$I$18,RW2_4P!$A$4:$I$18,FLAP_4P!$A$4:$I$18,TUBE_4P!$A$4:$I$18),1,0),0))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IF($A82="","",IFERROR(INDEX(Machine_List!$B$4:$B$7,MATCH("*"&amp;$B82&amp;"*",Machine_List!$J$4:$J$7,0)),"NO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IF($A82="","",IF($I82&lt;&gt;"",$I82,MAX(GlobalStartDate,IFERROR(LOOKUP(2,1/($E$3:INDIRECT("E"&amp;(ROW()-1))=$E82),$M$3:INDIRECT("M"&amp;(ROW()-1))),GlobalStartDate))))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IF($A82="","",IFERROR(VLOOKUP(B82,CHOOSE(MATCH(C82,Settings!$L$4:$L$10,0),OPR_2P!$A$4:$I$18,SEG_6P!$A$4:$I$18,SOL_4P!$A$4:$I$18,RW_2P!$A$4:$I$18,RW2_4P!$A$4:$I$18,FLAP_4P!$A$4:$I$18,TUBE_4P!$A$4:$I$18),1,0),0))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IF($A83="","",IFERROR(INDEX(Machine_List!$B$4:$B$7,MATCH("*"&amp;$B83&amp;"*",Machine_List!$J$4:$J$7,0)),"NO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IF($A83="","",IF($I83&lt;&gt;"",$I83,MAX(GlobalStartDate,IFERROR(LOOKUP(2,1/($E$3:INDIRECT("E"&amp;(ROW()-1))=$E83),$M$3:INDIRECT("M"&amp;(ROW()-1))),GlobalStartDate))))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IF($A83="","",IFERROR(VLOOKUP(B83,CHOOSE(MATCH(C83,Settings!$L$4:$L$10,0),OPR_2P!$A$4:$I$18,SEG_6P!$A$4:$I$18,SOL_4P!$A$4:$I$18,RW_2P!$A$4:$I$18,RW2_4P!$A$4:$I$18,FLAP_4P!$A$4:$I$18,TUBE_4P!$A$4:$I$18),1,0),0))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IF($A84="","",IFERROR(INDEX(Machine_List!$B$4:$B$7,MATCH("*"&amp;$B84&amp;"*",Machine_List!$J$4:$J$7,0)),"NO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IF($A84="","",IF($I84&lt;&gt;"",$I84,MAX(GlobalStartDate,IFERROR(LOOKUP(2,1/($E$3:INDIRECT("E"&amp;(ROW()-1))=$E84),$M$3:INDIRECT("M"&amp;(ROW()-1))),GlobalStartDate))))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IF($A84="","",IFERROR(VLOOKUP(B84,CHOOSE(MATCH(C84,Settings!$L$4:$L$10,0),OPR_2P!$A$4:$I$18,SEG_6P!$A$4:$I$18,SOL_4P!$A$4:$I$18,RW_2P!$A$4:$I$18,RW2_4P!$A$4:$I$18,FLAP_4P!$A$4:$I$18,TUBE_4P!$A$4:$I$18),1,0),0))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IF($A85="","",IFERROR(INDEX(Machine_List!$B$4:$B$7,MATCH("*"&amp;$B85&amp;"*",Machine_List!$J$4:$J$7,0)),"NO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IF($A85="","",IF($I85&lt;&gt;"",$I85,MAX(GlobalStartDate,IFERROR(LOOKUP(2,1/($E$3:INDIRECT("E"&amp;(ROW()-1))=$E85),$M$3:INDIRECT("M"&amp;(ROW()-1))),GlobalStartDate))))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IF($A85="","",IFERROR(VLOOKUP(B85,CHOOSE(MATCH(C85,Settings!$L$4:$L$10,0),OPR_2P!$A$4:$I$18,SEG_6P!$A$4:$I$18,SOL_4P!$A$4:$I$18,RW_2P!$A$4:$I$18,RW2_4P!$A$4:$I$18,FLAP_4P!$A$4:$I$18,TUBE_4P!$A$4:$I$18),1,0),0))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IF($A86="","",IFERROR(INDEX(Machine_List!$B$4:$B$7,MATCH("*"&amp;$B86&amp;"*",Machine_List!$J$4:$J$7,0)),"NO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IF($A86="","",IF($I86&lt;&gt;"",$I86,MAX(GlobalStartDate,IFERROR(LOOKUP(2,1/($E$3:INDIRECT("E"&amp;(ROW()-1))=$E86),$M$3:INDIRECT("M"&amp;(ROW()-1))),GlobalStartDate))))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IF($A86="","",IFERROR(VLOOKUP(B86,CHOOSE(MATCH(C86,Settings!$L$4:$L$10,0),OPR_2P!$A$4:$I$18,SEG_6P!$A$4:$I$18,SOL_4P!$A$4:$I$18,RW_2P!$A$4:$I$18,RW2_4P!$A$4:$I$18,FLAP_4P!$A$4:$I$18,TUBE_4P!$A$4:$I$18),1,0),0))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IF($A87="","",IFERROR(INDEX(Machine_List!$B$4:$B$7,MATCH("*"&amp;$B87&amp;"*",Machine_List!$J$4:$J$7,0)),"NO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IF($A87="","",IF($I87&lt;&gt;"",$I87,MAX(GlobalStartDate,IFERROR(LOOKUP(2,1/($E$3:INDIRECT("E"&amp;(ROW()-1))=$E87),$M$3:INDIRECT("M"&amp;(ROW()-1))),GlobalStartDate))))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IF($A87="","",IFERROR(VLOOKUP(B87,CHOOSE(MATCH(C87,Settings!$L$4:$L$10,0),OPR_2P!$A$4:$I$18,SEG_6P!$A$4:$I$18,SOL_4P!$A$4:$I$18,RW_2P!$A$4:$I$18,RW2_4P!$A$4:$I$18,FLAP_4P!$A$4:$I$18,TUBE_4P!$A$4:$I$18),1,0),0))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IF($A88="","",IFERROR(INDEX(Machine_List!$B$4:$B$7,MATCH("*"&amp;$B88&amp;"*",Machine_List!$J$4:$J$7,0)),"NO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IF($A88="","",IF($I88&lt;&gt;"",$I88,MAX(GlobalStartDate,IFERROR(LOOKUP(2,1/($E$3:INDIRECT("E"&amp;(ROW()-1))=$E88),$M$3:INDIRECT("M"&amp;(ROW()-1))),GlobalStartDate))))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IF($A88="","",IFERROR(VLOOKUP(B88,CHOOSE(MATCH(C88,Settings!$L$4:$L$10,0),OPR_2P!$A$4:$I$18,SEG_6P!$A$4:$I$18,SOL_4P!$A$4:$I$18,RW_2P!$A$4:$I$18,RW2_4P!$A$4:$I$18,FLAP_4P!$A$4:$I$18,TUBE_4P!$A$4:$I$18),1,0),0))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IF($A89="","",IFERROR(INDEX(Machine_List!$B$4:$B$7,MATCH("*"&amp;$B89&amp;"*",Machine_List!$J$4:$J$7,0)),"NO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IF($A89="","",IF($I89&lt;&gt;"",$I89,MAX(GlobalStartDate,IFERROR(LOOKUP(2,1/($E$3:INDIRECT("E"&amp;(ROW()-1))=$E89),$M$3:INDIRECT("M"&amp;(ROW()-1))),GlobalStartDate))))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IF($A89="","",IFERROR(VLOOKUP(B89,CHOOSE(MATCH(C89,Settings!$L$4:$L$10,0),OPR_2P!$A$4:$I$18,SEG_6P!$A$4:$I$18,SOL_4P!$A$4:$I$18,RW_2P!$A$4:$I$18,RW2_4P!$A$4:$I$18,FLAP_4P!$A$4:$I$18,TUBE_4P!$A$4:$I$18),1,0),0))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IF($A90="","",IFERROR(INDEX(Machine_List!$B$4:$B$7,MATCH("*"&amp;$B90&amp;"*",Machine_List!$J$4:$J$7,0)),"NO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IF($A90="","",IF($I90&lt;&gt;"",$I90,MAX(GlobalStartDate,IFERROR(LOOKUP(2,1/($E$3:INDIRECT("E"&amp;(ROW()-1))=$E90),$M$3:INDIRECT("M"&amp;(ROW()-1))),GlobalStartDate))))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IF($A90="","",IFERROR(VLOOKUP(B90,CHOOSE(MATCH(C90,Settings!$L$4:$L$10,0),OPR_2P!$A$4:$I$18,SEG_6P!$A$4:$I$18,SOL_4P!$A$4:$I$18,RW_2P!$A$4:$I$18,RW2_4P!$A$4:$I$18,FLAP_4P!$A$4:$I$18,TUBE_4P!$A$4:$I$18),1,0),0))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IF($A91="","",IFERROR(INDEX(Machine_List!$B$4:$B$7,MATCH("*"&amp;$B91&amp;"*",Machine_List!$J$4:$J$7,0)),"NO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IF($A91="","",IF($I91&lt;&gt;"",$I91,MAX(GlobalStartDate,IFERROR(LOOKUP(2,1/($E$3:INDIRECT("E"&amp;(ROW()-1))=$E91),$M$3:INDIRECT("M"&amp;(ROW()-1))),GlobalStartDate))))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IF($A91="","",IFERROR(VLOOKUP(B91,CHOOSE(MATCH(C91,Settings!$L$4:$L$10,0),OPR_2P!$A$4:$I$18,SEG_6P!$A$4:$I$18,SOL_4P!$A$4:$I$18,RW_2P!$A$4:$I$18,RW2_4P!$A$4:$I$18,FLAP_4P!$A$4:$I$18,TUBE_4P!$A$4:$I$18),1,0),0))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IF($A92="","",IFERROR(INDEX(Machine_List!$B$4:$B$7,MATCH("*"&amp;$B92&amp;"*",Machine_List!$J$4:$J$7,0)),"NO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IF($A92="","",IF($I92&lt;&gt;"",$I92,MAX(GlobalStartDate,IFERROR(LOOKUP(2,1/($E$3:INDIRECT("E"&amp;(ROW()-1))=$E92),$M$3:INDIRECT("M"&amp;(ROW()-1))),GlobalStartDate))))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IF($A92="","",IFERROR(VLOOKUP(B92,CHOOSE(MATCH(C92,Settings!$L$4:$L$10,0),OPR_2P!$A$4:$I$18,SEG_6P!$A$4:$I$18,SOL_4P!$A$4:$I$18,RW_2P!$A$4:$I$18,RW2_4P!$A$4:$I$18,FLAP_4P!$A$4:$I$18,TUBE_4P!$A$4:$I$18),1,0),0))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IF($A93="","",IFERROR(INDEX(Machine_List!$B$4:$B$7,MATCH("*"&amp;$B93&amp;"*",Machine_List!$J$4:$J$7,0)),"NO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IF($A93="","",IF($I93&lt;&gt;"",$I93,MAX(GlobalStartDate,IFERROR(LOOKUP(2,1/($E$3:INDIRECT("E"&amp;(ROW()-1))=$E93),$M$3:INDIRECT("M"&amp;(ROW()-1))),GlobalStartDate))))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IF($A93="","",IFERROR(VLOOKUP(B93,CHOOSE(MATCH(C93,Settings!$L$4:$L$10,0),OPR_2P!$A$4:$I$18,SEG_6P!$A$4:$I$18,SOL_4P!$A$4:$I$18,RW_2P!$A$4:$I$18,RW2_4P!$A$4:$I$18,FLAP_4P!$A$4:$I$18,TUBE_4P!$A$4:$I$18),1,0),0))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IF($A94="","",IFERROR(INDEX(Machine_List!$B$4:$B$7,MATCH("*"&amp;$B94&amp;"*",Machine_List!$J$4:$J$7,0)),"NO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IF($A94="","",IF($I94&lt;&gt;"",$I94,MAX(GlobalStartDate,IFERROR(LOOKUP(2,1/($E$3:INDIRECT("E"&amp;(ROW()-1))=$E94),$M$3:INDIRECT("M"&amp;(ROW()-1))),GlobalStartDate))))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IF($A94="","",IFERROR(VLOOKUP(B94,CHOOSE(MATCH(C94,Settings!$L$4:$L$10,0),OPR_2P!$A$4:$I$18,SEG_6P!$A$4:$I$18,SOL_4P!$A$4:$I$18,RW_2P!$A$4:$I$18,RW2_4P!$A$4:$I$18,FLAP_4P!$A$4:$I$18,TUBE_4P!$A$4:$I$18),1,0),0))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IF($A95="","",IFERROR(INDEX(Machine_List!$B$4:$B$7,MATCH("*"&amp;$B95&amp;"*",Machine_List!$J$4:$J$7,0)),"NO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IF($A95="","",IF($I95&lt;&gt;"",$I95,MAX(GlobalStartDate,IFERROR(LOOKUP(2,1/($E$3:INDIRECT("E"&amp;(ROW()-1))=$E95),$M$3:INDIRECT("M"&amp;(ROW()-1))),GlobalStartDate))))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IF($A95="","",IFERROR(VLOOKUP(B95,CHOOSE(MATCH(C95,Settings!$L$4:$L$10,0),OPR_2P!$A$4:$I$18,SEG_6P!$A$4:$I$18,SOL_4P!$A$4:$I$18,RW_2P!$A$4:$I$18,RW2_4P!$A$4:$I$18,FLAP_4P!$A$4:$I$18,TUBE_4P!$A$4:$I$18),1,0),0))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IF($A96="","",IFERROR(INDEX(Machine_List!$B$4:$B$7,MATCH("*"&amp;$B96&amp;"*",Machine_List!$J$4:$J$7,0)),"NO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IF($A96="","",IF($I96&lt;&gt;"",$I96,MAX(GlobalStartDate,IFERROR(LOOKUP(2,1/($E$3:INDIRECT("E"&amp;(ROW()-1))=$E96),$M$3:INDIRECT("M"&amp;(ROW()-1))),GlobalStartDate))))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IF($A96="","",IFERROR(VLOOKUP(B96,CHOOSE(MATCH(C96,Settings!$L$4:$L$10,0),OPR_2P!$A$4:$I$18,SEG_6P!$A$4:$I$18,SOL_4P!$A$4:$I$18,RW_2P!$A$4:$I$18,RW2_4P!$A$4:$I$18,FLAP_4P!$A$4:$I$18,TUBE_4P!$A$4:$I$18),1,0),0))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IF($A97="","",IFERROR(INDEX(Machine_List!$B$4:$B$7,MATCH("*"&amp;$B97&amp;"*",Machine_List!$J$4:$J$7,0)),"NO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IF($A97="","",IF($I97&lt;&gt;"",$I97,MAX(GlobalStartDate,IFERROR(LOOKUP(2,1/($E$3:INDIRECT("E"&amp;(ROW()-1))=$E97),$M$3:INDIRECT("M"&amp;(ROW()-1))),GlobalStartDate))))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IF($A97="","",IFERROR(VLOOKUP(B97,CHOOSE(MATCH(C97,Settings!$L$4:$L$10,0),OPR_2P!$A$4:$I$18,SEG_6P!$A$4:$I$18,SOL_4P!$A$4:$I$18,RW_2P!$A$4:$I$18,RW2_4P!$A$4:$I$18,FLAP_4P!$A$4:$I$18,TUBE_4P!$A$4:$I$18),1,0),0))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IF($A98="","",IFERROR(INDEX(Machine_List!$B$4:$B$7,MATCH("*"&amp;$B98&amp;"*",Machine_List!$J$4:$J$7,0)),"NO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IF($A98="","",IF($I98&lt;&gt;"",$I98,MAX(GlobalStartDate,IFERROR(LOOKUP(2,1/($E$3:INDIRECT("E"&amp;(ROW()-1))=$E98),$M$3:INDIRECT("M"&amp;(ROW()-1))),GlobalStartDate))))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IF($A98="","",IFERROR(VLOOKUP(B98,CHOOSE(MATCH(C98,Settings!$L$4:$L$10,0),OPR_2P!$A$4:$I$18,SEG_6P!$A$4:$I$18,SOL_4P!$A$4:$I$18,RW_2P!$A$4:$I$18,RW2_4P!$A$4:$I$18,FLAP_4P!$A$4:$I$18,TUBE_4P!$A$4:$I$18),1,0),0))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IF($A99="","",IFERROR(INDEX(Machine_List!$B$4:$B$7,MATCH("*"&amp;$B99&amp;"*",Machine_List!$J$4:$J$7,0)),"NO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IF($A99="","",IF($I99&lt;&gt;"",$I99,MAX(GlobalStartDate,IFERROR(LOOKUP(2,1/($E$3:INDIRECT("E"&amp;(ROW()-1))=$E99),$M$3:INDIRECT("M"&amp;(ROW()-1))),GlobalStartDate))))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IF($A99="","",IFERROR(VLOOKUP(B99,CHOOSE(MATCH(C99,Settings!$L$4:$L$10,0),OPR_2P!$A$4:$I$18,SEG_6P!$A$4:$I$18,SOL_4P!$A$4:$I$18,RW_2P!$A$4:$I$18,RW2_4P!$A$4:$I$18,FLAP_4P!$A$4:$I$18,TUBE_4P!$A$4:$I$18),1,0),0))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IF($A100="","",IFERROR(INDEX(Machine_List!$B$4:$B$7,MATCH("*"&amp;$B100&amp;"*",Machine_List!$J$4:$J$7,0)),"NO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IF($A100="","",IF($I100&lt;&gt;"",$I100,MAX(GlobalStartDate,IFERROR(LOOKUP(2,1/($E$3:INDIRECT("E"&amp;(ROW()-1))=$E100),$M$3:INDIRECT("M"&amp;(ROW()-1))),GlobalStartDate))))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IF($A100="","",IFERROR(VLOOKUP(B100,CHOOSE(MATCH(C100,Settings!$L$4:$L$10,0),OPR_2P!$A$4:$I$18,SEG_6P!$A$4:$I$18,SOL_4P!$A$4:$I$18,RW_2P!$A$4:$I$18,RW2_4P!$A$4:$I$18,FLAP_4P!$A$4:$I$18,TUBE_4P!$A$4:$I$18),1,0),0))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IF($A101="","",IFERROR(INDEX(Machine_List!$B$4:$B$7,MATCH("*"&amp;$B101&amp;"*",Machine_List!$J$4:$J$7,0)),"NO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IF($A101="","",IF($I101&lt;&gt;"",$I101,MAX(GlobalStartDate,IFERROR(LOOKUP(2,1/($E$3:INDIRECT("E"&amp;(ROW()-1))=$E101),$M$3:INDIRECT("M"&amp;(ROW()-1))),GlobalStartDate))))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IF($A101="","",IFERROR(VLOOKUP(B101,CHOOSE(MATCH(C101,Settings!$L$4:$L$10,0),OPR_2P!$A$4:$I$18,SEG_6P!$A$4:$I$18,SOL_4P!$A$4:$I$18,RW_2P!$A$4:$I$18,RW2_4P!$A$4:$I$18,FLAP_4P!$A$4:$I$18,TUBE_4P!$A$4:$I$18),1,0),0))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IF($A102="","",IFERROR(INDEX(Machine_List!$B$4:$B$7,MATCH("*"&amp;$B102&amp;"*",Machine_List!$J$4:$J$7,0)),"NO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IF($A102="","",IF($I102&lt;&gt;"",$I102,MAX(GlobalStartDate,IFERROR(LOOKUP(2,1/($E$3:INDIRECT("E"&amp;(ROW()-1))=$E102),$M$3:INDIRECT("M"&amp;(ROW()-1))),GlobalStartDate))))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IF($A102="","",IFERROR(VLOOKUP(B102,CHOOSE(MATCH(C102,Settings!$L$4:$L$10,0),OPR_2P!$A$4:$I$18,SEG_6P!$A$4:$I$18,SOL_4P!$A$4:$I$18,RW_2P!$A$4:$I$18,RW2_4P!$A$4:$I$18,FLAP_4P!$A$4:$I$18,TUBE_4P!$A$4:$I$18),1,0),0))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IF($A103="","",IFERROR(INDEX(Machine_List!$B$4:$B$7,MATCH("*"&amp;$B103&amp;"*",Machine_List!$J$4:$J$7,0)),"NO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IF($A103="","",IF($I103&lt;&gt;"",$I103,MAX(GlobalStartDate,IFERROR(LOOKUP(2,1/($E$3:INDIRECT("E"&amp;(ROW()-1))=$E103),$M$3:INDIRECT("M"&amp;(ROW()-1))),GlobalStartDate))))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IF($A103="","",IFERROR(VLOOKUP(B103,CHOOSE(MATCH(C103,Settings!$L$4:$L$10,0),OPR_2P!$A$4:$I$18,SEG_6P!$A$4:$I$18,SOL_4P!$A$4:$I$18,RW_2P!$A$4:$I$18,RW2_4P!$A$4:$I$18,FLAP_4P!$A$4:$I$18,TUBE_4P!$A$4:$I$18),1,0),0))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8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Z20" activeCellId="0" sqref="BZ2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77"/>
    <col collapsed="false" customWidth="true" hidden="false" outlineLevel="0" max="2" min="2" style="1" width="4.44"/>
    <col collapsed="false" customWidth="true" hidden="false" outlineLevel="0" max="3" min="3" style="1" width="5.21"/>
    <col collapsed="false" customWidth="true" hidden="false" outlineLevel="0" max="4" min="4" style="1" width="6.44"/>
    <col collapsed="false" customWidth="true" hidden="false" outlineLevel="0" max="5" min="5" style="1" width="19.67"/>
    <col collapsed="false" customWidth="true" hidden="false" outlineLevel="0" max="6" min="6" style="28" width="14.33"/>
    <col collapsed="false" customWidth="true" hidden="false" outlineLevel="0" max="7" min="7" style="1" width="12.67"/>
    <col collapsed="false" customWidth="true" hidden="false" outlineLevel="0" max="8" min="8" style="1" width="8.56"/>
    <col collapsed="false" customWidth="true" hidden="false" outlineLevel="0" max="9" min="9" style="1" width="9.79"/>
    <col collapsed="false" customWidth="true" hidden="false" outlineLevel="0" max="10" min="10" style="1" width="16.11"/>
    <col collapsed="false" customWidth="true" hidden="false" outlineLevel="0" max="11" min="11" style="1" width="8.88"/>
    <col collapsed="false" customWidth="true" hidden="false" outlineLevel="0" max="12" min="12" style="1" width="11.67"/>
    <col collapsed="false" customWidth="true" hidden="false" outlineLevel="0" max="13" min="13" style="1" width="16.11"/>
    <col collapsed="false" customWidth="true" hidden="false" outlineLevel="0" max="14" min="14" style="1" width="13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5.56"/>
    <col collapsed="false" customWidth="true" hidden="false" outlineLevel="0" max="76" min="76" style="1" width="30.22"/>
    <col collapsed="false" customWidth="true" hidden="false" outlineLevel="0" max="77" min="77" style="1" width="10.56"/>
    <col collapsed="false" customWidth="true" hidden="false" outlineLevel="0" max="78" min="78" style="1" width="10.2"/>
    <col collapsed="false" customWidth="true" hidden="false" outlineLevel="0" max="79" min="79" style="1" width="9.67"/>
    <col collapsed="false" customWidth="true" hidden="false" outlineLevel="0" max="80" min="80" style="1" width="10.56"/>
    <col collapsed="false" customWidth="true" hidden="false" outlineLevel="0" max="81" min="81" style="1" width="10.44"/>
    <col collapsed="false" customWidth="true" hidden="false" outlineLevel="0" max="82" min="82" style="1" width="10"/>
    <col collapsed="false" customWidth="true" hidden="false" outlineLevel="0" max="84" min="83" style="1" width="10.2"/>
    <col collapsed="false" customWidth="true" hidden="false" outlineLevel="0" max="85" min="85" style="1" width="10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250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1206</v>
      </c>
      <c r="BY3" s="45" t="n">
        <v>1580</v>
      </c>
      <c r="BZ3" s="45" t="n">
        <v>1320</v>
      </c>
      <c r="CA3" s="45" t="n">
        <v>1162</v>
      </c>
      <c r="CB3" s="45" t="n">
        <v>1342</v>
      </c>
      <c r="CC3" s="45" t="n">
        <v>658</v>
      </c>
      <c r="CD3" s="45" t="n">
        <v>670</v>
      </c>
      <c r="CE3" s="45" t="n">
        <v>560</v>
      </c>
      <c r="CF3" s="45" t="n">
        <v>0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IF($A4="","",IFERROR(INDEX(Machine_List!$B$8:$B$13,MATCH("*"&amp;$B4&amp;"*",Machine_List!$J$8:$J$13,0)),"NO COMPATIBLE MACHINE"))</f>
        <v>SPM-MC-01</v>
      </c>
      <c r="F4" s="49" t="str">
        <f aca="false">IF($E4="","",IFERROR(VLOOKUP($E4,Machine_List!$B:$G,6,0),""))</f>
        <v>General Workman</v>
      </c>
      <c r="G4" s="50" t="n">
        <f aca="false">IF($E4="","",IFERROR(VLOOKUP($E4,Machine_List!$B:$C,2,0),""))</f>
        <v>46285</v>
      </c>
      <c r="H4" s="48" t="n">
        <f aca="false">IF($E4="","",IFERROR(VLOOKUP($E4,Machine_List!$B:$D,3,0),""))</f>
        <v>6</v>
      </c>
      <c r="I4" s="45"/>
      <c r="J4" s="51" t="n">
        <f aca="true">IF($A4="","",IF($I4&lt;&gt;"",$I4,MAX(VTL_Plan!$M4,IFERROR(LOOKUP(2,1/($E$3:INDIRECT("E"&amp;(ROW()-1))=$E4),$M$3:INDIRECT("M"&amp;(ROW()-1))),VTL_Plan!$M4))))</f>
        <v>46115.8842592593</v>
      </c>
      <c r="K4" s="48" t="n">
        <f aca="false">IF($A4="","",IFERROR(VLOOKUP(B4,CHOOSE(MATCH(C4,Settings!$L$4:$L$10,0),OPR_2P!$A$4:$I$18,SEG_6P!$A$4:$I$18,SOL_4P!$A$4:$I$18,RW_2P!$A$4:$I$18,RW2_4P!$A$4:$I$18,FLAP_4P!$A$4:$I$18,TUBE_4P!$A$4:$I$18),2,0),0))</f>
        <v>38</v>
      </c>
      <c r="L4" s="48" t="n">
        <f aca="false">IF($A4="","",K4*D4)</f>
        <v>76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46119.4027777778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3888</v>
      </c>
      <c r="BY4" s="45" t="n">
        <v>4017.6</v>
      </c>
      <c r="BZ4" s="45" t="n">
        <v>3888</v>
      </c>
      <c r="CA4" s="45" t="n">
        <v>4017.6</v>
      </c>
      <c r="CB4" s="45" t="n">
        <v>4017.6</v>
      </c>
      <c r="CC4" s="45" t="n">
        <v>3888</v>
      </c>
      <c r="CD4" s="45" t="n">
        <v>4017.6</v>
      </c>
      <c r="CE4" s="45" t="n">
        <v>3888</v>
      </c>
      <c r="CF4" s="45" t="n">
        <v>4017.6</v>
      </c>
      <c r="CG4" s="45" t="n">
        <v>4017.6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IF($A5="","",IFERROR(INDEX(Machine_List!$B$8:$B$13,MATCH("*"&amp;$B5&amp;"*",Machine_List!$J$8:$J$13,0)),"NO COMPATIBLE MACHINE"))</f>
        <v>SPM-MC-01</v>
      </c>
      <c r="F5" s="54" t="str">
        <f aca="false">IF($E5="","",IFERROR(VLOOKUP($E5,Machine_List!$B:$G,6,0),""))</f>
        <v>General Workman</v>
      </c>
      <c r="G5" s="55" t="n">
        <f aca="false">IF($E5="","",IFERROR(VLOOKUP($E5,Machine_List!$B:$C,2,0),""))</f>
        <v>46285</v>
      </c>
      <c r="H5" s="4" t="n">
        <f aca="false">IF($E5="","",IFERROR(VLOOKUP($E5,Machine_List!$B:$D,3,0),""))</f>
        <v>6</v>
      </c>
      <c r="I5" s="56"/>
      <c r="J5" s="57" t="n">
        <f aca="true">IF($A5="","",IF($I5&lt;&gt;"",$I5,MAX(VTL_Plan!$M5,IFERROR(LOOKUP(2,1/($E$3:INDIRECT("E"&amp;(ROW()-1))=$E5),$M$3:INDIRECT("M"&amp;(ROW()-1))),VTL_Plan!$M5))))</f>
        <v>46121.0694444444</v>
      </c>
      <c r="K5" s="4" t="n">
        <f aca="false">IF($A5="","",IFERROR(VLOOKUP(B5,CHOOSE(MATCH(C5,Settings!$L$4:$L$10,0),OPR_2P!$A$4:$I$18,SEG_6P!$A$4:$I$18,SOL_4P!$A$4:$I$18,RW_2P!$A$4:$I$18,RW2_4P!$A$4:$I$18,FLAP_4P!$A$4:$I$18,TUBE_4P!$A$4:$I$18),2,0),0))</f>
        <v>54</v>
      </c>
      <c r="L5" s="4" t="n">
        <f aca="false">IF($A5="","",K5*D5)</f>
        <v>216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46131.0694444444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IF($A6="","",IFERROR(INDEX(Machine_List!$B$8:$B$13,MATCH("*"&amp;$B6&amp;"*",Machine_List!$J$8:$J$13,0)),"NO COMPATIBLE MACHINE"))</f>
        <v>SPM-MC-01</v>
      </c>
      <c r="F6" s="54" t="str">
        <f aca="false">IF($E6="","",IFERROR(VLOOKUP($E6,Machine_List!$B:$G,6,0),""))</f>
        <v>General Workman</v>
      </c>
      <c r="G6" s="55" t="n">
        <f aca="false">IF($E6="","",IFERROR(VLOOKUP($E6,Machine_List!$B:$C,2,0),""))</f>
        <v>46285</v>
      </c>
      <c r="H6" s="4" t="n">
        <f aca="false">IF($E6="","",IFERROR(VLOOKUP($E6,Machine_List!$B:$D,3,0),""))</f>
        <v>6</v>
      </c>
      <c r="I6" s="56"/>
      <c r="J6" s="57" t="n">
        <f aca="true">IF($A6="","",IF($I6&lt;&gt;"",$I6,MAX(VTL_Plan!$M6,IFERROR(LOOKUP(2,1/($E$3:INDIRECT("E"&amp;(ROW()-1))=$E6),$M$3:INDIRECT("M"&amp;(ROW()-1))),VTL_Plan!$M6))))</f>
        <v>46131.0694444444</v>
      </c>
      <c r="K6" s="4" t="n">
        <f aca="false">IF($A6="","",IFERROR(VLOOKUP(B6,CHOOSE(MATCH(C6,Settings!$L$4:$L$10,0),OPR_2P!$A$4:$I$18,SEG_6P!$A$4:$I$18,SOL_4P!$A$4:$I$18,RW_2P!$A$4:$I$18,RW2_4P!$A$4:$I$18,FLAP_4P!$A$4:$I$18,TUBE_4P!$A$4:$I$18),2,0),0))</f>
        <v>29</v>
      </c>
      <c r="L6" s="4" t="n">
        <f aca="false">IF($A6="","",K6*D6)</f>
        <v>58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46133.7546296296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B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IF($A7="","",IFERROR(INDEX(Machine_List!$B$8:$B$13,MATCH("*"&amp;$B7&amp;"*",Machine_List!$J$8:$J$13,0)),"NO COMPATIBLE MACHINE"))</f>
        <v>SPM-MC-01</v>
      </c>
      <c r="F7" s="54" t="str">
        <f aca="false">IF($E7="","",IFERROR(VLOOKUP($E7,Machine_List!$B:$G,6,0),""))</f>
        <v>General Workman</v>
      </c>
      <c r="G7" s="55" t="n">
        <f aca="false">IF($E7="","",IFERROR(VLOOKUP($E7,Machine_List!$B:$C,2,0),""))</f>
        <v>46285</v>
      </c>
      <c r="H7" s="4" t="n">
        <f aca="false">IF($E7="","",IFERROR(VLOOKUP($E7,Machine_List!$B:$D,3,0),""))</f>
        <v>6</v>
      </c>
      <c r="I7" s="56"/>
      <c r="J7" s="57" t="n">
        <f aca="true">IF($A7="","",IF($I7&lt;&gt;"",$I7,MAX(VTL_Plan!$M7,IFERROR(LOOKUP(2,1/($E$3:INDIRECT("E"&amp;(ROW()-1))=$E7),$M$3:INDIRECT("M"&amp;(ROW()-1))),VTL_Plan!$M7))))</f>
        <v>46133.7546296296</v>
      </c>
      <c r="K7" s="4" t="n">
        <f aca="false">IF($A7="","",IFERROR(VLOOKUP(B7,CHOOSE(MATCH(C7,Settings!$L$4:$L$10,0),OPR_2P!$A$4:$I$18,SEG_6P!$A$4:$I$18,SOL_4P!$A$4:$I$18,RW_2P!$A$4:$I$18,RW2_4P!$A$4:$I$18,FLAP_4P!$A$4:$I$18,TUBE_4P!$A$4:$I$18),2,0),0))</f>
        <v>38</v>
      </c>
      <c r="L7" s="4" t="n">
        <f aca="false">IF($A7="","",K7*D7)</f>
        <v>228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46144.3101851852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IF($A8="","",IFERROR(INDEX(Machine_List!$B$8:$B$13,MATCH("*"&amp;$B8&amp;"*",Machine_List!$J$8:$J$13,0)),"NO COMPATIBLE MACHINE"))</f>
        <v>SPM-MC-01</v>
      </c>
      <c r="F8" s="54" t="str">
        <f aca="false">IF($E8="","",IFERROR(VLOOKUP($E8,Machine_List!$B:$G,6,0),""))</f>
        <v>General Workman</v>
      </c>
      <c r="G8" s="55" t="n">
        <f aca="false">IF($E8="","",IFERROR(VLOOKUP($E8,Machine_List!$B:$C,2,0),""))</f>
        <v>46285</v>
      </c>
      <c r="H8" s="4" t="n">
        <f aca="false">IF($E8="","",IFERROR(VLOOKUP($E8,Machine_List!$B:$D,3,0),""))</f>
        <v>6</v>
      </c>
      <c r="I8" s="56"/>
      <c r="J8" s="57" t="n">
        <f aca="true">IF($A8="","",IF($I8&lt;&gt;"",$I8,MAX(VTL_Plan!$M8,IFERROR(LOOKUP(2,1/($E$3:INDIRECT("E"&amp;(ROW()-1))=$E8),$M$3:INDIRECT("M"&amp;(ROW()-1))),VTL_Plan!$M8))))</f>
        <v>46144.3101851852</v>
      </c>
      <c r="K8" s="4" t="n">
        <f aca="false">IF($A8="","",IFERROR(VLOOKUP(B8,CHOOSE(MATCH(C8,Settings!$L$4:$L$10,0),OPR_2P!$A$4:$I$18,SEG_6P!$A$4:$I$18,SOL_4P!$A$4:$I$18,RW_2P!$A$4:$I$18,RW2_4P!$A$4:$I$18,FLAP_4P!$A$4:$I$18,TUBE_4P!$A$4:$I$18),2,0),0))</f>
        <v>49</v>
      </c>
      <c r="L8" s="4" t="n">
        <f aca="false">IF($A8="","",K8*D8)</f>
        <v>294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46157.9212962963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IF($A9="","",IFERROR(INDEX(Machine_List!$B$8:$B$13,MATCH("*"&amp;$B9&amp;"*",Machine_List!$J$8:$J$13,0)),"NO COMPATIBLE MACHINE"))</f>
        <v>SPM-MC-01</v>
      </c>
      <c r="F9" s="54" t="str">
        <f aca="false">IF($E9="","",IFERROR(VLOOKUP($E9,Machine_List!$B:$G,6,0),""))</f>
        <v>General Workman</v>
      </c>
      <c r="G9" s="55" t="n">
        <f aca="false">IF($E9="","",IFERROR(VLOOKUP($E9,Machine_List!$B:$C,2,0),""))</f>
        <v>46285</v>
      </c>
      <c r="H9" s="4" t="n">
        <f aca="false">IF($E9="","",IFERROR(VLOOKUP($E9,Machine_List!$B:$D,3,0),""))</f>
        <v>6</v>
      </c>
      <c r="I9" s="56"/>
      <c r="J9" s="57" t="n">
        <f aca="true">IF($A9="","",IF($I9&lt;&gt;"",$I9,MAX(VTL_Plan!$M9,IFERROR(LOOKUP(2,1/($E$3:INDIRECT("E"&amp;(ROW()-1))=$E9),$M$3:INDIRECT("M"&amp;(ROW()-1))),VTL_Plan!$M9))))</f>
        <v>46157.9212962963</v>
      </c>
      <c r="K9" s="4" t="n">
        <f aca="false">IF($A9="","",IFERROR(VLOOKUP(B9,CHOOSE(MATCH(C9,Settings!$L$4:$L$10,0),OPR_2P!$A$4:$I$18,SEG_6P!$A$4:$I$18,SOL_4P!$A$4:$I$18,RW_2P!$A$4:$I$18,RW2_4P!$A$4:$I$18,FLAP_4P!$A$4:$I$18,TUBE_4P!$A$4:$I$18),2,0),0))</f>
        <v>32</v>
      </c>
      <c r="L9" s="4" t="n">
        <f aca="false">IF($A9="","",K9*D9)</f>
        <v>64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46160.8842592593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IF($A10="","",IFERROR(INDEX(Machine_List!$B$8:$B$13,MATCH("*"&amp;$B10&amp;"*",Machine_List!$J$8:$J$13,0)),"NO COMPATIBLE MACHINE"))</f>
        <v>SPM-MC-01</v>
      </c>
      <c r="F10" s="5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46285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IF($A10="","",IF($I10&lt;&gt;"",$I10,MAX(VTL_Plan!$M10,IFERROR(LOOKUP(2,1/($E$3:INDIRECT("E"&amp;(ROW()-1))=$E10),$M$3:INDIRECT("M"&amp;(ROW()-1))),VTL_Plan!$M10))))</f>
        <v>46160.8842592593</v>
      </c>
      <c r="K10" s="4" t="n">
        <f aca="false">IF($A10="","",IFERROR(VLOOKUP(B10,CHOOSE(MATCH(C10,Settings!$L$4:$L$10,0),OPR_2P!$A$4:$I$18,SEG_6P!$A$4:$I$18,SOL_4P!$A$4:$I$18,RW_2P!$A$4:$I$18,RW2_4P!$A$4:$I$18,FLAP_4P!$A$4:$I$18,TUBE_4P!$A$4:$I$18),2,0),0))</f>
        <v>100</v>
      </c>
      <c r="L10" s="4" t="n">
        <f aca="false">IF($A10="","",K10*D10)</f>
        <v>200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46170.1435185185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IF($A11="","",IFERROR(INDEX(Machine_List!$B$8:$B$13,MATCH("*"&amp;$B11&amp;"*",Machine_List!$J$8:$J$13,0)),"NO COMPATIBLE MACHINE"))</f>
        <v>SPM-MC-01</v>
      </c>
      <c r="F11" s="5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46285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IF($A11="","",IF($I11&lt;&gt;"",$I11,MAX(VTL_Plan!$M11,IFERROR(LOOKUP(2,1/($E$3:INDIRECT("E"&amp;(ROW()-1))=$E11),$M$3:INDIRECT("M"&amp;(ROW()-1))),VTL_Plan!$M11))))</f>
        <v>46170.1435185185</v>
      </c>
      <c r="K11" s="4" t="n">
        <f aca="false">IF($A11="","",IFERROR(VLOOKUP(B11,CHOOSE(MATCH(C11,Settings!$L$4:$L$10,0),OPR_2P!$A$4:$I$18,SEG_6P!$A$4:$I$18,SOL_4P!$A$4:$I$18,RW_2P!$A$4:$I$18,RW2_4P!$A$4:$I$18,FLAP_4P!$A$4:$I$18,TUBE_4P!$A$4:$I$18),2,0),0))</f>
        <v>15</v>
      </c>
      <c r="L11" s="4" t="n">
        <f aca="false">IF($A11="","",K11*D11)</f>
        <v>30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46171.5324074074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A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IF($A12="","",IFERROR(INDEX(Machine_List!$B$8:$B$13,MATCH("*"&amp;$B12&amp;"*",Machine_List!$J$8:$J$13,0)),"NO COMPATIBLE MACHINE"))</f>
        <v>SPM-MC-01</v>
      </c>
      <c r="F12" s="5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46285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IF($A12="","",IF($I12&lt;&gt;"",$I12,MAX(VTL_Plan!$M12,IFERROR(LOOKUP(2,1/($E$3:INDIRECT("E"&amp;(ROW()-1))=$E12),$M$3:INDIRECT("M"&amp;(ROW()-1))),VTL_Plan!$M12))))</f>
        <v>46171.5324074074</v>
      </c>
      <c r="K12" s="4" t="n">
        <f aca="false">IF($A12="","",IFERROR(VLOOKUP(B12,CHOOSE(MATCH(C12,Settings!$L$4:$L$10,0),OPR_2P!$A$4:$I$18,SEG_6P!$A$4:$I$18,SOL_4P!$A$4:$I$18,RW_2P!$A$4:$I$18,RW2_4P!$A$4:$I$18,FLAP_4P!$A$4:$I$18,TUBE_4P!$A$4:$I$18),2,0),0))</f>
        <v>32</v>
      </c>
      <c r="L12" s="4" t="n">
        <f aca="false">IF($A12="","",K12*D12)</f>
        <v>64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46174.4953703704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IF($A13="","",IFERROR(INDEX(Machine_List!$B$8:$B$13,MATCH("*"&amp;$B13&amp;"*",Machine_List!$J$8:$J$13,0)),"NO COMPATIBLE MACHINE"))</f>
        <v>SPM-MC-01</v>
      </c>
      <c r="F13" s="5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46285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IF($A13="","",IF($I13&lt;&gt;"",$I13,MAX(VTL_Plan!$M13,IFERROR(LOOKUP(2,1/($E$3:INDIRECT("E"&amp;(ROW()-1))=$E13),$M$3:INDIRECT("M"&amp;(ROW()-1))),VTL_Plan!$M13))))</f>
        <v>46174.4953703704</v>
      </c>
      <c r="K13" s="4" t="n">
        <f aca="false">IF($A13="","",IFERROR(VLOOKUP(B13,CHOOSE(MATCH(C13,Settings!$L$4:$L$10,0),OPR_2P!$A$4:$I$18,SEG_6P!$A$4:$I$18,SOL_4P!$A$4:$I$18,RW_2P!$A$4:$I$18,RW2_4P!$A$4:$I$18,FLAP_4P!$A$4:$I$18,TUBE_4P!$A$4:$I$18),2,0),0))</f>
        <v>20</v>
      </c>
      <c r="L13" s="4" t="n">
        <f aca="false">IF($A13="","",K13*D13)</f>
        <v>40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46176.3472222222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IF($A14="","",IFERROR(INDEX(Machine_List!$B$8:$B$13,MATCH("*"&amp;$B14&amp;"*",Machine_List!$J$8:$J$13,0)),"NO COMPATIBLE MACHINE"))</f>
        <v>SPM-MC-01</v>
      </c>
      <c r="F14" s="5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46285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IF($A14="","",IF($I14&lt;&gt;"",$I14,MAX(VTL_Plan!$M14,IFERROR(LOOKUP(2,1/($E$3:INDIRECT("E"&amp;(ROW()-1))=$E14),$M$3:INDIRECT("M"&amp;(ROW()-1))),VTL_Plan!$M14))))</f>
        <v>46176.3472222222</v>
      </c>
      <c r="K14" s="4" t="n">
        <f aca="false">IF($A14="","",IFERROR(VLOOKUP(B14,CHOOSE(MATCH(C14,Settings!$L$4:$L$10,0),OPR_2P!$A$4:$I$18,SEG_6P!$A$4:$I$18,SOL_4P!$A$4:$I$18,RW_2P!$A$4:$I$18,RW2_4P!$A$4:$I$18,FLAP_4P!$A$4:$I$18,TUBE_4P!$A$4:$I$18),2,0),0))</f>
        <v>30</v>
      </c>
      <c r="L14" s="4" t="n">
        <f aca="false">IF($A14="","",K14*D14)</f>
        <v>60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46179.125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IF($A15="","",IFERROR(INDEX(Machine_List!$B$8:$B$13,MATCH("*"&amp;$B15&amp;"*",Machine_List!$J$8:$J$13,0)),"NO COMPATIBLE MACHINE"))</f>
        <v>SPM-MC-01</v>
      </c>
      <c r="F15" s="5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46285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IF($A15="","",IF($I15&lt;&gt;"",$I15,MAX(VTL_Plan!$M15,IFERROR(LOOKUP(2,1/($E$3:INDIRECT("E"&amp;(ROW()-1))=$E15),$M$3:INDIRECT("M"&amp;(ROW()-1))),VTL_Plan!$M15))))</f>
        <v>46179.125</v>
      </c>
      <c r="K15" s="4" t="n">
        <f aca="false">IF($A15="","",IFERROR(VLOOKUP(B15,CHOOSE(MATCH(C15,Settings!$L$4:$L$10,0),OPR_2P!$A$4:$I$18,SEG_6P!$A$4:$I$18,SOL_4P!$A$4:$I$18,RW_2P!$A$4:$I$18,RW2_4P!$A$4:$I$18,FLAP_4P!$A$4:$I$18,TUBE_4P!$A$4:$I$18),2,0),0))</f>
        <v>26</v>
      </c>
      <c r="L15" s="4" t="n">
        <f aca="false">IF($A15="","",K15*D15)</f>
        <v>156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46186.3472222222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IF($A16="","",IFERROR(INDEX(Machine_List!$B$8:$B$13,MATCH("*"&amp;$B16&amp;"*",Machine_List!$J$8:$J$13,0)),"NO COMPATIBLE MACHINE"))</f>
        <v>SPM-MC-01</v>
      </c>
      <c r="F16" s="5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46285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IF($A16="","",IF($I16&lt;&gt;"",$I16,MAX(VTL_Plan!$M16,IFERROR(LOOKUP(2,1/($E$3:INDIRECT("E"&amp;(ROW()-1))=$E16),$M$3:INDIRECT("M"&amp;(ROW()-1))),VTL_Plan!$M16))))</f>
        <v>46186.3472222222</v>
      </c>
      <c r="K16" s="4" t="n">
        <f aca="false">IF($A16="","",IFERROR(VLOOKUP(B16,CHOOSE(MATCH(C16,Settings!$L$4:$L$10,0),OPR_2P!$A$4:$I$18,SEG_6P!$A$4:$I$18,SOL_4P!$A$4:$I$18,RW_2P!$A$4:$I$18,RW2_4P!$A$4:$I$18,FLAP_4P!$A$4:$I$18,TUBE_4P!$A$4:$I$18),2,0),0))</f>
        <v>20</v>
      </c>
      <c r="L16" s="4" t="n">
        <f aca="false">IF($A16="","",K16*D16)</f>
        <v>40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46188.1990740741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IF($A17="","",IFERROR(INDEX(Machine_List!$B$8:$B$13,MATCH("*"&amp;$B17&amp;"*",Machine_List!$J$8:$J$13,0)),"NO COMPATIBLE MACHINE"))</f>
        <v>SPM-MC-01</v>
      </c>
      <c r="F17" s="5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46285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IF($A17="","",IF($I17&lt;&gt;"",$I17,MAX(VTL_Plan!$M17,IFERROR(LOOKUP(2,1/($E$3:INDIRECT("E"&amp;(ROW()-1))=$E17),$M$3:INDIRECT("M"&amp;(ROW()-1))),VTL_Plan!$M17))))</f>
        <v>46188.1990740741</v>
      </c>
      <c r="K17" s="4" t="n">
        <f aca="false">IF($A17="","",IFERROR(VLOOKUP(B17,CHOOSE(MATCH(C17,Settings!$L$4:$L$10,0),OPR_2P!$A$4:$I$18,SEG_6P!$A$4:$I$18,SOL_4P!$A$4:$I$18,RW_2P!$A$4:$I$18,RW2_4P!$A$4:$I$18,FLAP_4P!$A$4:$I$18,TUBE_4P!$A$4:$I$18),2,0),0))</f>
        <v>89</v>
      </c>
      <c r="L17" s="4" t="n">
        <f aca="false">IF($A17="","",K17*D17)</f>
        <v>534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46212.9212962963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IF($A18="","",IFERROR(INDEX(Machine_List!$B$8:$B$13,MATCH("*"&amp;$B18&amp;"*",Machine_List!$J$8:$J$13,0)),"NO COMPATIBLE MACHINE"))</f>
        <v>SPM-MC-01</v>
      </c>
      <c r="F18" s="5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46285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IF($A18="","",IF($I18&lt;&gt;"",$I18,MAX(VTL_Plan!$M18,IFERROR(LOOKUP(2,1/($E$3:INDIRECT("E"&amp;(ROW()-1))=$E18),$M$3:INDIRECT("M"&amp;(ROW()-1))),VTL_Plan!$M18))))</f>
        <v>46212.9212962963</v>
      </c>
      <c r="K18" s="4" t="n">
        <f aca="false">IF($A18="","",IFERROR(VLOOKUP(B18,CHOOSE(MATCH(C18,Settings!$L$4:$L$10,0),OPR_2P!$A$4:$I$18,SEG_6P!$A$4:$I$18,SOL_4P!$A$4:$I$18,RW_2P!$A$4:$I$18,RW2_4P!$A$4:$I$18,FLAP_4P!$A$4:$I$18,TUBE_4P!$A$4:$I$18),2,0),0))</f>
        <v>59</v>
      </c>
      <c r="L18" s="4" t="n">
        <f aca="false">IF($A18="","",K18*D18)</f>
        <v>118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46218.3842592593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A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IF($A19="","",IFERROR(INDEX(Machine_List!$B$8:$B$13,MATCH("*"&amp;$B19&amp;"*",Machine_List!$J$8:$J$13,0)),"NO COMPATIBLE MACHINE"))</f>
        <v>SPM-MC-01</v>
      </c>
      <c r="F19" s="5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46285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IF($A19="","",IF($I19&lt;&gt;"",$I19,MAX(VTL_Plan!$M19,IFERROR(LOOKUP(2,1/($E$3:INDIRECT("E"&amp;(ROW()-1))=$E19),$M$3:INDIRECT("M"&amp;(ROW()-1))),VTL_Plan!$M19))))</f>
        <v>46218.3842592593</v>
      </c>
      <c r="K19" s="4" t="n">
        <f aca="false">IF($A19="","",IFERROR(VLOOKUP(B19,CHOOSE(MATCH(C19,Settings!$L$4:$L$10,0),OPR_2P!$A$4:$I$18,SEG_6P!$A$4:$I$18,SOL_4P!$A$4:$I$18,RW_2P!$A$4:$I$18,RW2_4P!$A$4:$I$18,FLAP_4P!$A$4:$I$18,TUBE_4P!$A$4:$I$18),2,0),0))</f>
        <v>100</v>
      </c>
      <c r="L19" s="4" t="n">
        <f aca="false">IF($A19="","",K19*D19)</f>
        <v>200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46227.6435185185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B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IF($A20="","",IFERROR(INDEX(Machine_List!$B$8:$B$13,MATCH("*"&amp;$B20&amp;"*",Machine_List!$J$8:$J$13,0)),"NO COMPATIBLE MACHINE"))</f>
        <v>SPM-MC-01</v>
      </c>
      <c r="F20" s="5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46285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IF($A20="","",IF($I20&lt;&gt;"",$I20,MAX(VTL_Plan!$M20,IFERROR(LOOKUP(2,1/($E$3:INDIRECT("E"&amp;(ROW()-1))=$E20),$M$3:INDIRECT("M"&amp;(ROW()-1))),VTL_Plan!$M20))))</f>
        <v>46227.6435185185</v>
      </c>
      <c r="K20" s="4" t="n">
        <f aca="false">IF($A20="","",IFERROR(VLOOKUP(B20,CHOOSE(MATCH(C20,Settings!$L$4:$L$10,0),OPR_2P!$A$4:$I$18,SEG_6P!$A$4:$I$18,SOL_4P!$A$4:$I$18,RW_2P!$A$4:$I$18,RW2_4P!$A$4:$I$18,FLAP_4P!$A$4:$I$18,TUBE_4P!$A$4:$I$18),2,0),0))</f>
        <v>33</v>
      </c>
      <c r="L20" s="4" t="n">
        <f aca="false">IF($A20="","",K20*D20)</f>
        <v>132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46233.7546296296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IF($A21="","",IFERROR(INDEX(Machine_List!$B$8:$B$13,MATCH("*"&amp;$B21&amp;"*",Machine_List!$J$8:$J$13,0)),"NO COMPATIBLE MACHINE"))</f>
        <v>SPM-MC-01</v>
      </c>
      <c r="F21" s="5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46285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IF($A21="","",IF($I21&lt;&gt;"",$I21,MAX(VTL_Plan!$M21,IFERROR(LOOKUP(2,1/($E$3:INDIRECT("E"&amp;(ROW()-1))=$E21),$M$3:INDIRECT("M"&amp;(ROW()-1))),VTL_Plan!$M21))))</f>
        <v>46233.7546296296</v>
      </c>
      <c r="K21" s="4" t="n">
        <f aca="false">IF($A21="","",IFERROR(VLOOKUP(B21,CHOOSE(MATCH(C21,Settings!$L$4:$L$10,0),OPR_2P!$A$4:$I$18,SEG_6P!$A$4:$I$18,SOL_4P!$A$4:$I$18,RW_2P!$A$4:$I$18,RW2_4P!$A$4:$I$18,FLAP_4P!$A$4:$I$18,TUBE_4P!$A$4:$I$18),2,0),0))</f>
        <v>115</v>
      </c>
      <c r="L21" s="4" t="n">
        <f aca="false">IF($A21="","",K21*D21)</f>
        <v>460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46255.0509259259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C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IF($A22="","",IFERROR(INDEX(Machine_List!$B$8:$B$13,MATCH("*"&amp;$B22&amp;"*",Machine_List!$J$8:$J$13,0)),"NO COMPATIBLE MACHINE"))</f>
        <v>SPM-MC-01</v>
      </c>
      <c r="F22" s="5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46285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IF($A22="","",IF($I22&lt;&gt;"",$I22,MAX(VTL_Plan!$M22,IFERROR(LOOKUP(2,1/($E$3:INDIRECT("E"&amp;(ROW()-1))=$E22),$M$3:INDIRECT("M"&amp;(ROW()-1))),VTL_Plan!$M22))))</f>
        <v>46255.0509259259</v>
      </c>
      <c r="K22" s="4" t="n">
        <f aca="false">IF($A22="","",IFERROR(VLOOKUP(B22,CHOOSE(MATCH(C22,Settings!$L$4:$L$10,0),OPR_2P!$A$4:$I$18,SEG_6P!$A$4:$I$18,SOL_4P!$A$4:$I$18,RW_2P!$A$4:$I$18,RW2_4P!$A$4:$I$18,FLAP_4P!$A$4:$I$18,TUBE_4P!$A$4:$I$18),2,0),0))</f>
        <v>59</v>
      </c>
      <c r="L22" s="4" t="n">
        <f aca="false">IF($A22="","",K22*D22)</f>
        <v>118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46260.5138888889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IF($A23="","",IFERROR(INDEX(Machine_List!$B$8:$B$13,MATCH("*"&amp;$B23&amp;"*",Machine_List!$J$8:$J$13,0)),"NO COMPATIBLE MACHINE"))</f>
        <v>SPM-MC-01</v>
      </c>
      <c r="F23" s="5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46285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IF($A23="","",IF($I23&lt;&gt;"",$I23,MAX(VTL_Plan!$M23,IFERROR(LOOKUP(2,1/($E$3:INDIRECT("E"&amp;(ROW()-1))=$E23),$M$3:INDIRECT("M"&amp;(ROW()-1))),VTL_Plan!$M23))))</f>
        <v>46260.5138888889</v>
      </c>
      <c r="K23" s="4" t="n">
        <f aca="false">IF($A23="","",IFERROR(VLOOKUP(B23,CHOOSE(MATCH(C23,Settings!$L$4:$L$10,0),OPR_2P!$A$4:$I$18,SEG_6P!$A$4:$I$18,SOL_4P!$A$4:$I$18,RW_2P!$A$4:$I$18,RW2_4P!$A$4:$I$18,FLAP_4P!$A$4:$I$18,TUBE_4P!$A$4:$I$18),2,0),0))</f>
        <v>8</v>
      </c>
      <c r="L23" s="4" t="n">
        <f aca="false">IF($A23="","",K23*D23)</f>
        <v>48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46262.7361111111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IF($A24="","",IFERROR(INDEX(Machine_List!$B$8:$B$13,MATCH("*"&amp;$B24&amp;"*",Machine_List!$J$8:$J$13,0)),"NO COMPATIBLE MACHINE"))</f>
        <v>SPM-MC-01</v>
      </c>
      <c r="F24" s="5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46285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IF($A24="","",IF($I24&lt;&gt;"",$I24,MAX(VTL_Plan!$M24,IFERROR(LOOKUP(2,1/($E$3:INDIRECT("E"&amp;(ROW()-1))=$E24),$M$3:INDIRECT("M"&amp;(ROW()-1))),VTL_Plan!$M24))))</f>
        <v>46262.7361111111</v>
      </c>
      <c r="K24" s="4" t="n">
        <f aca="false">IF($A24="","",IFERROR(VLOOKUP(B24,CHOOSE(MATCH(C24,Settings!$L$4:$L$10,0),OPR_2P!$A$4:$I$18,SEG_6P!$A$4:$I$18,SOL_4P!$A$4:$I$18,RW_2P!$A$4:$I$18,RW2_4P!$A$4:$I$18,FLAP_4P!$A$4:$I$18,TUBE_4P!$A$4:$I$18),2,0),0))</f>
        <v>108</v>
      </c>
      <c r="L24" s="4" t="n">
        <f aca="false">IF($A24="","",K24*D24)</f>
        <v>216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46272.7361111111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IF($A25="","",IFERROR(INDEX(Machine_List!$B$8:$B$13,MATCH("*"&amp;$B25&amp;"*",Machine_List!$J$8:$J$13,0)),"NO COMPATIBLE MACHINE"))</f>
        <v>SPM-MC-01</v>
      </c>
      <c r="F25" s="5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46285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IF($A25="","",IF($I25&lt;&gt;"",$I25,MAX(VTL_Plan!$M25,IFERROR(LOOKUP(2,1/($E$3:INDIRECT("E"&amp;(ROW()-1))=$E25),$M$3:INDIRECT("M"&amp;(ROW()-1))),VTL_Plan!$M25))))</f>
        <v>46272.7361111111</v>
      </c>
      <c r="K25" s="4" t="n">
        <f aca="false">IF($A25="","",IFERROR(VLOOKUP(B25,CHOOSE(MATCH(C25,Settings!$L$4:$L$10,0),OPR_2P!$A$4:$I$18,SEG_6P!$A$4:$I$18,SOL_4P!$A$4:$I$18,RW_2P!$A$4:$I$18,RW2_4P!$A$4:$I$18,FLAP_4P!$A$4:$I$18,TUBE_4P!$A$4:$I$18),2,0),0))</f>
        <v>51</v>
      </c>
      <c r="L25" s="4" t="n">
        <f aca="false">IF($A25="","",K25*D25)</f>
        <v>102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46277.4583333333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A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IF($A26="","",IFERROR(INDEX(Machine_List!$B$8:$B$13,MATCH("*"&amp;$B26&amp;"*",Machine_List!$J$8:$J$13,0)),"NO COMPATIBLE MACHINE"))</f>
        <v>SPM-MC-01</v>
      </c>
      <c r="F26" s="5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46285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IF($A26="","",IF($I26&lt;&gt;"",$I26,MAX(VTL_Plan!$M26,IFERROR(LOOKUP(2,1/($E$3:INDIRECT("E"&amp;(ROW()-1))=$E26),$M$3:INDIRECT("M"&amp;(ROW()-1))),VTL_Plan!$M26))))</f>
        <v>46277.4583333333</v>
      </c>
      <c r="K26" s="4" t="n">
        <f aca="false">IF($A26="","",IFERROR(VLOOKUP(B26,CHOOSE(MATCH(C26,Settings!$L$4:$L$10,0),OPR_2P!$A$4:$I$18,SEG_6P!$A$4:$I$18,SOL_4P!$A$4:$I$18,RW_2P!$A$4:$I$18,RW2_4P!$A$4:$I$18,FLAP_4P!$A$4:$I$18,TUBE_4P!$A$4:$I$18),2,0),0))</f>
        <v>15</v>
      </c>
      <c r="L26" s="4" t="n">
        <f aca="false">IF($A26="","",K26*D26)</f>
        <v>30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46278.8472222222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IF($A27="","",IFERROR(INDEX(Machine_List!$B$8:$B$13,MATCH("*"&amp;$B27&amp;"*",Machine_List!$J$8:$J$13,0)),"NO COMPATIBLE MACHINE"))</f>
        <v>SPM-MC-01</v>
      </c>
      <c r="F27" s="5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46285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IF($A27="","",IF($I27&lt;&gt;"",$I27,MAX(VTL_Plan!$M27,IFERROR(LOOKUP(2,1/($E$3:INDIRECT("E"&amp;(ROW()-1))=$E27),$M$3:INDIRECT("M"&amp;(ROW()-1))),VTL_Plan!$M27))))</f>
        <v>46278.8472222222</v>
      </c>
      <c r="K27" s="4" t="n">
        <f aca="false">IF($A27="","",IFERROR(VLOOKUP(B27,CHOOSE(MATCH(C27,Settings!$L$4:$L$10,0),OPR_2P!$A$4:$I$18,SEG_6P!$A$4:$I$18,SOL_4P!$A$4:$I$18,RW_2P!$A$4:$I$18,RW2_4P!$A$4:$I$18,FLAP_4P!$A$4:$I$18,TUBE_4P!$A$4:$I$18),2,0),0))</f>
        <v>84</v>
      </c>
      <c r="L27" s="4" t="n">
        <f aca="false">IF($A27="","",K27*D27)</f>
        <v>336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46294.6805555556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IF($A28="","",IFERROR(INDEX(Machine_List!$B$8:$B$13,MATCH("*"&amp;$B28&amp;"*",Machine_List!$J$8:$J$13,0)),"NO COMPATIBLE MACHINE"))</f>
        <v>SPM-MC-01</v>
      </c>
      <c r="F28" s="5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46285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IF($A28="","",IF($I28&lt;&gt;"",$I28,MAX(VTL_Plan!$M28,IFERROR(LOOKUP(2,1/($E$3:INDIRECT("E"&amp;(ROW()-1))=$E28),$M$3:INDIRECT("M"&amp;(ROW()-1))),VTL_Plan!$M28))))</f>
        <v>46294.6805555556</v>
      </c>
      <c r="K28" s="4" t="n">
        <f aca="false">IF($A28="","",IFERROR(VLOOKUP(B28,CHOOSE(MATCH(C28,Settings!$L$4:$L$10,0),OPR_2P!$A$4:$I$18,SEG_6P!$A$4:$I$18,SOL_4P!$A$4:$I$18,RW_2P!$A$4:$I$18,RW2_4P!$A$4:$I$18,FLAP_4P!$A$4:$I$18,TUBE_4P!$A$4:$I$18),2,0),0))</f>
        <v>48</v>
      </c>
      <c r="L28" s="4" t="n">
        <f aca="false">IF($A28="","",K28*D28)</f>
        <v>96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46299.125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IF($A29="","",IFERROR(INDEX(Machine_List!$B$8:$B$13,MATCH("*"&amp;$B29&amp;"*",Machine_List!$J$8:$J$13,0)),"NO COMPATIBLE MACHINE"))</f>
        <v>SPM-MC-01</v>
      </c>
      <c r="F29" s="5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46285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IF($A29="","",IF($I29&lt;&gt;"",$I29,MAX(VTL_Plan!$M29,IFERROR(LOOKUP(2,1/($E$3:INDIRECT("E"&amp;(ROW()-1))=$E29),$M$3:INDIRECT("M"&amp;(ROW()-1))),VTL_Plan!$M29))))</f>
        <v>46299.125</v>
      </c>
      <c r="K29" s="4" t="n">
        <f aca="false">IF($A29="","",IFERROR(VLOOKUP(B29,CHOOSE(MATCH(C29,Settings!$L$4:$L$10,0),OPR_2P!$A$4:$I$18,SEG_6P!$A$4:$I$18,SOL_4P!$A$4:$I$18,RW_2P!$A$4:$I$18,RW2_4P!$A$4:$I$18,FLAP_4P!$A$4:$I$18,TUBE_4P!$A$4:$I$18),2,0),0))</f>
        <v>48</v>
      </c>
      <c r="L29" s="4" t="n">
        <f aca="false">IF($A29="","",K29*D29)</f>
        <v>96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46303.5694444444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IF($A30="","",IFERROR(INDEX(Machine_List!$B$8:$B$13,MATCH("*"&amp;$B30&amp;"*",Machine_List!$J$8:$J$13,0)),"NO COMPATIBLE MACHINE"))</f>
        <v>SPM-MC-01</v>
      </c>
      <c r="F30" s="5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46285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IF($A30="","",IF($I30&lt;&gt;"",$I30,MAX(VTL_Plan!$M30,IFERROR(LOOKUP(2,1/($E$3:INDIRECT("E"&amp;(ROW()-1))=$E30),$M$3:INDIRECT("M"&amp;(ROW()-1))),VTL_Plan!$M30))))</f>
        <v>46303.5694444444</v>
      </c>
      <c r="K30" s="4" t="n">
        <f aca="false">IF($A30="","",IFERROR(VLOOKUP(B30,CHOOSE(MATCH(C30,Settings!$L$4:$L$10,0),OPR_2P!$A$4:$I$18,SEG_6P!$A$4:$I$18,SOL_4P!$A$4:$I$18,RW_2P!$A$4:$I$18,RW2_4P!$A$4:$I$18,FLAP_4P!$A$4:$I$18,TUBE_4P!$A$4:$I$18),2,0),0))</f>
        <v>15</v>
      </c>
      <c r="L30" s="4" t="n">
        <f aca="false">IF($A30="","",K30*D30)</f>
        <v>30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46304.9583333333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IF($A31="","",IFERROR(INDEX(Machine_List!$B$8:$B$13,MATCH("*"&amp;$B31&amp;"*",Machine_List!$J$8:$J$13,0)),"NO COMPATIBLE MACHINE"))</f>
        <v>SPM-MC-01</v>
      </c>
      <c r="F31" s="5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46285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IF($A31="","",IF($I31&lt;&gt;"",$I31,MAX(VTL_Plan!$M31,IFERROR(LOOKUP(2,1/($E$3:INDIRECT("E"&amp;(ROW()-1))=$E31),$M$3:INDIRECT("M"&amp;(ROW()-1))),VTL_Plan!$M31))))</f>
        <v>46304.9583333333</v>
      </c>
      <c r="K31" s="4" t="n">
        <f aca="false">IF($A31="","",IFERROR(VLOOKUP(B31,CHOOSE(MATCH(C31,Settings!$L$4:$L$10,0),OPR_2P!$A$4:$I$18,SEG_6P!$A$4:$I$18,SOL_4P!$A$4:$I$18,RW_2P!$A$4:$I$18,RW2_4P!$A$4:$I$18,FLAP_4P!$A$4:$I$18,TUBE_4P!$A$4:$I$18),2,0),0))</f>
        <v>59</v>
      </c>
      <c r="L31" s="4" t="n">
        <f aca="false">IF($A31="","",K31*D31)</f>
        <v>118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46310.4212962963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IF($A32="","",IFERROR(INDEX(Machine_List!$B$8:$B$13,MATCH("*"&amp;$B32&amp;"*",Machine_List!$J$8:$J$13,0)),"NO COMPATIBLE MACHINE"))</f>
        <v>SPM-MC-01</v>
      </c>
      <c r="F32" s="5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46285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IF($A32="","",IF($I32&lt;&gt;"",$I32,MAX(VTL_Plan!$M32,IFERROR(LOOKUP(2,1/($E$3:INDIRECT("E"&amp;(ROW()-1))=$E32),$M$3:INDIRECT("M"&amp;(ROW()-1))),VTL_Plan!$M32))))</f>
        <v>46310.4212962963</v>
      </c>
      <c r="K32" s="4" t="n">
        <f aca="false">IF($A32="","",IFERROR(VLOOKUP(B32,CHOOSE(MATCH(C32,Settings!$L$4:$L$10,0),OPR_2P!$A$4:$I$18,SEG_6P!$A$4:$I$18,SOL_4P!$A$4:$I$18,RW_2P!$A$4:$I$18,RW2_4P!$A$4:$I$18,FLAP_4P!$A$4:$I$18,TUBE_4P!$A$4:$I$18),2,0),0))</f>
        <v>38</v>
      </c>
      <c r="L32" s="4" t="n">
        <f aca="false">IF($A32="","",K32*D32)</f>
        <v>228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46320.9768518519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IF($A33="","",IFERROR(INDEX(Machine_List!$B$8:$B$13,MATCH("*"&amp;$B33&amp;"*",Machine_List!$J$8:$J$13,0)),"NO COMPATIBLE MACHINE"))</f>
        <v>SPM-MC-01</v>
      </c>
      <c r="F33" s="5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46285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IF($A33="","",IF($I33&lt;&gt;"",$I33,MAX(VTL_Plan!$M33,IFERROR(LOOKUP(2,1/($E$3:INDIRECT("E"&amp;(ROW()-1))=$E33),$M$3:INDIRECT("M"&amp;(ROW()-1))),VTL_Plan!$M33))))</f>
        <v>46320.9768518519</v>
      </c>
      <c r="K33" s="4" t="n">
        <f aca="false">IF($A33="","",IFERROR(VLOOKUP(B33,CHOOSE(MATCH(C33,Settings!$L$4:$L$10,0),OPR_2P!$A$4:$I$18,SEG_6P!$A$4:$I$18,SOL_4P!$A$4:$I$18,RW_2P!$A$4:$I$18,RW2_4P!$A$4:$I$18,FLAP_4P!$A$4:$I$18,TUBE_4P!$A$4:$I$18),2,0),0))</f>
        <v>2</v>
      </c>
      <c r="L33" s="4" t="n">
        <f aca="false">IF($A33="","",K33*D33)</f>
        <v>4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46321.162037037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C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IF($A34="","",IFERROR(INDEX(Machine_List!$B$8:$B$13,MATCH("*"&amp;$B34&amp;"*",Machine_List!$J$8:$J$13,0)),"NO COMPATIBLE MACHINE"))</f>
        <v>SPM-MC-01</v>
      </c>
      <c r="F34" s="5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46285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IF($A34="","",IF($I34&lt;&gt;"",$I34,MAX(VTL_Plan!$M34,IFERROR(LOOKUP(2,1/($E$3:INDIRECT("E"&amp;(ROW()-1))=$E34),$M$3:INDIRECT("M"&amp;(ROW()-1))),VTL_Plan!$M34))))</f>
        <v>46321.162037037</v>
      </c>
      <c r="K34" s="4" t="n">
        <f aca="false">IF($A34="","",IFERROR(VLOOKUP(B34,CHOOSE(MATCH(C34,Settings!$L$4:$L$10,0),OPR_2P!$A$4:$I$18,SEG_6P!$A$4:$I$18,SOL_4P!$A$4:$I$18,RW_2P!$A$4:$I$18,RW2_4P!$A$4:$I$18,FLAP_4P!$A$4:$I$18,TUBE_4P!$A$4:$I$18),2,0),0))</f>
        <v>108</v>
      </c>
      <c r="L34" s="4" t="n">
        <f aca="false">IF($A34="","",K34*D34)</f>
        <v>216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46331.162037037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C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IF($A35="","",IFERROR(INDEX(Machine_List!$B$8:$B$13,MATCH("*"&amp;$B35&amp;"*",Machine_List!$J$8:$J$13,0)),"NO COMPATIBLE MACHINE"))</f>
        <v>SPM-MC-01</v>
      </c>
      <c r="F35" s="5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46285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IF($A35="","",IF($I35&lt;&gt;"",$I35,MAX(VTL_Plan!$M35,IFERROR(LOOKUP(2,1/($E$3:INDIRECT("E"&amp;(ROW()-1))=$E35),$M$3:INDIRECT("M"&amp;(ROW()-1))),VTL_Plan!$M35))))</f>
        <v>46331.162037037</v>
      </c>
      <c r="K35" s="4" t="n">
        <f aca="false">IF($A35="","",IFERROR(VLOOKUP(B35,CHOOSE(MATCH(C35,Settings!$L$4:$L$10,0),OPR_2P!$A$4:$I$18,SEG_6P!$A$4:$I$18,SOL_4P!$A$4:$I$18,RW_2P!$A$4:$I$18,RW2_4P!$A$4:$I$18,FLAP_4P!$A$4:$I$18,TUBE_4P!$A$4:$I$18),2,0),0))</f>
        <v>30</v>
      </c>
      <c r="L35" s="4" t="n">
        <f aca="false">IF($A35="","",K35*D35)</f>
        <v>60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46333.9398148148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B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IF($A36="","",IFERROR(INDEX(Machine_List!$B$8:$B$13,MATCH("*"&amp;$B36&amp;"*",Machine_List!$J$8:$J$13,0)),"NO COMPATIBLE MACHINE"))</f>
        <v>SPM-MC-01</v>
      </c>
      <c r="F36" s="5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46285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IF($A36="","",IF($I36&lt;&gt;"",$I36,MAX(VTL_Plan!$M36,IFERROR(LOOKUP(2,1/($E$3:INDIRECT("E"&amp;(ROW()-1))=$E36),$M$3:INDIRECT("M"&amp;(ROW()-1))),VTL_Plan!$M36))))</f>
        <v>46333.9398148148</v>
      </c>
      <c r="K36" s="4" t="n">
        <f aca="false">IF($A36="","",IFERROR(VLOOKUP(B36,CHOOSE(MATCH(C36,Settings!$L$4:$L$10,0),OPR_2P!$A$4:$I$18,SEG_6P!$A$4:$I$18,SOL_4P!$A$4:$I$18,RW_2P!$A$4:$I$18,RW2_4P!$A$4:$I$18,FLAP_4P!$A$4:$I$18,TUBE_4P!$A$4:$I$18),2,0),0))</f>
        <v>115</v>
      </c>
      <c r="L36" s="4" t="n">
        <f aca="false">IF($A36="","",K36*D36)</f>
        <v>230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46344.587962963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IF($A37="","",IFERROR(INDEX(Machine_List!$B$8:$B$13,MATCH("*"&amp;$B37&amp;"*",Machine_List!$J$8:$J$13,0)),"NO COMPATIBLE MACHINE"))</f>
        <v>SPM-MC-01</v>
      </c>
      <c r="F37" s="5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46285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IF($A37="","",IF($I37&lt;&gt;"",$I37,MAX(VTL_Plan!$M37,IFERROR(LOOKUP(2,1/($E$3:INDIRECT("E"&amp;(ROW()-1))=$E37),$M$3:INDIRECT("M"&amp;(ROW()-1))),VTL_Plan!$M37))))</f>
        <v>46344.587962963</v>
      </c>
      <c r="K37" s="4" t="n">
        <f aca="false">IF($A37="","",IFERROR(VLOOKUP(B37,CHOOSE(MATCH(C37,Settings!$L$4:$L$10,0),OPR_2P!$A$4:$I$18,SEG_6P!$A$4:$I$18,SOL_4P!$A$4:$I$18,RW_2P!$A$4:$I$18,RW2_4P!$A$4:$I$18,FLAP_4P!$A$4:$I$18,TUBE_4P!$A$4:$I$18),2,0),0))</f>
        <v>15</v>
      </c>
      <c r="L37" s="4" t="n">
        <f aca="false">IF($A37="","",K37*D37)</f>
        <v>30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46345.9768518519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IF($A38="","",IFERROR(INDEX(Machine_List!$B$8:$B$13,MATCH("*"&amp;$B38&amp;"*",Machine_List!$J$8:$J$13,0)),"NO COMPATIBLE MACHINE"))</f>
        <v>SPM-MC-01</v>
      </c>
      <c r="F38" s="5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46285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IF($A38="","",IF($I38&lt;&gt;"",$I38,MAX(VTL_Plan!$M38,IFERROR(LOOKUP(2,1/($E$3:INDIRECT("E"&amp;(ROW()-1))=$E38),$M$3:INDIRECT("M"&amp;(ROW()-1))),VTL_Plan!$M38))))</f>
        <v>46345.9768518519</v>
      </c>
      <c r="K38" s="4" t="n">
        <f aca="false">IF($A38="","",IFERROR(VLOOKUP(B38,CHOOSE(MATCH(C38,Settings!$L$4:$L$10,0),OPR_2P!$A$4:$I$18,SEG_6P!$A$4:$I$18,SOL_4P!$A$4:$I$18,RW_2P!$A$4:$I$18,RW2_4P!$A$4:$I$18,FLAP_4P!$A$4:$I$18,TUBE_4P!$A$4:$I$18),2,0),0))</f>
        <v>38</v>
      </c>
      <c r="L38" s="4" t="n">
        <f aca="false">IF($A38="","",K38*D38)</f>
        <v>76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46349.4953703704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A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IF($A39="","",IFERROR(INDEX(Machine_List!$B$8:$B$13,MATCH("*"&amp;$B39&amp;"*",Machine_List!$J$8:$J$13,0)),"NO COMPATIBLE MACHINE"))</f>
        <v>SPM-MC-01</v>
      </c>
      <c r="F39" s="5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46285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IF($A39="","",IF($I39&lt;&gt;"",$I39,MAX(VTL_Plan!$M39,IFERROR(LOOKUP(2,1/($E$3:INDIRECT("E"&amp;(ROW()-1))=$E39),$M$3:INDIRECT("M"&amp;(ROW()-1))),VTL_Plan!$M39))))</f>
        <v>46349.4953703704</v>
      </c>
      <c r="K39" s="4" t="n">
        <f aca="false">IF($A39="","",IFERROR(VLOOKUP(B39,CHOOSE(MATCH(C39,Settings!$L$4:$L$10,0),OPR_2P!$A$4:$I$18,SEG_6P!$A$4:$I$18,SOL_4P!$A$4:$I$18,RW_2P!$A$4:$I$18,RW2_4P!$A$4:$I$18,FLAP_4P!$A$4:$I$18,TUBE_4P!$A$4:$I$18),2,0),0))</f>
        <v>99</v>
      </c>
      <c r="L39" s="4" t="n">
        <f aca="false">IF($A39="","",K39*D39)</f>
        <v>396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46367.8287037037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IF($A40="","",IFERROR(INDEX(Machine_List!$B$8:$B$13,MATCH("*"&amp;$B40&amp;"*",Machine_List!$J$8:$J$13,0)),"NO COMPATIBLE MACHINE"))</f>
        <v>SPM-MC-01</v>
      </c>
      <c r="F40" s="5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46285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IF($A40="","",IF($I40&lt;&gt;"",$I40,MAX(VTL_Plan!$M40,IFERROR(LOOKUP(2,1/($E$3:INDIRECT("E"&amp;(ROW()-1))=$E40),$M$3:INDIRECT("M"&amp;(ROW()-1))),VTL_Plan!$M40))))</f>
        <v>46367.8287037037</v>
      </c>
      <c r="K40" s="4" t="n">
        <f aca="false">IF($A40="","",IFERROR(VLOOKUP(B40,CHOOSE(MATCH(C40,Settings!$L$4:$L$10,0),OPR_2P!$A$4:$I$18,SEG_6P!$A$4:$I$18,SOL_4P!$A$4:$I$18,RW_2P!$A$4:$I$18,RW2_4P!$A$4:$I$18,FLAP_4P!$A$4:$I$18,TUBE_4P!$A$4:$I$18),2,0),0))</f>
        <v>32</v>
      </c>
      <c r="L40" s="4" t="n">
        <f aca="false">IF($A40="","",K40*D40)</f>
        <v>64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46370.7916666667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IF($A41="","",IFERROR(INDEX(Machine_List!$B$8:$B$13,MATCH("*"&amp;$B41&amp;"*",Machine_List!$J$8:$J$13,0)),"NO COMPATIBLE MACHINE"))</f>
        <v>SPM-MC-01</v>
      </c>
      <c r="F41" s="5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46285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IF($A41="","",IF($I41&lt;&gt;"",$I41,MAX(VTL_Plan!$M41,IFERROR(LOOKUP(2,1/($E$3:INDIRECT("E"&amp;(ROW()-1))=$E41),$M$3:INDIRECT("M"&amp;(ROW()-1))),VTL_Plan!$M41))))</f>
        <v>46370.7916666667</v>
      </c>
      <c r="K41" s="4" t="n">
        <f aca="false">IF($A41="","",IFERROR(VLOOKUP(B41,CHOOSE(MATCH(C41,Settings!$L$4:$L$10,0),OPR_2P!$A$4:$I$18,SEG_6P!$A$4:$I$18,SOL_4P!$A$4:$I$18,RW_2P!$A$4:$I$18,RW2_4P!$A$4:$I$18,FLAP_4P!$A$4:$I$18,TUBE_4P!$A$4:$I$18),2,0),0))</f>
        <v>56</v>
      </c>
      <c r="L41" s="4" t="n">
        <f aca="false">IF($A41="","",K41*D41)</f>
        <v>112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46375.9768518519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IF($A42="","",IFERROR(INDEX(Machine_List!$B$8:$B$13,MATCH("*"&amp;$B42&amp;"*",Machine_List!$J$8:$J$13,0)),"NO COMPATIBLE MACHINE"))</f>
        <v>SPM-MC-01</v>
      </c>
      <c r="F42" s="5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46285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IF($A42="","",IF($I42&lt;&gt;"",$I42,MAX(VTL_Plan!$M42,IFERROR(LOOKUP(2,1/($E$3:INDIRECT("E"&amp;(ROW()-1))=$E42),$M$3:INDIRECT("M"&amp;(ROW()-1))),VTL_Plan!$M42))))</f>
        <v>46375.9768518519</v>
      </c>
      <c r="K42" s="4" t="n">
        <f aca="false">IF($A42="","",IFERROR(VLOOKUP(B42,CHOOSE(MATCH(C42,Settings!$L$4:$L$10,0),OPR_2P!$A$4:$I$18,SEG_6P!$A$4:$I$18,SOL_4P!$A$4:$I$18,RW_2P!$A$4:$I$18,RW2_4P!$A$4:$I$18,FLAP_4P!$A$4:$I$18,TUBE_4P!$A$4:$I$18),2,0),0))</f>
        <v>78</v>
      </c>
      <c r="L42" s="4" t="n">
        <f aca="false">IF($A42="","",K42*D42)</f>
        <v>156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46383.1990740741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IF($A43="","",IFERROR(INDEX(Machine_List!$B$8:$B$13,MATCH("*"&amp;$B43&amp;"*",Machine_List!$J$8:$J$13,0)),"NO COMPATIBLE MACHINE"))</f>
        <v>SPM-MC-01</v>
      </c>
      <c r="F43" s="5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46285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IF($A43="","",IF($I43&lt;&gt;"",$I43,MAX(VTL_Plan!$M43,IFERROR(LOOKUP(2,1/($E$3:INDIRECT("E"&amp;(ROW()-1))=$E43),$M$3:INDIRECT("M"&amp;(ROW()-1))),VTL_Plan!$M43))))</f>
        <v>46383.1990740741</v>
      </c>
      <c r="K43" s="4" t="n">
        <f aca="false">IF($A43="","",IFERROR(VLOOKUP(B43,CHOOSE(MATCH(C43,Settings!$L$4:$L$10,0),OPR_2P!$A$4:$I$18,SEG_6P!$A$4:$I$18,SOL_4P!$A$4:$I$18,RW_2P!$A$4:$I$18,RW2_4P!$A$4:$I$18,FLAP_4P!$A$4:$I$18,TUBE_4P!$A$4:$I$18),2,0),0))</f>
        <v>2</v>
      </c>
      <c r="L43" s="4" t="n">
        <f aca="false">IF($A43="","",K43*D43)</f>
        <v>4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46383.3842592593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A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IF($A44="","",IFERROR(INDEX(Machine_List!$B$8:$B$13,MATCH("*"&amp;$B44&amp;"*",Machine_List!$J$8:$J$13,0)),"NO COMPATIBLE MACHINE"))</f>
        <v>SPM-MC-01</v>
      </c>
      <c r="F44" s="5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46285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IF($A44="","",IF($I44&lt;&gt;"",$I44,MAX(VTL_Plan!$M44,IFERROR(LOOKUP(2,1/($E$3:INDIRECT("E"&amp;(ROW()-1))=$E44),$M$3:INDIRECT("M"&amp;(ROW()-1))),VTL_Plan!$M44))))</f>
        <v>46383.3842592593</v>
      </c>
      <c r="K44" s="4" t="n">
        <f aca="false">IF($A44="","",IFERROR(VLOOKUP(B44,CHOOSE(MATCH(C44,Settings!$L$4:$L$10,0),OPR_2P!$A$4:$I$18,SEG_6P!$A$4:$I$18,SOL_4P!$A$4:$I$18,RW_2P!$A$4:$I$18,RW2_4P!$A$4:$I$18,FLAP_4P!$A$4:$I$18,TUBE_4P!$A$4:$I$18),2,0),0))</f>
        <v>104</v>
      </c>
      <c r="L44" s="4" t="n">
        <f aca="false">IF($A44="","",K44*D44)</f>
        <v>208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46393.0138888889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C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IF($A45="","",IFERROR(INDEX(Machine_List!$B$8:$B$13,MATCH("*"&amp;$B45&amp;"*",Machine_List!$J$8:$J$13,0)),"NO COMPATIBLE MACHINE"))</f>
        <v>SPM-MC-01</v>
      </c>
      <c r="F45" s="5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46285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IF($A45="","",IF($I45&lt;&gt;"",$I45,MAX(VTL_Plan!$M45,IFERROR(LOOKUP(2,1/($E$3:INDIRECT("E"&amp;(ROW()-1))=$E45),$M$3:INDIRECT("M"&amp;(ROW()-1))),VTL_Plan!$M45))))</f>
        <v>46393.0138888889</v>
      </c>
      <c r="K45" s="4" t="n">
        <f aca="false">IF($A45="","",IFERROR(VLOOKUP(B45,CHOOSE(MATCH(C45,Settings!$L$4:$L$10,0),OPR_2P!$A$4:$I$18,SEG_6P!$A$4:$I$18,SOL_4P!$A$4:$I$18,RW_2P!$A$4:$I$18,RW2_4P!$A$4:$I$18,FLAP_4P!$A$4:$I$18,TUBE_4P!$A$4:$I$18),2,0),0))</f>
        <v>32</v>
      </c>
      <c r="L45" s="4" t="n">
        <f aca="false">IF($A45="","",K45*D45)</f>
        <v>64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46395.9768518519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IF($A46="","",IFERROR(INDEX(Machine_List!$B$8:$B$13,MATCH("*"&amp;$B46&amp;"*",Machine_List!$J$8:$J$13,0)),"NO COMPATIBLE MACHINE"))</f>
        <v>SPM-MC-01</v>
      </c>
      <c r="F46" s="5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46285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IF($A46="","",IF($I46&lt;&gt;"",$I46,MAX(VTL_Plan!$M46,IFERROR(LOOKUP(2,1/($E$3:INDIRECT("E"&amp;(ROW()-1))=$E46),$M$3:INDIRECT("M"&amp;(ROW()-1))),VTL_Plan!$M46))))</f>
        <v>46395.9768518519</v>
      </c>
      <c r="K46" s="4" t="n">
        <f aca="false">IF($A46="","",IFERROR(VLOOKUP(B46,CHOOSE(MATCH(C46,Settings!$L$4:$L$10,0),OPR_2P!$A$4:$I$18,SEG_6P!$A$4:$I$18,SOL_4P!$A$4:$I$18,RW_2P!$A$4:$I$18,RW2_4P!$A$4:$I$18,FLAP_4P!$A$4:$I$18,TUBE_4P!$A$4:$I$18),2,0),0))</f>
        <v>15</v>
      </c>
      <c r="L46" s="4" t="n">
        <f aca="false">IF($A46="","",K46*D46)</f>
        <v>30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46397.3657407407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IF($A47="","",IFERROR(INDEX(Machine_List!$B$8:$B$13,MATCH("*"&amp;$B47&amp;"*",Machine_List!$J$8:$J$13,0)),"NO COMPATIBLE MACHINE"))</f>
        <v>SPM-MC-01</v>
      </c>
      <c r="F47" s="5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46285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IF($A47="","",IF($I47&lt;&gt;"",$I47,MAX(VTL_Plan!$M47,IFERROR(LOOKUP(2,1/($E$3:INDIRECT("E"&amp;(ROW()-1))=$E47),$M$3:INDIRECT("M"&amp;(ROW()-1))),VTL_Plan!$M47))))</f>
        <v>46397.3657407407</v>
      </c>
      <c r="K47" s="4" t="n">
        <f aca="false">IF($A47="","",IFERROR(VLOOKUP(B47,CHOOSE(MATCH(C47,Settings!$L$4:$L$10,0),OPR_2P!$A$4:$I$18,SEG_6P!$A$4:$I$18,SOL_4P!$A$4:$I$18,RW_2P!$A$4:$I$18,RW2_4P!$A$4:$I$18,FLAP_4P!$A$4:$I$18,TUBE_4P!$A$4:$I$18),2,0),0))</f>
        <v>99</v>
      </c>
      <c r="L47" s="4" t="n">
        <f aca="false">IF($A47="","",K47*D47)</f>
        <v>396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46415.6990740741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IF($A48="","",IFERROR(INDEX(Machine_List!$B$8:$B$13,MATCH("*"&amp;$B48&amp;"*",Machine_List!$J$8:$J$13,0)),"NO COMPATIBLE MACHINE"))</f>
        <v>SPM-MC-01</v>
      </c>
      <c r="F48" s="5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46285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IF($A48="","",IF($I48&lt;&gt;"",$I48,MAX(VTL_Plan!$M48,IFERROR(LOOKUP(2,1/($E$3:INDIRECT("E"&amp;(ROW()-1))=$E48),$M$3:INDIRECT("M"&amp;(ROW()-1))),VTL_Plan!$M48))))</f>
        <v>46415.6990740741</v>
      </c>
      <c r="K48" s="4" t="n">
        <f aca="false">IF($A48="","",IFERROR(VLOOKUP(B48,CHOOSE(MATCH(C48,Settings!$L$4:$L$10,0),OPR_2P!$A$4:$I$18,SEG_6P!$A$4:$I$18,SOL_4P!$A$4:$I$18,RW_2P!$A$4:$I$18,RW2_4P!$A$4:$I$18,FLAP_4P!$A$4:$I$18,TUBE_4P!$A$4:$I$18),2,0),0))</f>
        <v>2</v>
      </c>
      <c r="L48" s="4" t="n">
        <f aca="false">IF($A48="","",K48*D48)</f>
        <v>4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46415.8842592593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IF($A49="","",IFERROR(INDEX(Machine_List!$B$8:$B$13,MATCH("*"&amp;$B49&amp;"*",Machine_List!$J$8:$J$13,0)),"NO COMPATIBLE MACHINE"))</f>
        <v>SPM-MC-01</v>
      </c>
      <c r="F49" s="5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46285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IF($A49="","",IF($I49&lt;&gt;"",$I49,MAX(VTL_Plan!$M49,IFERROR(LOOKUP(2,1/($E$3:INDIRECT("E"&amp;(ROW()-1))=$E49),$M$3:INDIRECT("M"&amp;(ROW()-1))),VTL_Plan!$M49))))</f>
        <v>46415.8842592593</v>
      </c>
      <c r="K49" s="4" t="n">
        <f aca="false">IF($A49="","",IFERROR(VLOOKUP(B49,CHOOSE(MATCH(C49,Settings!$L$4:$L$10,0),OPR_2P!$A$4:$I$18,SEG_6P!$A$4:$I$18,SOL_4P!$A$4:$I$18,RW_2P!$A$4:$I$18,RW2_4P!$A$4:$I$18,FLAP_4P!$A$4:$I$18,TUBE_4P!$A$4:$I$18),2,0),0))</f>
        <v>65</v>
      </c>
      <c r="L49" s="4" t="n">
        <f aca="false">IF($A49="","",K49*D49)</f>
        <v>260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46427.9212962963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IF($A50="","",IFERROR(INDEX(Machine_List!$B$8:$B$13,MATCH("*"&amp;$B50&amp;"*",Machine_List!$J$8:$J$13,0)),"NO COMPATIBLE MACHINE"))</f>
        <v>SPM-MC-01</v>
      </c>
      <c r="F50" s="5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46285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IF($A50="","",IF($I50&lt;&gt;"",$I50,MAX(VTL_Plan!$M50,IFERROR(LOOKUP(2,1/($E$3:INDIRECT("E"&amp;(ROW()-1))=$E50),$M$3:INDIRECT("M"&amp;(ROW()-1))),VTL_Plan!$M50))))</f>
        <v>46427.9212962963</v>
      </c>
      <c r="K50" s="4" t="n">
        <f aca="false">IF($A50="","",IFERROR(VLOOKUP(B50,CHOOSE(MATCH(C50,Settings!$L$4:$L$10,0),OPR_2P!$A$4:$I$18,SEG_6P!$A$4:$I$18,SOL_4P!$A$4:$I$18,RW_2P!$A$4:$I$18,RW2_4P!$A$4:$I$18,FLAP_4P!$A$4:$I$18,TUBE_4P!$A$4:$I$18),2,0),0))</f>
        <v>65</v>
      </c>
      <c r="L50" s="4" t="n">
        <f aca="false">IF($A50="","",K50*D50)</f>
        <v>260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46439.9583333333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IF($A51="","",IFERROR(INDEX(Machine_List!$B$8:$B$13,MATCH("*"&amp;$B51&amp;"*",Machine_List!$J$8:$J$13,0)),"NO COMPATIBLE MACHINE"))</f>
        <v>SPM-MC-01</v>
      </c>
      <c r="F51" s="5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46285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IF($A51="","",IF($I51&lt;&gt;"",$I51,MAX(VTL_Plan!$M51,IFERROR(LOOKUP(2,1/($E$3:INDIRECT("E"&amp;(ROW()-1))=$E51),$M$3:INDIRECT("M"&amp;(ROW()-1))),VTL_Plan!$M51))))</f>
        <v>46439.9583333333</v>
      </c>
      <c r="K51" s="4" t="n">
        <f aca="false">IF($A51="","",IFERROR(VLOOKUP(B51,CHOOSE(MATCH(C51,Settings!$L$4:$L$10,0),OPR_2P!$A$4:$I$18,SEG_6P!$A$4:$I$18,SOL_4P!$A$4:$I$18,RW_2P!$A$4:$I$18,RW2_4P!$A$4:$I$18,FLAP_4P!$A$4:$I$18,TUBE_4P!$A$4:$I$18),2,0),0))</f>
        <v>27</v>
      </c>
      <c r="L51" s="4" t="n">
        <f aca="false">IF($A51="","",K51*D51)</f>
        <v>108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46444.9583333333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C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IF($A52="","",IFERROR(INDEX(Machine_List!$B$8:$B$13,MATCH("*"&amp;$B52&amp;"*",Machine_List!$J$8:$J$13,0)),"NO COMPATIBLE MACHINE"))</f>
        <v>SPM-MC-01</v>
      </c>
      <c r="F52" s="5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46285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IF($A52="","",IF($I52&lt;&gt;"",$I52,MAX(VTL_Plan!$M52,IFERROR(LOOKUP(2,1/($E$3:INDIRECT("E"&amp;(ROW()-1))=$E52),$M$3:INDIRECT("M"&amp;(ROW()-1))),VTL_Plan!$M52))))</f>
        <v>46444.9583333333</v>
      </c>
      <c r="K52" s="4" t="n">
        <f aca="false">IF($A52="","",IFERROR(VLOOKUP(B52,CHOOSE(MATCH(C52,Settings!$L$4:$L$10,0),OPR_2P!$A$4:$I$18,SEG_6P!$A$4:$I$18,SOL_4P!$A$4:$I$18,RW_2P!$A$4:$I$18,RW2_4P!$A$4:$I$18,FLAP_4P!$A$4:$I$18,TUBE_4P!$A$4:$I$18),2,0),0))</f>
        <v>50</v>
      </c>
      <c r="L52" s="4" t="n">
        <f aca="false">IF($A52="","",K52*D52)</f>
        <v>100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46449.587962963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IF($A53="","",IFERROR(INDEX(Machine_List!$B$8:$B$13,MATCH("*"&amp;$B53&amp;"*",Machine_List!$J$8:$J$13,0)),"NO COMPATIBLE MACHINE"))</f>
        <v>SPM-MC-01</v>
      </c>
      <c r="F53" s="5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46285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IF($A53="","",IF($I53&lt;&gt;"",$I53,MAX(VTL_Plan!$M53,IFERROR(LOOKUP(2,1/($E$3:INDIRECT("E"&amp;(ROW()-1))=$E53),$M$3:INDIRECT("M"&amp;(ROW()-1))),VTL_Plan!$M53))))</f>
        <v>46449.587962963</v>
      </c>
      <c r="K53" s="4" t="n">
        <f aca="false">IF($A53="","",IFERROR(VLOOKUP(B53,CHOOSE(MATCH(C53,Settings!$L$4:$L$10,0),OPR_2P!$A$4:$I$18,SEG_6P!$A$4:$I$18,SOL_4P!$A$4:$I$18,RW_2P!$A$4:$I$18,RW2_4P!$A$4:$I$18,FLAP_4P!$A$4:$I$18,TUBE_4P!$A$4:$I$18),2,0),0))</f>
        <v>13</v>
      </c>
      <c r="L53" s="4" t="n">
        <f aca="false">IF($A53="","",K53*D53)</f>
        <v>52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46451.9953703704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IF($A54="","",IFERROR(INDEX(Machine_List!$B$8:$B$13,MATCH("*"&amp;$B54&amp;"*",Machine_List!$J$8:$J$13,0)),"NO COMPATIBLE MACHINE"))</f>
        <v>SPM-MC-01</v>
      </c>
      <c r="F54" s="5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46285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IF($A54="","",IF($I54&lt;&gt;"",$I54,MAX(VTL_Plan!$M54,IFERROR(LOOKUP(2,1/($E$3:INDIRECT("E"&amp;(ROW()-1))=$E54),$M$3:INDIRECT("M"&amp;(ROW()-1))),VTL_Plan!$M54))))</f>
        <v>46451.9953703704</v>
      </c>
      <c r="K54" s="4" t="n">
        <f aca="false">IF($A54="","",IFERROR(VLOOKUP(B54,CHOOSE(MATCH(C54,Settings!$L$4:$L$10,0),OPR_2P!$A$4:$I$18,SEG_6P!$A$4:$I$18,SOL_4P!$A$4:$I$18,RW_2P!$A$4:$I$18,RW2_4P!$A$4:$I$18,FLAP_4P!$A$4:$I$18,TUBE_4P!$A$4:$I$18),2,0),0))</f>
        <v>30</v>
      </c>
      <c r="L54" s="4" t="n">
        <f aca="false">IF($A54="","",K54*D54)</f>
        <v>60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46454.7731481481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IF($A55="","",IFERROR(INDEX(Machine_List!$B$8:$B$13,MATCH("*"&amp;$B55&amp;"*",Machine_List!$J$8:$J$13,0)),"NO COMPATIBLE MACHINE"))</f>
        <v>SPM-MC-01</v>
      </c>
      <c r="F55" s="5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46285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IF($A55="","",IF($I55&lt;&gt;"",$I55,MAX(VTL_Plan!$M55,IFERROR(LOOKUP(2,1/($E$3:INDIRECT("E"&amp;(ROW()-1))=$E55),$M$3:INDIRECT("M"&amp;(ROW()-1))),VTL_Plan!$M55))))</f>
        <v>46454.7731481481</v>
      </c>
      <c r="K55" s="4" t="n">
        <f aca="false">IF($A55="","",IFERROR(VLOOKUP(B55,CHOOSE(MATCH(C55,Settings!$L$4:$L$10,0),OPR_2P!$A$4:$I$18,SEG_6P!$A$4:$I$18,SOL_4P!$A$4:$I$18,RW_2P!$A$4:$I$18,RW2_4P!$A$4:$I$18,FLAP_4P!$A$4:$I$18,TUBE_4P!$A$4:$I$18),2,0),0))</f>
        <v>36</v>
      </c>
      <c r="L55" s="4" t="n">
        <f aca="false">IF($A55="","",K55*D55)</f>
        <v>72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46458.1064814815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IF($A56="","",IFERROR(INDEX(Machine_List!$B$8:$B$13,MATCH("*"&amp;$B56&amp;"*",Machine_List!$J$8:$J$13,0)),"NO COMPATIBLE MACHINE"))</f>
        <v>SPM-MC-01</v>
      </c>
      <c r="F56" s="5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46285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IF($A56="","",IF($I56&lt;&gt;"",$I56,MAX(VTL_Plan!$M56,IFERROR(LOOKUP(2,1/($E$3:INDIRECT("E"&amp;(ROW()-1))=$E56),$M$3:INDIRECT("M"&amp;(ROW()-1))),VTL_Plan!$M56))))</f>
        <v>46458.1064814815</v>
      </c>
      <c r="K56" s="4" t="n">
        <f aca="false">IF($A56="","",IFERROR(VLOOKUP(B56,CHOOSE(MATCH(C56,Settings!$L$4:$L$10,0),OPR_2P!$A$4:$I$18,SEG_6P!$A$4:$I$18,SOL_4P!$A$4:$I$18,RW_2P!$A$4:$I$18,RW2_4P!$A$4:$I$18,FLAP_4P!$A$4:$I$18,TUBE_4P!$A$4:$I$18),2,0),0))</f>
        <v>19</v>
      </c>
      <c r="L56" s="4" t="n">
        <f aca="false">IF($A56="","",K56*D56)</f>
        <v>38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46459.8657407407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B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IF($A57="","",IFERROR(INDEX(Machine_List!$B$8:$B$13,MATCH("*"&amp;$B57&amp;"*",Machine_List!$J$8:$J$13,0)),"NO COMPATIBLE MACHINE"))</f>
        <v>SPM-MC-01</v>
      </c>
      <c r="F57" s="5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46285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IF($A57="","",IF($I57&lt;&gt;"",$I57,MAX(VTL_Plan!$M57,IFERROR(LOOKUP(2,1/($E$3:INDIRECT("E"&amp;(ROW()-1))=$E57),$M$3:INDIRECT("M"&amp;(ROW()-1))),VTL_Plan!$M57))))</f>
        <v>46459.8657407407</v>
      </c>
      <c r="K57" s="4" t="n">
        <f aca="false">IF($A57="","",IFERROR(VLOOKUP(B57,CHOOSE(MATCH(C57,Settings!$L$4:$L$10,0),OPR_2P!$A$4:$I$18,SEG_6P!$A$4:$I$18,SOL_4P!$A$4:$I$18,RW_2P!$A$4:$I$18,RW2_4P!$A$4:$I$18,FLAP_4P!$A$4:$I$18,TUBE_4P!$A$4:$I$18),2,0),0))</f>
        <v>49</v>
      </c>
      <c r="L57" s="4" t="n">
        <f aca="false">IF($A57="","",K57*D57)</f>
        <v>294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46473.4768518519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IF($A58="","",IFERROR(INDEX(Machine_List!$B$8:$B$13,MATCH("*"&amp;$B58&amp;"*",Machine_List!$J$8:$J$13,0)),"NO COMPATIBLE MACHINE"))</f>
        <v>SPM-MC-01</v>
      </c>
      <c r="F58" s="5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46285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IF($A58="","",IF($I58&lt;&gt;"",$I58,MAX(VTL_Plan!$M58,IFERROR(LOOKUP(2,1/($E$3:INDIRECT("E"&amp;(ROW()-1))=$E58),$M$3:INDIRECT("M"&amp;(ROW()-1))),VTL_Plan!$M58))))</f>
        <v>46473.4768518519</v>
      </c>
      <c r="K58" s="4" t="n">
        <f aca="false">IF($A58="","",IFERROR(VLOOKUP(B58,CHOOSE(MATCH(C58,Settings!$L$4:$L$10,0),OPR_2P!$A$4:$I$18,SEG_6P!$A$4:$I$18,SOL_4P!$A$4:$I$18,RW_2P!$A$4:$I$18,RW2_4P!$A$4:$I$18,FLAP_4P!$A$4:$I$18,TUBE_4P!$A$4:$I$18),2,0),0))</f>
        <v>50</v>
      </c>
      <c r="L58" s="4" t="n">
        <f aca="false">IF($A58="","",K58*D58)</f>
        <v>100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46478.1064814815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IF($A59="","",IFERROR(INDEX(Machine_List!$B$8:$B$13,MATCH("*"&amp;$B59&amp;"*",Machine_List!$J$8:$J$13,0)),"NO COMPATIBLE MACHINE"))</f>
        <v>SPM-MC-01</v>
      </c>
      <c r="F59" s="5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46285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IF($A59="","",IF($I59&lt;&gt;"",$I59,MAX(VTL_Plan!$M59,IFERROR(LOOKUP(2,1/($E$3:INDIRECT("E"&amp;(ROW()-1))=$E59),$M$3:INDIRECT("M"&amp;(ROW()-1))),VTL_Plan!$M59))))</f>
        <v>46478.1064814815</v>
      </c>
      <c r="K59" s="4" t="n">
        <f aca="false">IF($A59="","",IFERROR(VLOOKUP(B59,CHOOSE(MATCH(C59,Settings!$L$4:$L$10,0),OPR_2P!$A$4:$I$18,SEG_6P!$A$4:$I$18,SOL_4P!$A$4:$I$18,RW_2P!$A$4:$I$18,RW2_4P!$A$4:$I$18,FLAP_4P!$A$4:$I$18,TUBE_4P!$A$4:$I$18),2,0),0))</f>
        <v>100</v>
      </c>
      <c r="L59" s="4" t="n">
        <f aca="false">IF($A59="","",K59*D59)</f>
        <v>200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46487.3657407407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A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IF($A60="","",IFERROR(INDEX(Machine_List!$B$8:$B$13,MATCH("*"&amp;$B60&amp;"*",Machine_List!$J$8:$J$13,0)),"NO COMPATIBLE MACHINE"))</f>
        <v>SPM-MC-01</v>
      </c>
      <c r="F60" s="5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46285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IF($A60="","",IF($I60&lt;&gt;"",$I60,MAX(VTL_Plan!$M60,IFERROR(LOOKUP(2,1/($E$3:INDIRECT("E"&amp;(ROW()-1))=$E60),$M$3:INDIRECT("M"&amp;(ROW()-1))),VTL_Plan!$M60))))</f>
        <v>46487.3657407407</v>
      </c>
      <c r="K60" s="4" t="n">
        <f aca="false">IF($A60="","",IFERROR(VLOOKUP(B60,CHOOSE(MATCH(C60,Settings!$L$4:$L$10,0),OPR_2P!$A$4:$I$18,SEG_6P!$A$4:$I$18,SOL_4P!$A$4:$I$18,RW_2P!$A$4:$I$18,RW2_4P!$A$4:$I$18,FLAP_4P!$A$4:$I$18,TUBE_4P!$A$4:$I$18),2,0),0))</f>
        <v>89</v>
      </c>
      <c r="L60" s="4" t="n">
        <f aca="false">IF($A60="","",K60*D60)</f>
        <v>534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46512.087962963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C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IF($A61="","",IFERROR(INDEX(Machine_List!$B$8:$B$13,MATCH("*"&amp;$B61&amp;"*",Machine_List!$J$8:$J$13,0)),"NO COMPATIBLE MACHINE"))</f>
        <v>SPM-MC-01</v>
      </c>
      <c r="F61" s="5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46285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IF($A61="","",IF($I61&lt;&gt;"",$I61,MAX(VTL_Plan!$M61,IFERROR(LOOKUP(2,1/($E$3:INDIRECT("E"&amp;(ROW()-1))=$E61),$M$3:INDIRECT("M"&amp;(ROW()-1))),VTL_Plan!$M61))))</f>
        <v>46512.087962963</v>
      </c>
      <c r="K61" s="4" t="n">
        <f aca="false">IF($A61="","",IFERROR(VLOOKUP(B61,CHOOSE(MATCH(C61,Settings!$L$4:$L$10,0),OPR_2P!$A$4:$I$18,SEG_6P!$A$4:$I$18,SOL_4P!$A$4:$I$18,RW_2P!$A$4:$I$18,RW2_4P!$A$4:$I$18,FLAP_4P!$A$4:$I$18,TUBE_4P!$A$4:$I$18),2,0),0))</f>
        <v>78</v>
      </c>
      <c r="L61" s="4" t="n">
        <f aca="false">IF($A61="","",K61*D61)</f>
        <v>156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46519.3101851852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A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IF($A62="","",IFERROR(INDEX(Machine_List!$B$8:$B$13,MATCH("*"&amp;$B62&amp;"*",Machine_List!$J$8:$J$13,0)),"NO COMPATIBLE MACHINE"))</f>
        <v>SPM-MC-01</v>
      </c>
      <c r="F62" s="5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46285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IF($A62="","",IF($I62&lt;&gt;"",$I62,MAX(VTL_Plan!$M62,IFERROR(LOOKUP(2,1/($E$3:INDIRECT("E"&amp;(ROW()-1))=$E62),$M$3:INDIRECT("M"&amp;(ROW()-1))),VTL_Plan!$M62))))</f>
        <v>46519.3101851852</v>
      </c>
      <c r="K62" s="4" t="n">
        <f aca="false">IF($A62="","",IFERROR(VLOOKUP(B62,CHOOSE(MATCH(C62,Settings!$L$4:$L$10,0),OPR_2P!$A$4:$I$18,SEG_6P!$A$4:$I$18,SOL_4P!$A$4:$I$18,RW_2P!$A$4:$I$18,RW2_4P!$A$4:$I$18,FLAP_4P!$A$4:$I$18,TUBE_4P!$A$4:$I$18),2,0),0))</f>
        <v>8</v>
      </c>
      <c r="L62" s="4" t="n">
        <f aca="false">IF($A62="","",K62*D62)</f>
        <v>48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46521.5324074074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IF($A63="","",IFERROR(INDEX(Machine_List!$B$8:$B$13,MATCH("*"&amp;$B63&amp;"*",Machine_List!$J$8:$J$13,0)),"NO COMPATIBLE MACHINE"))</f>
        <v>SPM-MC-01</v>
      </c>
      <c r="F63" s="5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46285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IF($A63="","",IF($I63&lt;&gt;"",$I63,MAX(VTL_Plan!$M63,IFERROR(LOOKUP(2,1/($E$3:INDIRECT("E"&amp;(ROW()-1))=$E63),$M$3:INDIRECT("M"&amp;(ROW()-1))),VTL_Plan!$M63))))</f>
        <v>46521.5324074074</v>
      </c>
      <c r="K63" s="4" t="n">
        <f aca="false">IF($A63="","",IFERROR(VLOOKUP(B63,CHOOSE(MATCH(C63,Settings!$L$4:$L$10,0),OPR_2P!$A$4:$I$18,SEG_6P!$A$4:$I$18,SOL_4P!$A$4:$I$18,RW_2P!$A$4:$I$18,RW2_4P!$A$4:$I$18,FLAP_4P!$A$4:$I$18,TUBE_4P!$A$4:$I$18),2,0),0))</f>
        <v>35</v>
      </c>
      <c r="L63" s="4" t="n">
        <f aca="false">IF($A63="","",K63*D63)</f>
        <v>210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46531.2546296296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C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IF($A64="","",IFERROR(INDEX(Machine_List!$B$8:$B$13,MATCH("*"&amp;$B64&amp;"*",Machine_List!$J$8:$J$13,0)),"NO COMPATIBLE MACHINE"))</f>
        <v>SPM-MC-01</v>
      </c>
      <c r="F64" s="5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46285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IF($A64="","",IF($I64&lt;&gt;"",$I64,MAX(VTL_Plan!$M64,IFERROR(LOOKUP(2,1/($E$3:INDIRECT("E"&amp;(ROW()-1))=$E64),$M$3:INDIRECT("M"&amp;(ROW()-1))),VTL_Plan!$M64))))</f>
        <v>46531.2546296296</v>
      </c>
      <c r="K64" s="4" t="n">
        <f aca="false">IF($A64="","",IFERROR(VLOOKUP(B64,CHOOSE(MATCH(C64,Settings!$L$4:$L$10,0),OPR_2P!$A$4:$I$18,SEG_6P!$A$4:$I$18,SOL_4P!$A$4:$I$18,RW_2P!$A$4:$I$18,RW2_4P!$A$4:$I$18,FLAP_4P!$A$4:$I$18,TUBE_4P!$A$4:$I$18),2,0),0))</f>
        <v>6</v>
      </c>
      <c r="L64" s="4" t="n">
        <f aca="false">IF($A64="","",K64*D64)</f>
        <v>12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46531.8101851852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IF($A65="","",IFERROR(INDEX(Machine_List!$B$8:$B$13,MATCH("*"&amp;$B65&amp;"*",Machine_List!$J$8:$J$13,0)),"NO COMPATIBLE MACHINE"))</f>
        <v>SPM-MC-01</v>
      </c>
      <c r="F65" s="5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46285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IF($A65="","",IF($I65&lt;&gt;"",$I65,MAX(VTL_Plan!$M65,IFERROR(LOOKUP(2,1/($E$3:INDIRECT("E"&amp;(ROW()-1))=$E65),$M$3:INDIRECT("M"&amp;(ROW()-1))),VTL_Plan!$M65))))</f>
        <v>46531.8101851852</v>
      </c>
      <c r="K65" s="4" t="n">
        <f aca="false">IF($A65="","",IFERROR(VLOOKUP(B65,CHOOSE(MATCH(C65,Settings!$L$4:$L$10,0),OPR_2P!$A$4:$I$18,SEG_6P!$A$4:$I$18,SOL_4P!$A$4:$I$18,RW_2P!$A$4:$I$18,RW2_4P!$A$4:$I$18,FLAP_4P!$A$4:$I$18,TUBE_4P!$A$4:$I$18),2,0),0))</f>
        <v>133</v>
      </c>
      <c r="L65" s="4" t="n">
        <f aca="false">IF($A65="","",K65*D65)</f>
        <v>532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46556.4398148148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IF($A66="","",IFERROR(INDEX(Machine_List!$B$8:$B$13,MATCH("*"&amp;$B66&amp;"*",Machine_List!$J$8:$J$13,0)),"NO COMPATIBLE MACHINE"))</f>
        <v>SPM-MC-01</v>
      </c>
      <c r="F66" s="5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46285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IF($A66="","",IF($I66&lt;&gt;"",$I66,MAX(VTL_Plan!$M66,IFERROR(LOOKUP(2,1/($E$3:INDIRECT("E"&amp;(ROW()-1))=$E66),$M$3:INDIRECT("M"&amp;(ROW()-1))),VTL_Plan!$M66))))</f>
        <v>46556.4398148148</v>
      </c>
      <c r="K66" s="4" t="n">
        <f aca="false">IF($A66="","",IFERROR(VLOOKUP(B66,CHOOSE(MATCH(C66,Settings!$L$4:$L$10,0),OPR_2P!$A$4:$I$18,SEG_6P!$A$4:$I$18,SOL_4P!$A$4:$I$18,RW_2P!$A$4:$I$18,RW2_4P!$A$4:$I$18,FLAP_4P!$A$4:$I$18,TUBE_4P!$A$4:$I$18),2,0),0))</f>
        <v>54</v>
      </c>
      <c r="L66" s="4" t="n">
        <f aca="false">IF($A66="","",K66*D66)</f>
        <v>216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46566.4398148148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IF($A67="","",IFERROR(INDEX(Machine_List!$B$8:$B$13,MATCH("*"&amp;$B67&amp;"*",Machine_List!$J$8:$J$13,0)),"NO COMPATIBLE MACHINE"))</f>
        <v>SPM-MC-01</v>
      </c>
      <c r="F67" s="5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46285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IF($A67="","",IF($I67&lt;&gt;"",$I67,MAX(VTL_Plan!$M67,IFERROR(LOOKUP(2,1/($E$3:INDIRECT("E"&amp;(ROW()-1))=$E67),$M$3:INDIRECT("M"&amp;(ROW()-1))),VTL_Plan!$M67))))</f>
        <v>46566.4398148148</v>
      </c>
      <c r="K67" s="4" t="n">
        <f aca="false">IF($A67="","",IFERROR(VLOOKUP(B67,CHOOSE(MATCH(C67,Settings!$L$4:$L$10,0),OPR_2P!$A$4:$I$18,SEG_6P!$A$4:$I$18,SOL_4P!$A$4:$I$18,RW_2P!$A$4:$I$18,RW2_4P!$A$4:$I$18,FLAP_4P!$A$4:$I$18,TUBE_4P!$A$4:$I$18),2,0),0))</f>
        <v>31</v>
      </c>
      <c r="L67" s="4" t="n">
        <f aca="false">IF($A67="","",K67*D67)</f>
        <v>62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46569.3101851852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IF($A68="","",IFERROR(INDEX(Machine_List!$B$8:$B$13,MATCH("*"&amp;$B68&amp;"*",Machine_List!$J$8:$J$13,0)),"NO COMPATIBLE MACHINE"))</f>
        <v>SPM-MC-01</v>
      </c>
      <c r="F68" s="5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46285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IF($A68="","",IF($I68&lt;&gt;"",$I68,MAX(VTL_Plan!$M68,IFERROR(LOOKUP(2,1/($E$3:INDIRECT("E"&amp;(ROW()-1))=$E68),$M$3:INDIRECT("M"&amp;(ROW()-1))),VTL_Plan!$M68))))</f>
        <v>46569.3101851852</v>
      </c>
      <c r="K68" s="4" t="n">
        <f aca="false">IF($A68="","",IFERROR(VLOOKUP(B68,CHOOSE(MATCH(C68,Settings!$L$4:$L$10,0),OPR_2P!$A$4:$I$18,SEG_6P!$A$4:$I$18,SOL_4P!$A$4:$I$18,RW_2P!$A$4:$I$18,RW2_4P!$A$4:$I$18,FLAP_4P!$A$4:$I$18,TUBE_4P!$A$4:$I$18),2,0),0))</f>
        <v>17</v>
      </c>
      <c r="L68" s="4" t="n">
        <f aca="false">IF($A68="","",K68*D68)</f>
        <v>34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46570.8842592593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IF($A69="","",IFERROR(INDEX(Machine_List!$B$8:$B$13,MATCH("*"&amp;$B69&amp;"*",Machine_List!$J$8:$J$13,0)),"NO COMPATIBLE MACHINE"))</f>
        <v>SPM-MC-01</v>
      </c>
      <c r="F69" s="5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46285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IF($A69="","",IF($I69&lt;&gt;"",$I69,MAX(VTL_Plan!$M69,IFERROR(LOOKUP(2,1/($E$3:INDIRECT("E"&amp;(ROW()-1))=$E69),$M$3:INDIRECT("M"&amp;(ROW()-1))),VTL_Plan!$M69))))</f>
        <v>46570.8842592593</v>
      </c>
      <c r="K69" s="4" t="n">
        <f aca="false">IF($A69="","",IFERROR(VLOOKUP(B69,CHOOSE(MATCH(C69,Settings!$L$4:$L$10,0),OPR_2P!$A$4:$I$18,SEG_6P!$A$4:$I$18,SOL_4P!$A$4:$I$18,RW_2P!$A$4:$I$18,RW2_4P!$A$4:$I$18,FLAP_4P!$A$4:$I$18,TUBE_4P!$A$4:$I$18),2,0),0))</f>
        <v>100</v>
      </c>
      <c r="L69" s="4" t="n">
        <f aca="false">IF($A69="","",K69*D69)</f>
        <v>200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46580.1435185185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IF($A70="","",IFERROR(INDEX(Machine_List!$B$8:$B$13,MATCH("*"&amp;$B70&amp;"*",Machine_List!$J$8:$J$13,0)),"NO COMPATIBLE MACHINE"))</f>
        <v>SPM-MC-01</v>
      </c>
      <c r="F70" s="5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46285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IF($A70="","",IF($I70&lt;&gt;"",$I70,MAX(VTL_Plan!$M70,IFERROR(LOOKUP(2,1/($E$3:INDIRECT("E"&amp;(ROW()-1))=$E70),$M$3:INDIRECT("M"&amp;(ROW()-1))),VTL_Plan!$M70))))</f>
        <v>46580.1435185185</v>
      </c>
      <c r="K70" s="4" t="n">
        <f aca="false">IF($A70="","",IFERROR(VLOOKUP(B70,CHOOSE(MATCH(C70,Settings!$L$4:$L$10,0),OPR_2P!$A$4:$I$18,SEG_6P!$A$4:$I$18,SOL_4P!$A$4:$I$18,RW_2P!$A$4:$I$18,RW2_4P!$A$4:$I$18,FLAP_4P!$A$4:$I$18,TUBE_4P!$A$4:$I$18),2,0),0))</f>
        <v>99</v>
      </c>
      <c r="L70" s="4" t="n">
        <f aca="false">IF($A70="","",K70*D70)</f>
        <v>396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46598.4768518519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IF($A71="","",IFERROR(INDEX(Machine_List!$B$8:$B$13,MATCH("*"&amp;$B71&amp;"*",Machine_List!$J$8:$J$13,0)),"NO COMPATIBLE MACHINE"))</f>
        <v>SPM-MC-01</v>
      </c>
      <c r="F71" s="5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46285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IF($A71="","",IF($I71&lt;&gt;"",$I71,MAX(VTL_Plan!$M71,IFERROR(LOOKUP(2,1/($E$3:INDIRECT("E"&amp;(ROW()-1))=$E71),$M$3:INDIRECT("M"&amp;(ROW()-1))),VTL_Plan!$M71))))</f>
        <v>46598.4768518519</v>
      </c>
      <c r="K71" s="4" t="n">
        <f aca="false">IF($A71="","",IFERROR(VLOOKUP(B71,CHOOSE(MATCH(C71,Settings!$L$4:$L$10,0),OPR_2P!$A$4:$I$18,SEG_6P!$A$4:$I$18,SOL_4P!$A$4:$I$18,RW_2P!$A$4:$I$18,RW2_4P!$A$4:$I$18,FLAP_4P!$A$4:$I$18,TUBE_4P!$A$4:$I$18),2,0),0))</f>
        <v>13</v>
      </c>
      <c r="L71" s="4" t="n">
        <f aca="false">IF($A71="","",K71*D71)</f>
        <v>52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46600.8842592593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IF($A72="","",IFERROR(INDEX(Machine_List!$B$8:$B$13,MATCH("*"&amp;$B72&amp;"*",Machine_List!$J$8:$J$13,0)),"NO COMPATIBLE MACHINE"))</f>
        <v>SPM-MC-01</v>
      </c>
      <c r="F72" s="5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46285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IF($A72="","",IF($I72&lt;&gt;"",$I72,MAX(VTL_Plan!$M72,IFERROR(LOOKUP(2,1/($E$3:INDIRECT("E"&amp;(ROW()-1))=$E72),$M$3:INDIRECT("M"&amp;(ROW()-1))),VTL_Plan!$M72))))</f>
        <v>46600.8842592593</v>
      </c>
      <c r="K72" s="4" t="n">
        <f aca="false">IF($A72="","",IFERROR(VLOOKUP(B72,CHOOSE(MATCH(C72,Settings!$L$4:$L$10,0),OPR_2P!$A$4:$I$18,SEG_6P!$A$4:$I$18,SOL_4P!$A$4:$I$18,RW_2P!$A$4:$I$18,RW2_4P!$A$4:$I$18,FLAP_4P!$A$4:$I$18,TUBE_4P!$A$4:$I$18),2,0),0))</f>
        <v>20</v>
      </c>
      <c r="L72" s="4" t="n">
        <f aca="false">IF($A72="","",K72*D72)</f>
        <v>40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46602.7361111111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B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IF($A73="","",IFERROR(INDEX(Machine_List!$B$8:$B$13,MATCH("*"&amp;$B73&amp;"*",Machine_List!$J$8:$J$13,0)),"NO COMPATIBLE MACHINE"))</f>
        <v>SPM-MC-01</v>
      </c>
      <c r="F73" s="5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46285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IF($A73="","",IF($I73&lt;&gt;"",$I73,MAX(VTL_Plan!$M73,IFERROR(LOOKUP(2,1/($E$3:INDIRECT("E"&amp;(ROW()-1))=$E73),$M$3:INDIRECT("M"&amp;(ROW()-1))),VTL_Plan!$M73))))</f>
        <v>46602.7361111111</v>
      </c>
      <c r="K73" s="4" t="n">
        <f aca="false">IF($A73="","",IFERROR(VLOOKUP(B73,CHOOSE(MATCH(C73,Settings!$L$4:$L$10,0),OPR_2P!$A$4:$I$18,SEG_6P!$A$4:$I$18,SOL_4P!$A$4:$I$18,RW_2P!$A$4:$I$18,RW2_4P!$A$4:$I$18,FLAP_4P!$A$4:$I$18,TUBE_4P!$A$4:$I$18),2,0),0))</f>
        <v>19</v>
      </c>
      <c r="L73" s="4" t="n">
        <f aca="false">IF($A73="","",K73*D73)</f>
        <v>114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46608.0138888889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IF($A74="","",IFERROR(INDEX(Machine_List!$B$8:$B$13,MATCH("*"&amp;$B74&amp;"*",Machine_List!$J$8:$J$13,0)),"NO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IF($A74="","",IF($I74&lt;&gt;"",$I74,MAX(VTL_Plan!$M74,IFERROR(LOOKUP(2,1/($E$3:INDIRECT("E"&amp;(ROW()-1))=$E74),$M$3:INDIRECT("M"&amp;(ROW()-1))),VTL_Plan!$M74))))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IF($A74="","",IFERROR(VLOOKUP(B74,CHOOSE(MATCH(C74,Settings!$L$4:$L$10,0),OPR_2P!$A$4:$I$18,SEG_6P!$A$4:$I$18,SOL_4P!$A$4:$I$18,RW_2P!$A$4:$I$18,RW2_4P!$A$4:$I$18,FLAP_4P!$A$4:$I$18,TUBE_4P!$A$4:$I$18),2,0),0))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IF($A75="","",IFERROR(INDEX(Machine_List!$B$8:$B$13,MATCH("*"&amp;$B75&amp;"*",Machine_List!$J$8:$J$13,0)),"NO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IF($A75="","",IF($I75&lt;&gt;"",$I75,MAX(VTL_Plan!$M75,IFERROR(LOOKUP(2,1/($E$3:INDIRECT("E"&amp;(ROW()-1))=$E75),$M$3:INDIRECT("M"&amp;(ROW()-1))),VTL_Plan!$M75))))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IF($A75="","",IFERROR(VLOOKUP(B75,CHOOSE(MATCH(C75,Settings!$L$4:$L$10,0),OPR_2P!$A$4:$I$18,SEG_6P!$A$4:$I$18,SOL_4P!$A$4:$I$18,RW_2P!$A$4:$I$18,RW2_4P!$A$4:$I$18,FLAP_4P!$A$4:$I$18,TUBE_4P!$A$4:$I$18),2,0),0))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IF($A76="","",IFERROR(INDEX(Machine_List!$B$8:$B$13,MATCH("*"&amp;$B76&amp;"*",Machine_List!$J$8:$J$13,0)),"NO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IF($A76="","",IF($I76&lt;&gt;"",$I76,MAX(VTL_Plan!$M76,IFERROR(LOOKUP(2,1/($E$3:INDIRECT("E"&amp;(ROW()-1))=$E76),$M$3:INDIRECT("M"&amp;(ROW()-1))),VTL_Plan!$M76))))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IF($A76="","",IFERROR(VLOOKUP(B76,CHOOSE(MATCH(C76,Settings!$L$4:$L$10,0),OPR_2P!$A$4:$I$18,SEG_6P!$A$4:$I$18,SOL_4P!$A$4:$I$18,RW_2P!$A$4:$I$18,RW2_4P!$A$4:$I$18,FLAP_4P!$A$4:$I$18,TUBE_4P!$A$4:$I$18),2,0),0))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IF($A77="","",IFERROR(INDEX(Machine_List!$B$8:$B$13,MATCH("*"&amp;$B77&amp;"*",Machine_List!$J$8:$J$13,0)),"NO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IF($A77="","",IF($I77&lt;&gt;"",$I77,MAX(VTL_Plan!$M77,IFERROR(LOOKUP(2,1/($E$3:INDIRECT("E"&amp;(ROW()-1))=$E77),$M$3:INDIRECT("M"&amp;(ROW()-1))),VTL_Plan!$M77))))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IF($A77="","",IFERROR(VLOOKUP(B77,CHOOSE(MATCH(C77,Settings!$L$4:$L$10,0),OPR_2P!$A$4:$I$18,SEG_6P!$A$4:$I$18,SOL_4P!$A$4:$I$18,RW_2P!$A$4:$I$18,RW2_4P!$A$4:$I$18,FLAP_4P!$A$4:$I$18,TUBE_4P!$A$4:$I$18),2,0),0))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IF($A78="","",IFERROR(INDEX(Machine_List!$B$8:$B$13,MATCH("*"&amp;$B78&amp;"*",Machine_List!$J$8:$J$13,0)),"NO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IF($A78="","",IF($I78&lt;&gt;"",$I78,MAX(VTL_Plan!$M78,IFERROR(LOOKUP(2,1/($E$3:INDIRECT("E"&amp;(ROW()-1))=$E78),$M$3:INDIRECT("M"&amp;(ROW()-1))),VTL_Plan!$M78))))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IF($A78="","",IFERROR(VLOOKUP(B78,CHOOSE(MATCH(C78,Settings!$L$4:$L$10,0),OPR_2P!$A$4:$I$18,SEG_6P!$A$4:$I$18,SOL_4P!$A$4:$I$18,RW_2P!$A$4:$I$18,RW2_4P!$A$4:$I$18,FLAP_4P!$A$4:$I$18,TUBE_4P!$A$4:$I$18),2,0),0))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IF($A79="","",IFERROR(INDEX(Machine_List!$B$8:$B$13,MATCH("*"&amp;$B79&amp;"*",Machine_List!$J$8:$J$13,0)),"NO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IF($A79="","",IF($I79&lt;&gt;"",$I79,MAX(VTL_Plan!$M79,IFERROR(LOOKUP(2,1/($E$3:INDIRECT("E"&amp;(ROW()-1))=$E79),$M$3:INDIRECT("M"&amp;(ROW()-1))),VTL_Plan!$M79))))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IF($A79="","",IFERROR(VLOOKUP(B79,CHOOSE(MATCH(C79,Settings!$L$4:$L$10,0),OPR_2P!$A$4:$I$18,SEG_6P!$A$4:$I$18,SOL_4P!$A$4:$I$18,RW_2P!$A$4:$I$18,RW2_4P!$A$4:$I$18,FLAP_4P!$A$4:$I$18,TUBE_4P!$A$4:$I$18),2,0),0))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IF($A80="","",IFERROR(INDEX(Machine_List!$B$8:$B$13,MATCH("*"&amp;$B80&amp;"*",Machine_List!$J$8:$J$13,0)),"NO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IF($A80="","",IF($I80&lt;&gt;"",$I80,MAX(VTL_Plan!$M80,IFERROR(LOOKUP(2,1/($E$3:INDIRECT("E"&amp;(ROW()-1))=$E80),$M$3:INDIRECT("M"&amp;(ROW()-1))),VTL_Plan!$M80))))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IF($A80="","",IFERROR(VLOOKUP(B80,CHOOSE(MATCH(C80,Settings!$L$4:$L$10,0),OPR_2P!$A$4:$I$18,SEG_6P!$A$4:$I$18,SOL_4P!$A$4:$I$18,RW_2P!$A$4:$I$18,RW2_4P!$A$4:$I$18,FLAP_4P!$A$4:$I$18,TUBE_4P!$A$4:$I$18),2,0),0))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IF($A81="","",IFERROR(INDEX(Machine_List!$B$8:$B$13,MATCH("*"&amp;$B81&amp;"*",Machine_List!$J$8:$J$13,0)),"NO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IF($A81="","",IF($I81&lt;&gt;"",$I81,MAX(VTL_Plan!$M81,IFERROR(LOOKUP(2,1/($E$3:INDIRECT("E"&amp;(ROW()-1))=$E81),$M$3:INDIRECT("M"&amp;(ROW()-1))),VTL_Plan!$M81))))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IF($A81="","",IFERROR(VLOOKUP(B81,CHOOSE(MATCH(C81,Settings!$L$4:$L$10,0),OPR_2P!$A$4:$I$18,SEG_6P!$A$4:$I$18,SOL_4P!$A$4:$I$18,RW_2P!$A$4:$I$18,RW2_4P!$A$4:$I$18,FLAP_4P!$A$4:$I$18,TUBE_4P!$A$4:$I$18),2,0),0))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IF($A82="","",IFERROR(INDEX(Machine_List!$B$8:$B$13,MATCH("*"&amp;$B82&amp;"*",Machine_List!$J$8:$J$13,0)),"NO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IF($A82="","",IF($I82&lt;&gt;"",$I82,MAX(VTL_Plan!$M82,IFERROR(LOOKUP(2,1/($E$3:INDIRECT("E"&amp;(ROW()-1))=$E82),$M$3:INDIRECT("M"&amp;(ROW()-1))),VTL_Plan!$M82))))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IF($A82="","",IFERROR(VLOOKUP(B82,CHOOSE(MATCH(C82,Settings!$L$4:$L$10,0),OPR_2P!$A$4:$I$18,SEG_6P!$A$4:$I$18,SOL_4P!$A$4:$I$18,RW_2P!$A$4:$I$18,RW2_4P!$A$4:$I$18,FLAP_4P!$A$4:$I$18,TUBE_4P!$A$4:$I$18),2,0),0))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IF($A83="","",IFERROR(INDEX(Machine_List!$B$8:$B$13,MATCH("*"&amp;$B83&amp;"*",Machine_List!$J$8:$J$13,0)),"NO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IF($A83="","",IF($I83&lt;&gt;"",$I83,MAX(VTL_Plan!$M83,IFERROR(LOOKUP(2,1/($E$3:INDIRECT("E"&amp;(ROW()-1))=$E83),$M$3:INDIRECT("M"&amp;(ROW()-1))),VTL_Plan!$M83))))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IF($A83="","",IFERROR(VLOOKUP(B83,CHOOSE(MATCH(C83,Settings!$L$4:$L$10,0),OPR_2P!$A$4:$I$18,SEG_6P!$A$4:$I$18,SOL_4P!$A$4:$I$18,RW_2P!$A$4:$I$18,RW2_4P!$A$4:$I$18,FLAP_4P!$A$4:$I$18,TUBE_4P!$A$4:$I$18),2,0),0))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IF($A84="","",IFERROR(INDEX(Machine_List!$B$8:$B$13,MATCH("*"&amp;$B84&amp;"*",Machine_List!$J$8:$J$13,0)),"NO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IF($A84="","",IF($I84&lt;&gt;"",$I84,MAX(VTL_Plan!$M84,IFERROR(LOOKUP(2,1/($E$3:INDIRECT("E"&amp;(ROW()-1))=$E84),$M$3:INDIRECT("M"&amp;(ROW()-1))),VTL_Plan!$M84))))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IF($A84="","",IFERROR(VLOOKUP(B84,CHOOSE(MATCH(C84,Settings!$L$4:$L$10,0),OPR_2P!$A$4:$I$18,SEG_6P!$A$4:$I$18,SOL_4P!$A$4:$I$18,RW_2P!$A$4:$I$18,RW2_4P!$A$4:$I$18,FLAP_4P!$A$4:$I$18,TUBE_4P!$A$4:$I$18),2,0),0))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IF($A85="","",IFERROR(INDEX(Machine_List!$B$8:$B$13,MATCH("*"&amp;$B85&amp;"*",Machine_List!$J$8:$J$13,0)),"NO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IF($A85="","",IF($I85&lt;&gt;"",$I85,MAX(VTL_Plan!$M85,IFERROR(LOOKUP(2,1/($E$3:INDIRECT("E"&amp;(ROW()-1))=$E85),$M$3:INDIRECT("M"&amp;(ROW()-1))),VTL_Plan!$M85))))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IF($A85="","",IFERROR(VLOOKUP(B85,CHOOSE(MATCH(C85,Settings!$L$4:$L$10,0),OPR_2P!$A$4:$I$18,SEG_6P!$A$4:$I$18,SOL_4P!$A$4:$I$18,RW_2P!$A$4:$I$18,RW2_4P!$A$4:$I$18,FLAP_4P!$A$4:$I$18,TUBE_4P!$A$4:$I$18),2,0),0))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IF($A86="","",IFERROR(INDEX(Machine_List!$B$8:$B$13,MATCH("*"&amp;$B86&amp;"*",Machine_List!$J$8:$J$13,0)),"NO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IF($A86="","",IF($I86&lt;&gt;"",$I86,MAX(VTL_Plan!$M86,IFERROR(LOOKUP(2,1/($E$3:INDIRECT("E"&amp;(ROW()-1))=$E86),$M$3:INDIRECT("M"&amp;(ROW()-1))),VTL_Plan!$M86))))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IF($A86="","",IFERROR(VLOOKUP(B86,CHOOSE(MATCH(C86,Settings!$L$4:$L$10,0),OPR_2P!$A$4:$I$18,SEG_6P!$A$4:$I$18,SOL_4P!$A$4:$I$18,RW_2P!$A$4:$I$18,RW2_4P!$A$4:$I$18,FLAP_4P!$A$4:$I$18,TUBE_4P!$A$4:$I$18),2,0),0))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IF($A87="","",IFERROR(INDEX(Machine_List!$B$8:$B$13,MATCH("*"&amp;$B87&amp;"*",Machine_List!$J$8:$J$13,0)),"NO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IF($A87="","",IF($I87&lt;&gt;"",$I87,MAX(VTL_Plan!$M87,IFERROR(LOOKUP(2,1/($E$3:INDIRECT("E"&amp;(ROW()-1))=$E87),$M$3:INDIRECT("M"&amp;(ROW()-1))),VTL_Plan!$M87))))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IF($A87="","",IFERROR(VLOOKUP(B87,CHOOSE(MATCH(C87,Settings!$L$4:$L$10,0),OPR_2P!$A$4:$I$18,SEG_6P!$A$4:$I$18,SOL_4P!$A$4:$I$18,RW_2P!$A$4:$I$18,RW2_4P!$A$4:$I$18,FLAP_4P!$A$4:$I$18,TUBE_4P!$A$4:$I$18),2,0),0))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IF($A88="","",IFERROR(INDEX(Machine_List!$B$8:$B$13,MATCH("*"&amp;$B88&amp;"*",Machine_List!$J$8:$J$13,0)),"NO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IF($A88="","",IF($I88&lt;&gt;"",$I88,MAX(VTL_Plan!$M88,IFERROR(LOOKUP(2,1/($E$3:INDIRECT("E"&amp;(ROW()-1))=$E88),$M$3:INDIRECT("M"&amp;(ROW()-1))),VTL_Plan!$M88))))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IF($A88="","",IFERROR(VLOOKUP(B88,CHOOSE(MATCH(C88,Settings!$L$4:$L$10,0),OPR_2P!$A$4:$I$18,SEG_6P!$A$4:$I$18,SOL_4P!$A$4:$I$18,RW_2P!$A$4:$I$18,RW2_4P!$A$4:$I$18,FLAP_4P!$A$4:$I$18,TUBE_4P!$A$4:$I$18),2,0),0))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IF($A89="","",IFERROR(INDEX(Machine_List!$B$8:$B$13,MATCH("*"&amp;$B89&amp;"*",Machine_List!$J$8:$J$13,0)),"NO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IF($A89="","",IF($I89&lt;&gt;"",$I89,MAX(VTL_Plan!$M89,IFERROR(LOOKUP(2,1/($E$3:INDIRECT("E"&amp;(ROW()-1))=$E89),$M$3:INDIRECT("M"&amp;(ROW()-1))),VTL_Plan!$M89))))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IF($A89="","",IFERROR(VLOOKUP(B89,CHOOSE(MATCH(C89,Settings!$L$4:$L$10,0),OPR_2P!$A$4:$I$18,SEG_6P!$A$4:$I$18,SOL_4P!$A$4:$I$18,RW_2P!$A$4:$I$18,RW2_4P!$A$4:$I$18,FLAP_4P!$A$4:$I$18,TUBE_4P!$A$4:$I$18),2,0),0))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IF($A90="","",IFERROR(INDEX(Machine_List!$B$8:$B$13,MATCH("*"&amp;$B90&amp;"*",Machine_List!$J$8:$J$13,0)),"NO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IF($A90="","",IF($I90&lt;&gt;"",$I90,MAX(VTL_Plan!$M90,IFERROR(LOOKUP(2,1/($E$3:INDIRECT("E"&amp;(ROW()-1))=$E90),$M$3:INDIRECT("M"&amp;(ROW()-1))),VTL_Plan!$M90))))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IF($A90="","",IFERROR(VLOOKUP(B90,CHOOSE(MATCH(C90,Settings!$L$4:$L$10,0),OPR_2P!$A$4:$I$18,SEG_6P!$A$4:$I$18,SOL_4P!$A$4:$I$18,RW_2P!$A$4:$I$18,RW2_4P!$A$4:$I$18,FLAP_4P!$A$4:$I$18,TUBE_4P!$A$4:$I$18),2,0),0))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IF($A91="","",IFERROR(INDEX(Machine_List!$B$8:$B$13,MATCH("*"&amp;$B91&amp;"*",Machine_List!$J$8:$J$13,0)),"NO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IF($A91="","",IF($I91&lt;&gt;"",$I91,MAX(VTL_Plan!$M91,IFERROR(LOOKUP(2,1/($E$3:INDIRECT("E"&amp;(ROW()-1))=$E91),$M$3:INDIRECT("M"&amp;(ROW()-1))),VTL_Plan!$M91))))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IF($A91="","",IFERROR(VLOOKUP(B91,CHOOSE(MATCH(C91,Settings!$L$4:$L$10,0),OPR_2P!$A$4:$I$18,SEG_6P!$A$4:$I$18,SOL_4P!$A$4:$I$18,RW_2P!$A$4:$I$18,RW2_4P!$A$4:$I$18,FLAP_4P!$A$4:$I$18,TUBE_4P!$A$4:$I$18),2,0),0))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IF($A92="","",IFERROR(INDEX(Machine_List!$B$8:$B$13,MATCH("*"&amp;$B92&amp;"*",Machine_List!$J$8:$J$13,0)),"NO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IF($A92="","",IF($I92&lt;&gt;"",$I92,MAX(VTL_Plan!$M92,IFERROR(LOOKUP(2,1/($E$3:INDIRECT("E"&amp;(ROW()-1))=$E92),$M$3:INDIRECT("M"&amp;(ROW()-1))),VTL_Plan!$M92))))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IF($A92="","",IFERROR(VLOOKUP(B92,CHOOSE(MATCH(C92,Settings!$L$4:$L$10,0),OPR_2P!$A$4:$I$18,SEG_6P!$A$4:$I$18,SOL_4P!$A$4:$I$18,RW_2P!$A$4:$I$18,RW2_4P!$A$4:$I$18,FLAP_4P!$A$4:$I$18,TUBE_4P!$A$4:$I$18),2,0),0))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IF($A93="","",IFERROR(INDEX(Machine_List!$B$8:$B$13,MATCH("*"&amp;$B93&amp;"*",Machine_List!$J$8:$J$13,0)),"NO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IF($A93="","",IF($I93&lt;&gt;"",$I93,MAX(VTL_Plan!$M93,IFERROR(LOOKUP(2,1/($E$3:INDIRECT("E"&amp;(ROW()-1))=$E93),$M$3:INDIRECT("M"&amp;(ROW()-1))),VTL_Plan!$M93))))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IF($A93="","",IFERROR(VLOOKUP(B93,CHOOSE(MATCH(C93,Settings!$L$4:$L$10,0),OPR_2P!$A$4:$I$18,SEG_6P!$A$4:$I$18,SOL_4P!$A$4:$I$18,RW_2P!$A$4:$I$18,RW2_4P!$A$4:$I$18,FLAP_4P!$A$4:$I$18,TUBE_4P!$A$4:$I$18),2,0),0))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IF($A94="","",IFERROR(INDEX(Machine_List!$B$8:$B$13,MATCH("*"&amp;$B94&amp;"*",Machine_List!$J$8:$J$13,0)),"NO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IF($A94="","",IF($I94&lt;&gt;"",$I94,MAX(VTL_Plan!$M94,IFERROR(LOOKUP(2,1/($E$3:INDIRECT("E"&amp;(ROW()-1))=$E94),$M$3:INDIRECT("M"&amp;(ROW()-1))),VTL_Plan!$M94))))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IF($A94="","",IFERROR(VLOOKUP(B94,CHOOSE(MATCH(C94,Settings!$L$4:$L$10,0),OPR_2P!$A$4:$I$18,SEG_6P!$A$4:$I$18,SOL_4P!$A$4:$I$18,RW_2P!$A$4:$I$18,RW2_4P!$A$4:$I$18,FLAP_4P!$A$4:$I$18,TUBE_4P!$A$4:$I$18),2,0),0))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IF($A95="","",IFERROR(INDEX(Machine_List!$B$8:$B$13,MATCH("*"&amp;$B95&amp;"*",Machine_List!$J$8:$J$13,0)),"NO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IF($A95="","",IF($I95&lt;&gt;"",$I95,MAX(VTL_Plan!$M95,IFERROR(LOOKUP(2,1/($E$3:INDIRECT("E"&amp;(ROW()-1))=$E95),$M$3:INDIRECT("M"&amp;(ROW()-1))),VTL_Plan!$M95))))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IF($A95="","",IFERROR(VLOOKUP(B95,CHOOSE(MATCH(C95,Settings!$L$4:$L$10,0),OPR_2P!$A$4:$I$18,SEG_6P!$A$4:$I$18,SOL_4P!$A$4:$I$18,RW_2P!$A$4:$I$18,RW2_4P!$A$4:$I$18,FLAP_4P!$A$4:$I$18,TUBE_4P!$A$4:$I$18),2,0),0))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IF($A96="","",IFERROR(INDEX(Machine_List!$B$8:$B$13,MATCH("*"&amp;$B96&amp;"*",Machine_List!$J$8:$J$13,0)),"NO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IF($A96="","",IF($I96&lt;&gt;"",$I96,MAX(VTL_Plan!$M96,IFERROR(LOOKUP(2,1/($E$3:INDIRECT("E"&amp;(ROW()-1))=$E96),$M$3:INDIRECT("M"&amp;(ROW()-1))),VTL_Plan!$M96))))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IF($A96="","",IFERROR(VLOOKUP(B96,CHOOSE(MATCH(C96,Settings!$L$4:$L$10,0),OPR_2P!$A$4:$I$18,SEG_6P!$A$4:$I$18,SOL_4P!$A$4:$I$18,RW_2P!$A$4:$I$18,RW2_4P!$A$4:$I$18,FLAP_4P!$A$4:$I$18,TUBE_4P!$A$4:$I$18),2,0),0))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IF($A97="","",IFERROR(INDEX(Machine_List!$B$8:$B$13,MATCH("*"&amp;$B97&amp;"*",Machine_List!$J$8:$J$13,0)),"NO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IF($A97="","",IF($I97&lt;&gt;"",$I97,MAX(VTL_Plan!$M97,IFERROR(LOOKUP(2,1/($E$3:INDIRECT("E"&amp;(ROW()-1))=$E97),$M$3:INDIRECT("M"&amp;(ROW()-1))),VTL_Plan!$M97))))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IF($A97="","",IFERROR(VLOOKUP(B97,CHOOSE(MATCH(C97,Settings!$L$4:$L$10,0),OPR_2P!$A$4:$I$18,SEG_6P!$A$4:$I$18,SOL_4P!$A$4:$I$18,RW_2P!$A$4:$I$18,RW2_4P!$A$4:$I$18,FLAP_4P!$A$4:$I$18,TUBE_4P!$A$4:$I$18),2,0),0))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IF($A98="","",IFERROR(INDEX(Machine_List!$B$8:$B$13,MATCH("*"&amp;$B98&amp;"*",Machine_List!$J$8:$J$13,0)),"NO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IF($A98="","",IF($I98&lt;&gt;"",$I98,MAX(VTL_Plan!$M98,IFERROR(LOOKUP(2,1/($E$3:INDIRECT("E"&amp;(ROW()-1))=$E98),$M$3:INDIRECT("M"&amp;(ROW()-1))),VTL_Plan!$M98))))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IF($A98="","",IFERROR(VLOOKUP(B98,CHOOSE(MATCH(C98,Settings!$L$4:$L$10,0),OPR_2P!$A$4:$I$18,SEG_6P!$A$4:$I$18,SOL_4P!$A$4:$I$18,RW_2P!$A$4:$I$18,RW2_4P!$A$4:$I$18,FLAP_4P!$A$4:$I$18,TUBE_4P!$A$4:$I$18),2,0),0))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IF($A99="","",IFERROR(INDEX(Machine_List!$B$8:$B$13,MATCH("*"&amp;$B99&amp;"*",Machine_List!$J$8:$J$13,0)),"NO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IF($A99="","",IF($I99&lt;&gt;"",$I99,MAX(VTL_Plan!$M99,IFERROR(LOOKUP(2,1/($E$3:INDIRECT("E"&amp;(ROW()-1))=$E99),$M$3:INDIRECT("M"&amp;(ROW()-1))),VTL_Plan!$M99))))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IF($A99="","",IFERROR(VLOOKUP(B99,CHOOSE(MATCH(C99,Settings!$L$4:$L$10,0),OPR_2P!$A$4:$I$18,SEG_6P!$A$4:$I$18,SOL_4P!$A$4:$I$18,RW_2P!$A$4:$I$18,RW2_4P!$A$4:$I$18,FLAP_4P!$A$4:$I$18,TUBE_4P!$A$4:$I$18),2,0),0))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IF($A100="","",IFERROR(INDEX(Machine_List!$B$8:$B$13,MATCH("*"&amp;$B100&amp;"*",Machine_List!$J$8:$J$13,0)),"NO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IF($A100="","",IF($I100&lt;&gt;"",$I100,MAX(VTL_Plan!$M100,IFERROR(LOOKUP(2,1/($E$3:INDIRECT("E"&amp;(ROW()-1))=$E100),$M$3:INDIRECT("M"&amp;(ROW()-1))),VTL_Plan!$M100))))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IF($A100="","",IFERROR(VLOOKUP(B100,CHOOSE(MATCH(C100,Settings!$L$4:$L$10,0),OPR_2P!$A$4:$I$18,SEG_6P!$A$4:$I$18,SOL_4P!$A$4:$I$18,RW_2P!$A$4:$I$18,RW2_4P!$A$4:$I$18,FLAP_4P!$A$4:$I$18,TUBE_4P!$A$4:$I$18),2,0),0))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IF($A101="","",IFERROR(INDEX(Machine_List!$B$8:$B$13,MATCH("*"&amp;$B101&amp;"*",Machine_List!$J$8:$J$13,0)),"NO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IF($A101="","",IF($I101&lt;&gt;"",$I101,MAX(VTL_Plan!$M101,IFERROR(LOOKUP(2,1/($E$3:INDIRECT("E"&amp;(ROW()-1))=$E101),$M$3:INDIRECT("M"&amp;(ROW()-1))),VTL_Plan!$M101))))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IF($A101="","",IFERROR(VLOOKUP(B101,CHOOSE(MATCH(C101,Settings!$L$4:$L$10,0),OPR_2P!$A$4:$I$18,SEG_6P!$A$4:$I$18,SOL_4P!$A$4:$I$18,RW_2P!$A$4:$I$18,RW2_4P!$A$4:$I$18,FLAP_4P!$A$4:$I$18,TUBE_4P!$A$4:$I$18),2,0),0))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IF($A102="","",IFERROR(INDEX(Machine_List!$B$8:$B$13,MATCH("*"&amp;$B102&amp;"*",Machine_List!$J$8:$J$13,0)),"NO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IF($A102="","",IF($I102&lt;&gt;"",$I102,MAX(VTL_Plan!$M102,IFERROR(LOOKUP(2,1/($E$3:INDIRECT("E"&amp;(ROW()-1))=$E102),$M$3:INDIRECT("M"&amp;(ROW()-1))),VTL_Plan!$M102))))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IF($A102="","",IFERROR(VLOOKUP(B102,CHOOSE(MATCH(C102,Settings!$L$4:$L$10,0),OPR_2P!$A$4:$I$18,SEG_6P!$A$4:$I$18,SOL_4P!$A$4:$I$18,RW_2P!$A$4:$I$18,RW2_4P!$A$4:$I$18,FLAP_4P!$A$4:$I$18,TUBE_4P!$A$4:$I$18),2,0),0))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IF($A103="","",IFERROR(INDEX(Machine_List!$B$8:$B$13,MATCH("*"&amp;$B103&amp;"*",Machine_List!$J$8:$J$13,0)),"NO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IF($A103="","",IF($I103&lt;&gt;"",$I103,MAX(VTL_Plan!$M103,IFERROR(LOOKUP(2,1/($E$3:INDIRECT("E"&amp;(ROW()-1))=$E103),$M$3:INDIRECT("M"&amp;(ROW()-1))),VTL_Plan!$M103))))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IF($A103="","",IFERROR(VLOOKUP(B103,CHOOSE(MATCH(C103,Settings!$L$4:$L$10,0),OPR_2P!$A$4:$I$18,SEG_6P!$A$4:$I$18,SOL_4P!$A$4:$I$18,RW_2P!$A$4:$I$18,RW2_4P!$A$4:$I$18,FLAP_4P!$A$4:$I$18,TUBE_4P!$A$4:$I$18),2,0),0))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9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6" activeCellId="0" sqref="J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6.33"/>
    <col collapsed="false" customWidth="true" hidden="false" outlineLevel="0" max="6" min="6" style="28" width="17.88"/>
    <col collapsed="false" customWidth="true" hidden="false" outlineLevel="0" max="7" min="7" style="1" width="12.44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4.33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251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4672</v>
      </c>
      <c r="BY3" s="45" t="n">
        <v>2978</v>
      </c>
      <c r="BZ3" s="45" t="n">
        <v>972</v>
      </c>
      <c r="CA3" s="45" t="n">
        <v>0</v>
      </c>
      <c r="CB3" s="45" t="n">
        <v>0</v>
      </c>
      <c r="CC3" s="45" t="n">
        <v>0</v>
      </c>
      <c r="CD3" s="45" t="n">
        <v>0</v>
      </c>
      <c r="CE3" s="45" t="n">
        <v>0</v>
      </c>
      <c r="CF3" s="45" t="n">
        <v>0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IF($A4="","",IFERROR(INDEX(Machine_List!$B$14:$B$19,MATCH("*"&amp;$B4&amp;"*",Machine_List!$J$14:$J$19,0)),"NO COMPATIBLE MACHINE"))</f>
        <v>CARVING-MC-01</v>
      </c>
      <c r="F4" s="49" t="str">
        <f aca="false">IF($E4="","",IFERROR(VLOOKUP($E4,Machine_List!$B:$G,6,0),""))</f>
        <v>General Workman</v>
      </c>
      <c r="G4" s="50" t="n">
        <f aca="false">IF($E4="","",IFERROR(VLOOKUP($E4,Machine_List!$B:$C,2,0),""))</f>
        <v>46418</v>
      </c>
      <c r="H4" s="48" t="n">
        <f aca="false">IF($E4="","",IFERROR(VLOOKUP($E4,Machine_List!$B:$D,3,0),""))</f>
        <v>6</v>
      </c>
      <c r="I4" s="45"/>
      <c r="J4" s="51" t="n">
        <f aca="true">IF($A4="","",IF($I4&lt;&gt;"",$I4,MAX(GlobalStartDate,IFERROR(LOOKUP(2,1/($E$3:INDIRECT("E"&amp;(ROW()-1))=$E4),$M$3:INDIRECT("M"&amp;(ROW()-1))),GlobalStartDate))))</f>
        <v>46113.2916666667</v>
      </c>
      <c r="K4" s="48" t="n">
        <f aca="false">IF($A4="","",IFERROR(VLOOKUP(B4,CHOOSE(MATCH(C4,Settings!$L$4:$L$10,0),OPR_2P!$A$4:$I$18,SEG_6P!$A$4:$I$18,SOL_4P!$A$4:$I$18,RW_2P!$A$4:$I$18,RW2_4P!$A$4:$I$18,FLAP_4P!$A$4:$I$18,TUBE_4P!$A$4:$I$18),3,0),0))</f>
        <v>30</v>
      </c>
      <c r="L4" s="48" t="n">
        <f aca="false">IF($A4="","",K4*D4)</f>
        <v>60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46116.0694444444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3888</v>
      </c>
      <c r="BY4" s="45" t="n">
        <v>4017.6</v>
      </c>
      <c r="BZ4" s="45" t="n">
        <v>3888</v>
      </c>
      <c r="CA4" s="45" t="n">
        <v>4017.6</v>
      </c>
      <c r="CB4" s="45" t="n">
        <v>4017.6</v>
      </c>
      <c r="CC4" s="45" t="n">
        <v>3888</v>
      </c>
      <c r="CD4" s="45" t="n">
        <v>4017.6</v>
      </c>
      <c r="CE4" s="45" t="n">
        <v>3888</v>
      </c>
      <c r="CF4" s="45" t="n">
        <v>4017.6</v>
      </c>
      <c r="CG4" s="45" t="n">
        <v>4017.6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IF($A5="","",IFERROR(INDEX(Machine_List!$B$14:$B$19,MATCH("*"&amp;$B5&amp;"*",Machine_List!$J$14:$J$19,0)),"NO COMPATIBLE MACHINE"))</f>
        <v>CARVING-MC-01</v>
      </c>
      <c r="F5" s="54" t="str">
        <f aca="false">IF($E5="","",IFERROR(VLOOKUP($E5,Machine_List!$B:$G,6,0),""))</f>
        <v>General Workman</v>
      </c>
      <c r="G5" s="55" t="n">
        <f aca="false">IF($E5="","",IFERROR(VLOOKUP($E5,Machine_List!$B:$C,2,0),""))</f>
        <v>46418</v>
      </c>
      <c r="H5" s="4" t="n">
        <f aca="false">IF($E5="","",IFERROR(VLOOKUP($E5,Machine_List!$B:$D,3,0),""))</f>
        <v>6</v>
      </c>
      <c r="I5" s="56"/>
      <c r="J5" s="57" t="n">
        <f aca="true">IF($A5="","",IF($I5&lt;&gt;"",$I5,MAX(GlobalStartDate,IFERROR(LOOKUP(2,1/($E$3:INDIRECT("E"&amp;(ROW()-1))=$E5),$M$3:INDIRECT("M"&amp;(ROW()-1))),GlobalStartDate))))</f>
        <v>46116.0694444444</v>
      </c>
      <c r="K5" s="4" t="n">
        <f aca="false">IF($A5="","",IFERROR(VLOOKUP(B5,CHOOSE(MATCH(C5,Settings!$L$4:$L$10,0),OPR_2P!$A$4:$I$18,SEG_6P!$A$4:$I$18,SOL_4P!$A$4:$I$18,RW_2P!$A$4:$I$18,RW2_4P!$A$4:$I$18,FLAP_4P!$A$4:$I$18,TUBE_4P!$A$4:$I$18),3,0),0))</f>
        <v>43</v>
      </c>
      <c r="L5" s="4" t="n">
        <f aca="false">IF($A5="","",K5*D5)</f>
        <v>172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46124.0324074074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C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IF($A6="","",IFERROR(INDEX(Machine_List!$B$14:$B$19,MATCH("*"&amp;$B6&amp;"*",Machine_List!$J$14:$J$19,0)),"NO COMPATIBLE MACHINE"))</f>
        <v>CARVING-MC-01</v>
      </c>
      <c r="F6" s="54" t="str">
        <f aca="false">IF($E6="","",IFERROR(VLOOKUP($E6,Machine_List!$B:$G,6,0),""))</f>
        <v>General Workman</v>
      </c>
      <c r="G6" s="55" t="n">
        <f aca="false">IF($E6="","",IFERROR(VLOOKUP($E6,Machine_List!$B:$C,2,0),""))</f>
        <v>46418</v>
      </c>
      <c r="H6" s="4" t="n">
        <f aca="false">IF($E6="","",IFERROR(VLOOKUP($E6,Machine_List!$B:$D,3,0),""))</f>
        <v>6</v>
      </c>
      <c r="I6" s="56"/>
      <c r="J6" s="57" t="n">
        <f aca="true">IF($A6="","",IF($I6&lt;&gt;"",$I6,MAX(GlobalStartDate,IFERROR(LOOKUP(2,1/($E$3:INDIRECT("E"&amp;(ROW()-1))=$E6),$M$3:INDIRECT("M"&amp;(ROW()-1))),GlobalStartDate))))</f>
        <v>46124.0324074074</v>
      </c>
      <c r="K6" s="4" t="n">
        <f aca="false">IF($A6="","",IFERROR(VLOOKUP(B6,CHOOSE(MATCH(C6,Settings!$L$4:$L$10,0),OPR_2P!$A$4:$I$18,SEG_6P!$A$4:$I$18,SOL_4P!$A$4:$I$18,RW_2P!$A$4:$I$18,RW2_4P!$A$4:$I$18,FLAP_4P!$A$4:$I$18,TUBE_4P!$A$4:$I$18),3,0),0))</f>
        <v>36</v>
      </c>
      <c r="L6" s="4" t="n">
        <f aca="false">IF($A6="","",K6*D6)</f>
        <v>72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46127.3657407407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IF($A7="","",IFERROR(INDEX(Machine_List!$B$14:$B$19,MATCH("*"&amp;$B7&amp;"*",Machine_List!$J$14:$J$19,0)),"NO COMPATIBLE MACHINE"))</f>
        <v>CARVING-MC-01</v>
      </c>
      <c r="F7" s="54" t="str">
        <f aca="false">IF($E7="","",IFERROR(VLOOKUP($E7,Machine_List!$B:$G,6,0),""))</f>
        <v>General Workman</v>
      </c>
      <c r="G7" s="55" t="n">
        <f aca="false">IF($E7="","",IFERROR(VLOOKUP($E7,Machine_List!$B:$C,2,0),""))</f>
        <v>46418</v>
      </c>
      <c r="H7" s="4" t="n">
        <f aca="false">IF($E7="","",IFERROR(VLOOKUP($E7,Machine_List!$B:$D,3,0),""))</f>
        <v>6</v>
      </c>
      <c r="I7" s="56"/>
      <c r="J7" s="57" t="n">
        <f aca="true">IF($A7="","",IF($I7&lt;&gt;"",$I7,MAX(GlobalStartDate,IFERROR(LOOKUP(2,1/($E$3:INDIRECT("E"&amp;(ROW()-1))=$E7),$M$3:INDIRECT("M"&amp;(ROW()-1))),GlobalStartDate))))</f>
        <v>46127.3657407407</v>
      </c>
      <c r="K7" s="4" t="n">
        <f aca="false">IF($A7="","",IFERROR(VLOOKUP(B7,CHOOSE(MATCH(C7,Settings!$L$4:$L$10,0),OPR_2P!$A$4:$I$18,SEG_6P!$A$4:$I$18,SOL_4P!$A$4:$I$18,RW_2P!$A$4:$I$18,RW2_4P!$A$4:$I$18,FLAP_4P!$A$4:$I$18,TUBE_4P!$A$4:$I$18),3,0),0))</f>
        <v>27</v>
      </c>
      <c r="L7" s="4" t="n">
        <f aca="false">IF($A7="","",K7*D7)</f>
        <v>162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46134.8657407407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B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IF($A8="","",IFERROR(INDEX(Machine_List!$B$14:$B$19,MATCH("*"&amp;$B8&amp;"*",Machine_List!$J$14:$J$19,0)),"NO COMPATIBLE MACHINE"))</f>
        <v>CARVING-MC-01</v>
      </c>
      <c r="F8" s="54" t="str">
        <f aca="false">IF($E8="","",IFERROR(VLOOKUP($E8,Machine_List!$B:$G,6,0),""))</f>
        <v>General Workman</v>
      </c>
      <c r="G8" s="55" t="n">
        <f aca="false">IF($E8="","",IFERROR(VLOOKUP($E8,Machine_List!$B:$C,2,0),""))</f>
        <v>46418</v>
      </c>
      <c r="H8" s="4" t="n">
        <f aca="false">IF($E8="","",IFERROR(VLOOKUP($E8,Machine_List!$B:$D,3,0),""))</f>
        <v>6</v>
      </c>
      <c r="I8" s="56"/>
      <c r="J8" s="57" t="n">
        <f aca="true">IF($A8="","",IF($I8&lt;&gt;"",$I8,MAX(GlobalStartDate,IFERROR(LOOKUP(2,1/($E$3:INDIRECT("E"&amp;(ROW()-1))=$E8),$M$3:INDIRECT("M"&amp;(ROW()-1))),GlobalStartDate))))</f>
        <v>46134.8657407407</v>
      </c>
      <c r="K8" s="4" t="n">
        <f aca="false">IF($A8="","",IFERROR(VLOOKUP(B8,CHOOSE(MATCH(C8,Settings!$L$4:$L$10,0),OPR_2P!$A$4:$I$18,SEG_6P!$A$4:$I$18,SOL_4P!$A$4:$I$18,RW_2P!$A$4:$I$18,RW2_4P!$A$4:$I$18,FLAP_4P!$A$4:$I$18,TUBE_4P!$A$4:$I$18),3,0),0))</f>
        <v>39</v>
      </c>
      <c r="L8" s="4" t="n">
        <f aca="false">IF($A8="","",K8*D8)</f>
        <v>234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46145.6990740741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IF($A9="","",IFERROR(INDEX(Machine_List!$B$14:$B$19,MATCH("*"&amp;$B9&amp;"*",Machine_List!$J$14:$J$19,0)),"NO COMPATIBLE MACHINE"))</f>
        <v>CARVING-MC-01</v>
      </c>
      <c r="F9" s="54" t="str">
        <f aca="false">IF($E9="","",IFERROR(VLOOKUP($E9,Machine_List!$B:$G,6,0),""))</f>
        <v>General Workman</v>
      </c>
      <c r="G9" s="55" t="n">
        <f aca="false">IF($E9="","",IFERROR(VLOOKUP($E9,Machine_List!$B:$C,2,0),""))</f>
        <v>46418</v>
      </c>
      <c r="H9" s="4" t="n">
        <f aca="false">IF($E9="","",IFERROR(VLOOKUP($E9,Machine_List!$B:$D,3,0),""))</f>
        <v>6</v>
      </c>
      <c r="I9" s="56"/>
      <c r="J9" s="57" t="n">
        <f aca="true">IF($A9="","",IF($I9&lt;&gt;"",$I9,MAX(GlobalStartDate,IFERROR(LOOKUP(2,1/($E$3:INDIRECT("E"&amp;(ROW()-1))=$E9),$M$3:INDIRECT("M"&amp;(ROW()-1))),GlobalStartDate))))</f>
        <v>46145.6990740741</v>
      </c>
      <c r="K9" s="4" t="n">
        <f aca="false">IF($A9="","",IFERROR(VLOOKUP(B9,CHOOSE(MATCH(C9,Settings!$L$4:$L$10,0),OPR_2P!$A$4:$I$18,SEG_6P!$A$4:$I$18,SOL_4P!$A$4:$I$18,RW_2P!$A$4:$I$18,RW2_4P!$A$4:$I$18,FLAP_4P!$A$4:$I$18,TUBE_4P!$A$4:$I$18),3,0),0))</f>
        <v>18</v>
      </c>
      <c r="L9" s="4" t="n">
        <f aca="false">IF($A9="","",K9*D9)</f>
        <v>36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46147.3657407407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IF($A10="","",IFERROR(INDEX(Machine_List!$B$14:$B$19,MATCH("*"&amp;$B10&amp;"*",Machine_List!$J$14:$J$19,0)),"NO COMPATIBLE MACHINE"))</f>
        <v>CARVING-MC-01</v>
      </c>
      <c r="F10" s="5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46418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IF($A10="","",IF($I10&lt;&gt;"",$I10,MAX(GlobalStartDate,IFERROR(LOOKUP(2,1/($E$3:INDIRECT("E"&amp;(ROW()-1))=$E10),$M$3:INDIRECT("M"&amp;(ROW()-1))),GlobalStartDate))))</f>
        <v>46147.3657407407</v>
      </c>
      <c r="K10" s="4" t="n">
        <f aca="false">IF($A10="","",IFERROR(VLOOKUP(B10,CHOOSE(MATCH(C10,Settings!$L$4:$L$10,0),OPR_2P!$A$4:$I$18,SEG_6P!$A$4:$I$18,SOL_4P!$A$4:$I$18,RW_2P!$A$4:$I$18,RW2_4P!$A$4:$I$18,FLAP_4P!$A$4:$I$18,TUBE_4P!$A$4:$I$18),3,0),0))</f>
        <v>96</v>
      </c>
      <c r="L10" s="4" t="n">
        <f aca="false">IF($A10="","",K10*D10)</f>
        <v>192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46156.2546296296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IF($A11="","",IFERROR(INDEX(Machine_List!$B$14:$B$19,MATCH("*"&amp;$B11&amp;"*",Machine_List!$J$14:$J$19,0)),"NO COMPATIBLE MACHINE"))</f>
        <v>CARVING-MC-01</v>
      </c>
      <c r="F11" s="5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46418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IF($A11="","",IF($I11&lt;&gt;"",$I11,MAX(GlobalStartDate,IFERROR(LOOKUP(2,1/($E$3:INDIRECT("E"&amp;(ROW()-1))=$E11),$M$3:INDIRECT("M"&amp;(ROW()-1))),GlobalStartDate))))</f>
        <v>46156.2546296296</v>
      </c>
      <c r="K11" s="4" t="n">
        <f aca="false">IF($A11="","",IFERROR(VLOOKUP(B11,CHOOSE(MATCH(C11,Settings!$L$4:$L$10,0),OPR_2P!$A$4:$I$18,SEG_6P!$A$4:$I$18,SOL_4P!$A$4:$I$18,RW_2P!$A$4:$I$18,RW2_4P!$A$4:$I$18,FLAP_4P!$A$4:$I$18,TUBE_4P!$A$4:$I$18),3,0),0))</f>
        <v>11</v>
      </c>
      <c r="L11" s="4" t="n">
        <f aca="false">IF($A11="","",K11*D11)</f>
        <v>22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46157.2731481481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IF($A12="","",IFERROR(INDEX(Machine_List!$B$14:$B$19,MATCH("*"&amp;$B12&amp;"*",Machine_List!$J$14:$J$19,0)),"NO COMPATIBLE MACHINE"))</f>
        <v>CARVING-MC-01</v>
      </c>
      <c r="F12" s="5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46418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IF($A12="","",IF($I12&lt;&gt;"",$I12,MAX(GlobalStartDate,IFERROR(LOOKUP(2,1/($E$3:INDIRECT("E"&amp;(ROW()-1))=$E12),$M$3:INDIRECT("M"&amp;(ROW()-1))),GlobalStartDate))))</f>
        <v>46157.2731481481</v>
      </c>
      <c r="K12" s="4" t="n">
        <f aca="false">IF($A12="","",IFERROR(VLOOKUP(B12,CHOOSE(MATCH(C12,Settings!$L$4:$L$10,0),OPR_2P!$A$4:$I$18,SEG_6P!$A$4:$I$18,SOL_4P!$A$4:$I$18,RW_2P!$A$4:$I$18,RW2_4P!$A$4:$I$18,FLAP_4P!$A$4:$I$18,TUBE_4P!$A$4:$I$18),3,0),0))</f>
        <v>41</v>
      </c>
      <c r="L12" s="4" t="n">
        <f aca="false">IF($A12="","",K12*D12)</f>
        <v>82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46161.0694444444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IF($A13="","",IFERROR(INDEX(Machine_List!$B$14:$B$19,MATCH("*"&amp;$B13&amp;"*",Machine_List!$J$14:$J$19,0)),"NO COMPATIBLE MACHINE"))</f>
        <v>CARVING-MC-01</v>
      </c>
      <c r="F13" s="5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46418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IF($A13="","",IF($I13&lt;&gt;"",$I13,MAX(GlobalStartDate,IFERROR(LOOKUP(2,1/($E$3:INDIRECT("E"&amp;(ROW()-1))=$E13),$M$3:INDIRECT("M"&amp;(ROW()-1))),GlobalStartDate))))</f>
        <v>46161.0694444444</v>
      </c>
      <c r="K13" s="4" t="n">
        <f aca="false">IF($A13="","",IFERROR(VLOOKUP(B13,CHOOSE(MATCH(C13,Settings!$L$4:$L$10,0),OPR_2P!$A$4:$I$18,SEG_6P!$A$4:$I$18,SOL_4P!$A$4:$I$18,RW_2P!$A$4:$I$18,RW2_4P!$A$4:$I$18,FLAP_4P!$A$4:$I$18,TUBE_4P!$A$4:$I$18),3,0),0))</f>
        <v>14</v>
      </c>
      <c r="L13" s="4" t="n">
        <f aca="false">IF($A13="","",K13*D13)</f>
        <v>28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46162.3657407407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IF($A14="","",IFERROR(INDEX(Machine_List!$B$14:$B$19,MATCH("*"&amp;$B14&amp;"*",Machine_List!$J$14:$J$19,0)),"NO COMPATIBLE MACHINE"))</f>
        <v>CARVING-MC-01</v>
      </c>
      <c r="F14" s="5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46418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IF($A14="","",IF($I14&lt;&gt;"",$I14,MAX(GlobalStartDate,IFERROR(LOOKUP(2,1/($E$3:INDIRECT("E"&amp;(ROW()-1))=$E14),$M$3:INDIRECT("M"&amp;(ROW()-1))),GlobalStartDate))))</f>
        <v>46162.3657407407</v>
      </c>
      <c r="K14" s="4" t="n">
        <f aca="false">IF($A14="","",IFERROR(VLOOKUP(B14,CHOOSE(MATCH(C14,Settings!$L$4:$L$10,0),OPR_2P!$A$4:$I$18,SEG_6P!$A$4:$I$18,SOL_4P!$A$4:$I$18,RW_2P!$A$4:$I$18,RW2_4P!$A$4:$I$18,FLAP_4P!$A$4:$I$18,TUBE_4P!$A$4:$I$18),3,0),0))</f>
        <v>30</v>
      </c>
      <c r="L14" s="4" t="n">
        <f aca="false">IF($A14="","",K14*D14)</f>
        <v>60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46165.1435185185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IF($A15="","",IFERROR(INDEX(Machine_List!$B$14:$B$19,MATCH("*"&amp;$B15&amp;"*",Machine_List!$J$14:$J$19,0)),"NO COMPATIBLE MACHINE"))</f>
        <v>CARVING-MC-01</v>
      </c>
      <c r="F15" s="5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46418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IF($A15="","",IF($I15&lt;&gt;"",$I15,MAX(GlobalStartDate,IFERROR(LOOKUP(2,1/($E$3:INDIRECT("E"&amp;(ROW()-1))=$E15),$M$3:INDIRECT("M"&amp;(ROW()-1))),GlobalStartDate))))</f>
        <v>46165.1435185185</v>
      </c>
      <c r="K15" s="4" t="n">
        <f aca="false">IF($A15="","",IFERROR(VLOOKUP(B15,CHOOSE(MATCH(C15,Settings!$L$4:$L$10,0),OPR_2P!$A$4:$I$18,SEG_6P!$A$4:$I$18,SOL_4P!$A$4:$I$18,RW_2P!$A$4:$I$18,RW2_4P!$A$4:$I$18,FLAP_4P!$A$4:$I$18,TUBE_4P!$A$4:$I$18),3,0),0))</f>
        <v>29</v>
      </c>
      <c r="L15" s="4" t="n">
        <f aca="false">IF($A15="","",K15*D15)</f>
        <v>174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46173.1990740741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IF($A16="","",IFERROR(INDEX(Machine_List!$B$14:$B$19,MATCH("*"&amp;$B16&amp;"*",Machine_List!$J$14:$J$19,0)),"NO COMPATIBLE MACHINE"))</f>
        <v>CARVING-MC-01</v>
      </c>
      <c r="F16" s="5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46418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IF($A16="","",IF($I16&lt;&gt;"",$I16,MAX(GlobalStartDate,IFERROR(LOOKUP(2,1/($E$3:INDIRECT("E"&amp;(ROW()-1))=$E16),$M$3:INDIRECT("M"&amp;(ROW()-1))),GlobalStartDate))))</f>
        <v>46173.1990740741</v>
      </c>
      <c r="K16" s="4" t="n">
        <f aca="false">IF($A16="","",IFERROR(VLOOKUP(B16,CHOOSE(MATCH(C16,Settings!$L$4:$L$10,0),OPR_2P!$A$4:$I$18,SEG_6P!$A$4:$I$18,SOL_4P!$A$4:$I$18,RW_2P!$A$4:$I$18,RW2_4P!$A$4:$I$18,FLAP_4P!$A$4:$I$18,TUBE_4P!$A$4:$I$18),3,0),0))</f>
        <v>14</v>
      </c>
      <c r="L16" s="4" t="n">
        <f aca="false">IF($A16="","",K16*D16)</f>
        <v>28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46174.4953703704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IF($A17="","",IFERROR(INDEX(Machine_List!$B$14:$B$19,MATCH("*"&amp;$B17&amp;"*",Machine_List!$J$14:$J$19,0)),"NO COMPATIBLE MACHINE"))</f>
        <v>CARVING-MC-01</v>
      </c>
      <c r="F17" s="5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46418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IF($A17="","",IF($I17&lt;&gt;"",$I17,MAX(GlobalStartDate,IFERROR(LOOKUP(2,1/($E$3:INDIRECT("E"&amp;(ROW()-1))=$E17),$M$3:INDIRECT("M"&amp;(ROW()-1))),GlobalStartDate))))</f>
        <v>46174.4953703704</v>
      </c>
      <c r="K17" s="4" t="n">
        <f aca="false">IF($A17="","",IFERROR(VLOOKUP(B17,CHOOSE(MATCH(C17,Settings!$L$4:$L$10,0),OPR_2P!$A$4:$I$18,SEG_6P!$A$4:$I$18,SOL_4P!$A$4:$I$18,RW_2P!$A$4:$I$18,RW2_4P!$A$4:$I$18,FLAP_4P!$A$4:$I$18,TUBE_4P!$A$4:$I$18),3,0),0))</f>
        <v>70</v>
      </c>
      <c r="L17" s="4" t="n">
        <f aca="false">IF($A17="","",K17*D17)</f>
        <v>420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46193.9398148148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IF($A18="","",IFERROR(INDEX(Machine_List!$B$14:$B$19,MATCH("*"&amp;$B18&amp;"*",Machine_List!$J$14:$J$19,0)),"NO COMPATIBLE MACHINE"))</f>
        <v>CARVING-MC-01</v>
      </c>
      <c r="F18" s="5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46418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IF($A18="","",IF($I18&lt;&gt;"",$I18,MAX(GlobalStartDate,IFERROR(LOOKUP(2,1/($E$3:INDIRECT("E"&amp;(ROW()-1))=$E18),$M$3:INDIRECT("M"&amp;(ROW()-1))),GlobalStartDate))))</f>
        <v>46193.9398148148</v>
      </c>
      <c r="K18" s="4" t="n">
        <f aca="false">IF($A18="","",IFERROR(VLOOKUP(B18,CHOOSE(MATCH(C18,Settings!$L$4:$L$10,0),OPR_2P!$A$4:$I$18,SEG_6P!$A$4:$I$18,SOL_4P!$A$4:$I$18,RW_2P!$A$4:$I$18,RW2_4P!$A$4:$I$18,FLAP_4P!$A$4:$I$18,TUBE_4P!$A$4:$I$18),3,0),0))</f>
        <v>74</v>
      </c>
      <c r="L18" s="4" t="n">
        <f aca="false">IF($A18="","",K18*D18)</f>
        <v>148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46200.7916666667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IF($A19="","",IFERROR(INDEX(Machine_List!$B$14:$B$19,MATCH("*"&amp;$B19&amp;"*",Machine_List!$J$14:$J$19,0)),"NO COMPATIBLE MACHINE"))</f>
        <v>CARVING-MC-01</v>
      </c>
      <c r="F19" s="5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46418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IF($A19="","",IF($I19&lt;&gt;"",$I19,MAX(GlobalStartDate,IFERROR(LOOKUP(2,1/($E$3:INDIRECT("E"&amp;(ROW()-1))=$E19),$M$3:INDIRECT("M"&amp;(ROW()-1))),GlobalStartDate))))</f>
        <v>46200.7916666667</v>
      </c>
      <c r="K19" s="4" t="n">
        <f aca="false">IF($A19="","",IFERROR(VLOOKUP(B19,CHOOSE(MATCH(C19,Settings!$L$4:$L$10,0),OPR_2P!$A$4:$I$18,SEG_6P!$A$4:$I$18,SOL_4P!$A$4:$I$18,RW_2P!$A$4:$I$18,RW2_4P!$A$4:$I$18,FLAP_4P!$A$4:$I$18,TUBE_4P!$A$4:$I$18),3,0),0))</f>
        <v>60</v>
      </c>
      <c r="L19" s="4" t="n">
        <f aca="false">IF($A19="","",K19*D19)</f>
        <v>120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46206.3472222222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IF($A20="","",IFERROR(INDEX(Machine_List!$B$14:$B$19,MATCH("*"&amp;$B20&amp;"*",Machine_List!$J$14:$J$19,0)),"NO COMPATIBLE MACHINE"))</f>
        <v>CARVING-MC-01</v>
      </c>
      <c r="F20" s="5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46418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IF($A20="","",IF($I20&lt;&gt;"",$I20,MAX(GlobalStartDate,IFERROR(LOOKUP(2,1/($E$3:INDIRECT("E"&amp;(ROW()-1))=$E20),$M$3:INDIRECT("M"&amp;(ROW()-1))),GlobalStartDate))))</f>
        <v>46206.3472222222</v>
      </c>
      <c r="K20" s="4" t="n">
        <f aca="false">IF($A20="","",IFERROR(VLOOKUP(B20,CHOOSE(MATCH(C20,Settings!$L$4:$L$10,0),OPR_2P!$A$4:$I$18,SEG_6P!$A$4:$I$18,SOL_4P!$A$4:$I$18,RW_2P!$A$4:$I$18,RW2_4P!$A$4:$I$18,FLAP_4P!$A$4:$I$18,TUBE_4P!$A$4:$I$18),3,0),0))</f>
        <v>46</v>
      </c>
      <c r="L20" s="4" t="n">
        <f aca="false">IF($A20="","",K20*D20)</f>
        <v>184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46214.8657407407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IF($A21="","",IFERROR(INDEX(Machine_List!$B$14:$B$19,MATCH("*"&amp;$B21&amp;"*",Machine_List!$J$14:$J$19,0)),"NO COMPATIBLE MACHINE"))</f>
        <v>CARVING-MC-01</v>
      </c>
      <c r="F21" s="5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46418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IF($A21="","",IF($I21&lt;&gt;"",$I21,MAX(GlobalStartDate,IFERROR(LOOKUP(2,1/($E$3:INDIRECT("E"&amp;(ROW()-1))=$E21),$M$3:INDIRECT("M"&amp;(ROW()-1))),GlobalStartDate))))</f>
        <v>46214.8657407407</v>
      </c>
      <c r="K21" s="4" t="n">
        <f aca="false">IF($A21="","",IFERROR(VLOOKUP(B21,CHOOSE(MATCH(C21,Settings!$L$4:$L$10,0),OPR_2P!$A$4:$I$18,SEG_6P!$A$4:$I$18,SOL_4P!$A$4:$I$18,RW_2P!$A$4:$I$18,RW2_4P!$A$4:$I$18,FLAP_4P!$A$4:$I$18,TUBE_4P!$A$4:$I$18),3,0),0))</f>
        <v>95</v>
      </c>
      <c r="L21" s="4" t="n">
        <f aca="false">IF($A21="","",K21*D21)</f>
        <v>380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46232.4583333333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IF($A22="","",IFERROR(INDEX(Machine_List!$B$14:$B$19,MATCH("*"&amp;$B22&amp;"*",Machine_List!$J$14:$J$19,0)),"NO COMPATIBLE MACHINE"))</f>
        <v>CARVING-MC-01</v>
      </c>
      <c r="F22" s="5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46418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IF($A22="","",IF($I22&lt;&gt;"",$I22,MAX(GlobalStartDate,IFERROR(LOOKUP(2,1/($E$3:INDIRECT("E"&amp;(ROW()-1))=$E22),$M$3:INDIRECT("M"&amp;(ROW()-1))),GlobalStartDate))))</f>
        <v>46232.4583333333</v>
      </c>
      <c r="K22" s="4" t="n">
        <f aca="false">IF($A22="","",IFERROR(VLOOKUP(B22,CHOOSE(MATCH(C22,Settings!$L$4:$L$10,0),OPR_2P!$A$4:$I$18,SEG_6P!$A$4:$I$18,SOL_4P!$A$4:$I$18,RW_2P!$A$4:$I$18,RW2_4P!$A$4:$I$18,FLAP_4P!$A$4:$I$18,TUBE_4P!$A$4:$I$18),3,0),0))</f>
        <v>74</v>
      </c>
      <c r="L22" s="4" t="n">
        <f aca="false">IF($A22="","",K22*D22)</f>
        <v>148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46239.3101851852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A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IF($A23="","",IFERROR(INDEX(Machine_List!$B$14:$B$19,MATCH("*"&amp;$B23&amp;"*",Machine_List!$J$14:$J$19,0)),"NO COMPATIBLE MACHINE"))</f>
        <v>CARVING-MC-01</v>
      </c>
      <c r="F23" s="5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46418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IF($A23="","",IF($I23&lt;&gt;"",$I23,MAX(GlobalStartDate,IFERROR(LOOKUP(2,1/($E$3:INDIRECT("E"&amp;(ROW()-1))=$E23),$M$3:INDIRECT("M"&amp;(ROW()-1))),GlobalStartDate))))</f>
        <v>46239.3101851852</v>
      </c>
      <c r="K23" s="4" t="n">
        <f aca="false">IF($A23="","",IFERROR(VLOOKUP(B23,CHOOSE(MATCH(C23,Settings!$L$4:$L$10,0),OPR_2P!$A$4:$I$18,SEG_6P!$A$4:$I$18,SOL_4P!$A$4:$I$18,RW_2P!$A$4:$I$18,RW2_4P!$A$4:$I$18,FLAP_4P!$A$4:$I$18,TUBE_4P!$A$4:$I$18),3,0),0))</f>
        <v>5</v>
      </c>
      <c r="L23" s="4" t="n">
        <f aca="false">IF($A23="","",K23*D23)</f>
        <v>30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46240.6990740741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IF($A24="","",IFERROR(INDEX(Machine_List!$B$14:$B$19,MATCH("*"&amp;$B24&amp;"*",Machine_List!$J$14:$J$19,0)),"NO COMPATIBLE MACHINE"))</f>
        <v>CARVING-MC-01</v>
      </c>
      <c r="F24" s="5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46418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IF($A24="","",IF($I24&lt;&gt;"",$I24,MAX(GlobalStartDate,IFERROR(LOOKUP(2,1/($E$3:INDIRECT("E"&amp;(ROW()-1))=$E24),$M$3:INDIRECT("M"&amp;(ROW()-1))),GlobalStartDate))))</f>
        <v>46240.6990740741</v>
      </c>
      <c r="K24" s="4" t="n">
        <f aca="false">IF($A24="","",IFERROR(VLOOKUP(B24,CHOOSE(MATCH(C24,Settings!$L$4:$L$10,0),OPR_2P!$A$4:$I$18,SEG_6P!$A$4:$I$18,SOL_4P!$A$4:$I$18,RW_2P!$A$4:$I$18,RW2_4P!$A$4:$I$18,FLAP_4P!$A$4:$I$18,TUBE_4P!$A$4:$I$18),3,0),0))</f>
        <v>99</v>
      </c>
      <c r="L24" s="4" t="n">
        <f aca="false">IF($A24="","",K24*D24)</f>
        <v>198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46249.8657407407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IF($A25="","",IFERROR(INDEX(Machine_List!$B$14:$B$19,MATCH("*"&amp;$B25&amp;"*",Machine_List!$J$14:$J$19,0)),"NO COMPATIBLE MACHINE"))</f>
        <v>CARVING-MC-01</v>
      </c>
      <c r="F25" s="5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46418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IF($A25="","",IF($I25&lt;&gt;"",$I25,MAX(GlobalStartDate,IFERROR(LOOKUP(2,1/($E$3:INDIRECT("E"&amp;(ROW()-1))=$E25),$M$3:INDIRECT("M"&amp;(ROW()-1))),GlobalStartDate))))</f>
        <v>46249.8657407407</v>
      </c>
      <c r="K25" s="4" t="n">
        <f aca="false">IF($A25="","",IFERROR(VLOOKUP(B25,CHOOSE(MATCH(C25,Settings!$L$4:$L$10,0),OPR_2P!$A$4:$I$18,SEG_6P!$A$4:$I$18,SOL_4P!$A$4:$I$18,RW_2P!$A$4:$I$18,RW2_4P!$A$4:$I$18,FLAP_4P!$A$4:$I$18,TUBE_4P!$A$4:$I$18),3,0),0))</f>
        <v>52</v>
      </c>
      <c r="L25" s="4" t="n">
        <f aca="false">IF($A25="","",K25*D25)</f>
        <v>104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46254.6805555556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B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IF($A26="","",IFERROR(INDEX(Machine_List!$B$14:$B$19,MATCH("*"&amp;$B26&amp;"*",Machine_List!$J$14:$J$19,0)),"NO COMPATIBLE MACHINE"))</f>
        <v>CARVING-MC-01</v>
      </c>
      <c r="F26" s="5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46418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IF($A26="","",IF($I26&lt;&gt;"",$I26,MAX(GlobalStartDate,IFERROR(LOOKUP(2,1/($E$3:INDIRECT("E"&amp;(ROW()-1))=$E26),$M$3:INDIRECT("M"&amp;(ROW()-1))),GlobalStartDate))))</f>
        <v>46254.6805555556</v>
      </c>
      <c r="K26" s="4" t="n">
        <f aca="false">IF($A26="","",IFERROR(VLOOKUP(B26,CHOOSE(MATCH(C26,Settings!$L$4:$L$10,0),OPR_2P!$A$4:$I$18,SEG_6P!$A$4:$I$18,SOL_4P!$A$4:$I$18,RW_2P!$A$4:$I$18,RW2_4P!$A$4:$I$18,FLAP_4P!$A$4:$I$18,TUBE_4P!$A$4:$I$18),3,0),0))</f>
        <v>11</v>
      </c>
      <c r="L26" s="4" t="n">
        <f aca="false">IF($A26="","",K26*D26)</f>
        <v>22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46255.6990740741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IF($A27="","",IFERROR(INDEX(Machine_List!$B$14:$B$19,MATCH("*"&amp;$B27&amp;"*",Machine_List!$J$14:$J$19,0)),"NO COMPATIBLE MACHINE"))</f>
        <v>CARVING-MC-01</v>
      </c>
      <c r="F27" s="5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46418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IF($A27="","",IF($I27&lt;&gt;"",$I27,MAX(GlobalStartDate,IFERROR(LOOKUP(2,1/($E$3:INDIRECT("E"&amp;(ROW()-1))=$E27),$M$3:INDIRECT("M"&amp;(ROW()-1))),GlobalStartDate))))</f>
        <v>46255.6990740741</v>
      </c>
      <c r="K27" s="4" t="n">
        <f aca="false">IF($A27="","",IFERROR(VLOOKUP(B27,CHOOSE(MATCH(C27,Settings!$L$4:$L$10,0),OPR_2P!$A$4:$I$18,SEG_6P!$A$4:$I$18,SOL_4P!$A$4:$I$18,RW_2P!$A$4:$I$18,RW2_4P!$A$4:$I$18,FLAP_4P!$A$4:$I$18,TUBE_4P!$A$4:$I$18),3,0),0))</f>
        <v>54</v>
      </c>
      <c r="L27" s="4" t="n">
        <f aca="false">IF($A27="","",K27*D27)</f>
        <v>216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46265.6990740741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IF($A28="","",IFERROR(INDEX(Machine_List!$B$14:$B$19,MATCH("*"&amp;$B28&amp;"*",Machine_List!$J$14:$J$19,0)),"NO COMPATIBLE MACHINE"))</f>
        <v>CARVING-MC-01</v>
      </c>
      <c r="F28" s="5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46418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IF($A28="","",IF($I28&lt;&gt;"",$I28,MAX(GlobalStartDate,IFERROR(LOOKUP(2,1/($E$3:INDIRECT("E"&amp;(ROW()-1))=$E28),$M$3:INDIRECT("M"&amp;(ROW()-1))),GlobalStartDate))))</f>
        <v>46265.6990740741</v>
      </c>
      <c r="K28" s="4" t="n">
        <f aca="false">IF($A28="","",IFERROR(VLOOKUP(B28,CHOOSE(MATCH(C28,Settings!$L$4:$L$10,0),OPR_2P!$A$4:$I$18,SEG_6P!$A$4:$I$18,SOL_4P!$A$4:$I$18,RW_2P!$A$4:$I$18,RW2_4P!$A$4:$I$18,FLAP_4P!$A$4:$I$18,TUBE_4P!$A$4:$I$18),3,0),0))</f>
        <v>48</v>
      </c>
      <c r="L28" s="4" t="n">
        <f aca="false">IF($A28="","",K28*D28)</f>
        <v>96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46270.1435185185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IF($A29="","",IFERROR(INDEX(Machine_List!$B$14:$B$19,MATCH("*"&amp;$B29&amp;"*",Machine_List!$J$14:$J$19,0)),"NO COMPATIBLE MACHINE"))</f>
        <v>CARVING-MC-01</v>
      </c>
      <c r="F29" s="5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46418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IF($A29="","",IF($I29&lt;&gt;"",$I29,MAX(GlobalStartDate,IFERROR(LOOKUP(2,1/($E$3:INDIRECT("E"&amp;(ROW()-1))=$E29),$M$3:INDIRECT("M"&amp;(ROW()-1))),GlobalStartDate))))</f>
        <v>46270.1435185185</v>
      </c>
      <c r="K29" s="4" t="n">
        <f aca="false">IF($A29="","",IFERROR(VLOOKUP(B29,CHOOSE(MATCH(C29,Settings!$L$4:$L$10,0),OPR_2P!$A$4:$I$18,SEG_6P!$A$4:$I$18,SOL_4P!$A$4:$I$18,RW_2P!$A$4:$I$18,RW2_4P!$A$4:$I$18,FLAP_4P!$A$4:$I$18,TUBE_4P!$A$4:$I$18),3,0),0))</f>
        <v>48</v>
      </c>
      <c r="L29" s="4" t="n">
        <f aca="false">IF($A29="","",K29*D29)</f>
        <v>96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46274.587962963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IF($A30="","",IFERROR(INDEX(Machine_List!$B$14:$B$19,MATCH("*"&amp;$B30&amp;"*",Machine_List!$J$14:$J$19,0)),"NO COMPATIBLE MACHINE"))</f>
        <v>CARVING-MC-01</v>
      </c>
      <c r="F30" s="5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46418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IF($A30="","",IF($I30&lt;&gt;"",$I30,MAX(GlobalStartDate,IFERROR(LOOKUP(2,1/($E$3:INDIRECT("E"&amp;(ROW()-1))=$E30),$M$3:INDIRECT("M"&amp;(ROW()-1))),GlobalStartDate))))</f>
        <v>46274.587962963</v>
      </c>
      <c r="K30" s="4" t="n">
        <f aca="false">IF($A30="","",IFERROR(VLOOKUP(B30,CHOOSE(MATCH(C30,Settings!$L$4:$L$10,0),OPR_2P!$A$4:$I$18,SEG_6P!$A$4:$I$18,SOL_4P!$A$4:$I$18,RW_2P!$A$4:$I$18,RW2_4P!$A$4:$I$18,FLAP_4P!$A$4:$I$18,TUBE_4P!$A$4:$I$18),3,0),0))</f>
        <v>11</v>
      </c>
      <c r="L30" s="4" t="n">
        <f aca="false">IF($A30="","",K30*D30)</f>
        <v>22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46275.6064814815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A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IF($A31="","",IFERROR(INDEX(Machine_List!$B$14:$B$19,MATCH("*"&amp;$B31&amp;"*",Machine_List!$J$14:$J$19,0)),"NO COMPATIBLE MACHINE"))</f>
        <v>CARVING-MC-01</v>
      </c>
      <c r="F31" s="5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46418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IF($A31="","",IF($I31&lt;&gt;"",$I31,MAX(GlobalStartDate,IFERROR(LOOKUP(2,1/($E$3:INDIRECT("E"&amp;(ROW()-1))=$E31),$M$3:INDIRECT("M"&amp;(ROW()-1))),GlobalStartDate))))</f>
        <v>46275.6064814815</v>
      </c>
      <c r="K31" s="4" t="n">
        <f aca="false">IF($A31="","",IFERROR(VLOOKUP(B31,CHOOSE(MATCH(C31,Settings!$L$4:$L$10,0),OPR_2P!$A$4:$I$18,SEG_6P!$A$4:$I$18,SOL_4P!$A$4:$I$18,RW_2P!$A$4:$I$18,RW2_4P!$A$4:$I$18,FLAP_4P!$A$4:$I$18,TUBE_4P!$A$4:$I$18),3,0),0))</f>
        <v>74</v>
      </c>
      <c r="L31" s="4" t="n">
        <f aca="false">IF($A31="","",K31*D31)</f>
        <v>148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46282.4583333333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IF($A32="","",IFERROR(INDEX(Machine_List!$B$14:$B$19,MATCH("*"&amp;$B32&amp;"*",Machine_List!$J$14:$J$19,0)),"NO COMPATIBLE MACHINE"))</f>
        <v>CARVING-MC-01</v>
      </c>
      <c r="F32" s="5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46418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IF($A32="","",IF($I32&lt;&gt;"",$I32,MAX(GlobalStartDate,IFERROR(LOOKUP(2,1/($E$3:INDIRECT("E"&amp;(ROW()-1))=$E32),$M$3:INDIRECT("M"&amp;(ROW()-1))),GlobalStartDate))))</f>
        <v>46282.4583333333</v>
      </c>
      <c r="K32" s="4" t="n">
        <f aca="false">IF($A32="","",IFERROR(VLOOKUP(B32,CHOOSE(MATCH(C32,Settings!$L$4:$L$10,0),OPR_2P!$A$4:$I$18,SEG_6P!$A$4:$I$18,SOL_4P!$A$4:$I$18,RW_2P!$A$4:$I$18,RW2_4P!$A$4:$I$18,FLAP_4P!$A$4:$I$18,TUBE_4P!$A$4:$I$18),3,0),0))</f>
        <v>27</v>
      </c>
      <c r="L32" s="4" t="n">
        <f aca="false">IF($A32="","",K32*D32)</f>
        <v>162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46289.9583333333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IF($A33="","",IFERROR(INDEX(Machine_List!$B$14:$B$19,MATCH("*"&amp;$B33&amp;"*",Machine_List!$J$14:$J$19,0)),"NO COMPATIBLE MACHINE"))</f>
        <v>CARVING-MC-01</v>
      </c>
      <c r="F33" s="5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46418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IF($A33="","",IF($I33&lt;&gt;"",$I33,MAX(GlobalStartDate,IFERROR(LOOKUP(2,1/($E$3:INDIRECT("E"&amp;(ROW()-1))=$E33),$M$3:INDIRECT("M"&amp;(ROW()-1))),GlobalStartDate))))</f>
        <v>46289.9583333333</v>
      </c>
      <c r="K33" s="4" t="n">
        <f aca="false">IF($A33="","",IFERROR(VLOOKUP(B33,CHOOSE(MATCH(C33,Settings!$L$4:$L$10,0),OPR_2P!$A$4:$I$18,SEG_6P!$A$4:$I$18,SOL_4P!$A$4:$I$18,RW_2P!$A$4:$I$18,RW2_4P!$A$4:$I$18,FLAP_4P!$A$4:$I$18,TUBE_4P!$A$4:$I$18),3,0),0))</f>
        <v>5</v>
      </c>
      <c r="L33" s="4" t="n">
        <f aca="false">IF($A33="","",K33*D33)</f>
        <v>10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46290.4212962963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IF($A34="","",IFERROR(INDEX(Machine_List!$B$14:$B$19,MATCH("*"&amp;$B34&amp;"*",Machine_List!$J$14:$J$19,0)),"NO COMPATIBLE MACHINE"))</f>
        <v>CARVING-MC-01</v>
      </c>
      <c r="F34" s="5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46418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IF($A34="","",IF($I34&lt;&gt;"",$I34,MAX(GlobalStartDate,IFERROR(LOOKUP(2,1/($E$3:INDIRECT("E"&amp;(ROW()-1))=$E34),$M$3:INDIRECT("M"&amp;(ROW()-1))),GlobalStartDate))))</f>
        <v>46290.4212962963</v>
      </c>
      <c r="K34" s="4" t="n">
        <f aca="false">IF($A34="","",IFERROR(VLOOKUP(B34,CHOOSE(MATCH(C34,Settings!$L$4:$L$10,0),OPR_2P!$A$4:$I$18,SEG_6P!$A$4:$I$18,SOL_4P!$A$4:$I$18,RW_2P!$A$4:$I$18,RW2_4P!$A$4:$I$18,FLAP_4P!$A$4:$I$18,TUBE_4P!$A$4:$I$18),3,0),0))</f>
        <v>99</v>
      </c>
      <c r="L34" s="4" t="n">
        <f aca="false">IF($A34="","",K34*D34)</f>
        <v>198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46299.587962963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A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IF($A35="","",IFERROR(INDEX(Machine_List!$B$14:$B$19,MATCH("*"&amp;$B35&amp;"*",Machine_List!$J$14:$J$19,0)),"NO COMPATIBLE MACHINE"))</f>
        <v>CARVING-MC-01</v>
      </c>
      <c r="F35" s="5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46418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IF($A35="","",IF($I35&lt;&gt;"",$I35,MAX(GlobalStartDate,IFERROR(LOOKUP(2,1/($E$3:INDIRECT("E"&amp;(ROW()-1))=$E35),$M$3:INDIRECT("M"&amp;(ROW()-1))),GlobalStartDate))))</f>
        <v>46299.587962963</v>
      </c>
      <c r="K35" s="4" t="n">
        <f aca="false">IF($A35="","",IFERROR(VLOOKUP(B35,CHOOSE(MATCH(C35,Settings!$L$4:$L$10,0),OPR_2P!$A$4:$I$18,SEG_6P!$A$4:$I$18,SOL_4P!$A$4:$I$18,RW_2P!$A$4:$I$18,RW2_4P!$A$4:$I$18,FLAP_4P!$A$4:$I$18,TUBE_4P!$A$4:$I$18),3,0),0))</f>
        <v>30</v>
      </c>
      <c r="L35" s="4" t="n">
        <f aca="false">IF($A35="","",K35*D35)</f>
        <v>60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46302.3657407407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A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IF($A36="","",IFERROR(INDEX(Machine_List!$B$14:$B$19,MATCH("*"&amp;$B36&amp;"*",Machine_List!$J$14:$J$19,0)),"NO COMPATIBLE MACHINE"))</f>
        <v>CARVING-MC-01</v>
      </c>
      <c r="F36" s="5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46418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IF($A36="","",IF($I36&lt;&gt;"",$I36,MAX(GlobalStartDate,IFERROR(LOOKUP(2,1/($E$3:INDIRECT("E"&amp;(ROW()-1))=$E36),$M$3:INDIRECT("M"&amp;(ROW()-1))),GlobalStartDate))))</f>
        <v>46302.3657407407</v>
      </c>
      <c r="K36" s="4" t="n">
        <f aca="false">IF($A36="","",IFERROR(VLOOKUP(B36,CHOOSE(MATCH(C36,Settings!$L$4:$L$10,0),OPR_2P!$A$4:$I$18,SEG_6P!$A$4:$I$18,SOL_4P!$A$4:$I$18,RW_2P!$A$4:$I$18,RW2_4P!$A$4:$I$18,FLAP_4P!$A$4:$I$18,TUBE_4P!$A$4:$I$18),3,0),0))</f>
        <v>129</v>
      </c>
      <c r="L36" s="4" t="n">
        <f aca="false">IF($A36="","",K36*D36)</f>
        <v>258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46314.3101851852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IF($A37="","",IFERROR(INDEX(Machine_List!$B$14:$B$19,MATCH("*"&amp;$B37&amp;"*",Machine_List!$J$14:$J$19,0)),"NO COMPATIBLE MACHINE"))</f>
        <v>CARVING-MC-01</v>
      </c>
      <c r="F37" s="5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46418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IF($A37="","",IF($I37&lt;&gt;"",$I37,MAX(GlobalStartDate,IFERROR(LOOKUP(2,1/($E$3:INDIRECT("E"&amp;(ROW()-1))=$E37),$M$3:INDIRECT("M"&amp;(ROW()-1))),GlobalStartDate))))</f>
        <v>46314.3101851852</v>
      </c>
      <c r="K37" s="4" t="n">
        <f aca="false">IF($A37="","",IFERROR(VLOOKUP(B37,CHOOSE(MATCH(C37,Settings!$L$4:$L$10,0),OPR_2P!$A$4:$I$18,SEG_6P!$A$4:$I$18,SOL_4P!$A$4:$I$18,RW_2P!$A$4:$I$18,RW2_4P!$A$4:$I$18,FLAP_4P!$A$4:$I$18,TUBE_4P!$A$4:$I$18),3,0),0))</f>
        <v>11</v>
      </c>
      <c r="L37" s="4" t="n">
        <f aca="false">IF($A37="","",K37*D37)</f>
        <v>22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46315.3287037037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A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IF($A38="","",IFERROR(INDEX(Machine_List!$B$14:$B$19,MATCH("*"&amp;$B38&amp;"*",Machine_List!$J$14:$J$19,0)),"NO COMPATIBLE MACHINE"))</f>
        <v>CARVING-MC-01</v>
      </c>
      <c r="F38" s="5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46418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IF($A38="","",IF($I38&lt;&gt;"",$I38,MAX(GlobalStartDate,IFERROR(LOOKUP(2,1/($E$3:INDIRECT("E"&amp;(ROW()-1))=$E38),$M$3:INDIRECT("M"&amp;(ROW()-1))),GlobalStartDate))))</f>
        <v>46315.3287037037</v>
      </c>
      <c r="K38" s="4" t="n">
        <f aca="false">IF($A38="","",IFERROR(VLOOKUP(B38,CHOOSE(MATCH(C38,Settings!$L$4:$L$10,0),OPR_2P!$A$4:$I$18,SEG_6P!$A$4:$I$18,SOL_4P!$A$4:$I$18,RW_2P!$A$4:$I$18,RW2_4P!$A$4:$I$18,FLAP_4P!$A$4:$I$18,TUBE_4P!$A$4:$I$18),3,0),0))</f>
        <v>30</v>
      </c>
      <c r="L38" s="4" t="n">
        <f aca="false">IF($A38="","",K38*D38)</f>
        <v>60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46318.1064814815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C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IF($A39="","",IFERROR(INDEX(Machine_List!$B$14:$B$19,MATCH("*"&amp;$B39&amp;"*",Machine_List!$J$14:$J$19,0)),"NO COMPATIBLE MACHINE"))</f>
        <v>CARVING-MC-01</v>
      </c>
      <c r="F39" s="5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46418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IF($A39="","",IF($I39&lt;&gt;"",$I39,MAX(GlobalStartDate,IFERROR(LOOKUP(2,1/($E$3:INDIRECT("E"&amp;(ROW()-1))=$E39),$M$3:INDIRECT("M"&amp;(ROW()-1))),GlobalStartDate))))</f>
        <v>46318.1064814815</v>
      </c>
      <c r="K39" s="4" t="n">
        <f aca="false">IF($A39="","",IFERROR(VLOOKUP(B39,CHOOSE(MATCH(C39,Settings!$L$4:$L$10,0),OPR_2P!$A$4:$I$18,SEG_6P!$A$4:$I$18,SOL_4P!$A$4:$I$18,RW_2P!$A$4:$I$18,RW2_4P!$A$4:$I$18,FLAP_4P!$A$4:$I$18,TUBE_4P!$A$4:$I$18),3,0),0))</f>
        <v>60</v>
      </c>
      <c r="L39" s="4" t="n">
        <f aca="false">IF($A39="","",K39*D39)</f>
        <v>240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46329.2175925926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IF($A40="","",IFERROR(INDEX(Machine_List!$B$14:$B$19,MATCH("*"&amp;$B40&amp;"*",Machine_List!$J$14:$J$19,0)),"NO COMPATIBLE MACHINE"))</f>
        <v>CARVING-MC-01</v>
      </c>
      <c r="F40" s="5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46418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IF($A40="","",IF($I40&lt;&gt;"",$I40,MAX(GlobalStartDate,IFERROR(LOOKUP(2,1/($E$3:INDIRECT("E"&amp;(ROW()-1))=$E40),$M$3:INDIRECT("M"&amp;(ROW()-1))),GlobalStartDate))))</f>
        <v>46329.2175925926</v>
      </c>
      <c r="K40" s="4" t="n">
        <f aca="false">IF($A40="","",IFERROR(VLOOKUP(B40,CHOOSE(MATCH(C40,Settings!$L$4:$L$10,0),OPR_2P!$A$4:$I$18,SEG_6P!$A$4:$I$18,SOL_4P!$A$4:$I$18,RW_2P!$A$4:$I$18,RW2_4P!$A$4:$I$18,FLAP_4P!$A$4:$I$18,TUBE_4P!$A$4:$I$18),3,0),0))</f>
        <v>18</v>
      </c>
      <c r="L40" s="4" t="n">
        <f aca="false">IF($A40="","",K40*D40)</f>
        <v>36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46330.8842592593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IF($A41="","",IFERROR(INDEX(Machine_List!$B$14:$B$19,MATCH("*"&amp;$B41&amp;"*",Machine_List!$J$14:$J$19,0)),"NO COMPATIBLE MACHINE"))</f>
        <v>CARVING-MC-01</v>
      </c>
      <c r="F41" s="5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46418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IF($A41="","",IF($I41&lt;&gt;"",$I41,MAX(GlobalStartDate,IFERROR(LOOKUP(2,1/($E$3:INDIRECT("E"&amp;(ROW()-1))=$E41),$M$3:INDIRECT("M"&amp;(ROW()-1))),GlobalStartDate))))</f>
        <v>46330.8842592593</v>
      </c>
      <c r="K41" s="4" t="n">
        <f aca="false">IF($A41="","",IFERROR(VLOOKUP(B41,CHOOSE(MATCH(C41,Settings!$L$4:$L$10,0),OPR_2P!$A$4:$I$18,SEG_6P!$A$4:$I$18,SOL_4P!$A$4:$I$18,RW_2P!$A$4:$I$18,RW2_4P!$A$4:$I$18,FLAP_4P!$A$4:$I$18,TUBE_4P!$A$4:$I$18),3,0),0))</f>
        <v>51</v>
      </c>
      <c r="L41" s="4" t="n">
        <f aca="false">IF($A41="","",K41*D41)</f>
        <v>102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46335.6064814815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IF($A42="","",IFERROR(INDEX(Machine_List!$B$14:$B$19,MATCH("*"&amp;$B42&amp;"*",Machine_List!$J$14:$J$19,0)),"NO COMPATIBLE MACHINE"))</f>
        <v>CARVING-MC-01</v>
      </c>
      <c r="F42" s="5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46418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IF($A42="","",IF($I42&lt;&gt;"",$I42,MAX(GlobalStartDate,IFERROR(LOOKUP(2,1/($E$3:INDIRECT("E"&amp;(ROW()-1))=$E42),$M$3:INDIRECT("M"&amp;(ROW()-1))),GlobalStartDate))))</f>
        <v>46335.6064814815</v>
      </c>
      <c r="K42" s="4" t="n">
        <f aca="false">IF($A42="","",IFERROR(VLOOKUP(B42,CHOOSE(MATCH(C42,Settings!$L$4:$L$10,0),OPR_2P!$A$4:$I$18,SEG_6P!$A$4:$I$18,SOL_4P!$A$4:$I$18,RW_2P!$A$4:$I$18,RW2_4P!$A$4:$I$18,FLAP_4P!$A$4:$I$18,TUBE_4P!$A$4:$I$18),3,0),0))</f>
        <v>88</v>
      </c>
      <c r="L42" s="4" t="n">
        <f aca="false">IF($A42="","",K42*D42)</f>
        <v>176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46343.7546296296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B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IF($A43="","",IFERROR(INDEX(Machine_List!$B$14:$B$19,MATCH("*"&amp;$B43&amp;"*",Machine_List!$J$14:$J$19,0)),"NO COMPATIBLE MACHINE"))</f>
        <v>CARVING-MC-01</v>
      </c>
      <c r="F43" s="5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46418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IF($A43="","",IF($I43&lt;&gt;"",$I43,MAX(GlobalStartDate,IFERROR(LOOKUP(2,1/($E$3:INDIRECT("E"&amp;(ROW()-1))=$E43),$M$3:INDIRECT("M"&amp;(ROW()-1))),GlobalStartDate))))</f>
        <v>46343.7546296296</v>
      </c>
      <c r="K43" s="4" t="n">
        <f aca="false">IF($A43="","",IFERROR(VLOOKUP(B43,CHOOSE(MATCH(C43,Settings!$L$4:$L$10,0),OPR_2P!$A$4:$I$18,SEG_6P!$A$4:$I$18,SOL_4P!$A$4:$I$18,RW_2P!$A$4:$I$18,RW2_4P!$A$4:$I$18,FLAP_4P!$A$4:$I$18,TUBE_4P!$A$4:$I$18),3,0),0))</f>
        <v>5</v>
      </c>
      <c r="L43" s="4" t="n">
        <f aca="false">IF($A43="","",K43*D43)</f>
        <v>10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46344.2175925926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C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IF($A44="","",IFERROR(INDEX(Machine_List!$B$14:$B$19,MATCH("*"&amp;$B44&amp;"*",Machine_List!$J$14:$J$19,0)),"NO COMPATIBLE MACHINE"))</f>
        <v>CARVING-MC-01</v>
      </c>
      <c r="F44" s="5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46418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IF($A44="","",IF($I44&lt;&gt;"",$I44,MAX(GlobalStartDate,IFERROR(LOOKUP(2,1/($E$3:INDIRECT("E"&amp;(ROW()-1))=$E44),$M$3:INDIRECT("M"&amp;(ROW()-1))),GlobalStartDate))))</f>
        <v>46344.2175925926</v>
      </c>
      <c r="K44" s="4" t="n">
        <f aca="false">IF($A44="","",IFERROR(VLOOKUP(B44,CHOOSE(MATCH(C44,Settings!$L$4:$L$10,0),OPR_2P!$A$4:$I$18,SEG_6P!$A$4:$I$18,SOL_4P!$A$4:$I$18,RW_2P!$A$4:$I$18,RW2_4P!$A$4:$I$18,FLAP_4P!$A$4:$I$18,TUBE_4P!$A$4:$I$18),3,0),0))</f>
        <v>90</v>
      </c>
      <c r="L44" s="4" t="n">
        <f aca="false">IF($A44="","",K44*D44)</f>
        <v>180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46352.5509259259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A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IF($A45="","",IFERROR(INDEX(Machine_List!$B$14:$B$19,MATCH("*"&amp;$B45&amp;"*",Machine_List!$J$14:$J$19,0)),"NO COMPATIBLE MACHINE"))</f>
        <v>CARVING-MC-01</v>
      </c>
      <c r="F45" s="5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46418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IF($A45="","",IF($I45&lt;&gt;"",$I45,MAX(GlobalStartDate,IFERROR(LOOKUP(2,1/($E$3:INDIRECT("E"&amp;(ROW()-1))=$E45),$M$3:INDIRECT("M"&amp;(ROW()-1))),GlobalStartDate))))</f>
        <v>46352.5509259259</v>
      </c>
      <c r="K45" s="4" t="n">
        <f aca="false">IF($A45="","",IFERROR(VLOOKUP(B45,CHOOSE(MATCH(C45,Settings!$L$4:$L$10,0),OPR_2P!$A$4:$I$18,SEG_6P!$A$4:$I$18,SOL_4P!$A$4:$I$18,RW_2P!$A$4:$I$18,RW2_4P!$A$4:$I$18,FLAP_4P!$A$4:$I$18,TUBE_4P!$A$4:$I$18),3,0),0))</f>
        <v>18</v>
      </c>
      <c r="L45" s="4" t="n">
        <f aca="false">IF($A45="","",K45*D45)</f>
        <v>36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46354.2175925926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IF($A46="","",IFERROR(INDEX(Machine_List!$B$14:$B$19,MATCH("*"&amp;$B46&amp;"*",Machine_List!$J$14:$J$19,0)),"NO COMPATIBLE MACHINE"))</f>
        <v>CARVING-MC-01</v>
      </c>
      <c r="F46" s="5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46418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IF($A46="","",IF($I46&lt;&gt;"",$I46,MAX(GlobalStartDate,IFERROR(LOOKUP(2,1/($E$3:INDIRECT("E"&amp;(ROW()-1))=$E46),$M$3:INDIRECT("M"&amp;(ROW()-1))),GlobalStartDate))))</f>
        <v>46354.2175925926</v>
      </c>
      <c r="K46" s="4" t="n">
        <f aca="false">IF($A46="","",IFERROR(VLOOKUP(B46,CHOOSE(MATCH(C46,Settings!$L$4:$L$10,0),OPR_2P!$A$4:$I$18,SEG_6P!$A$4:$I$18,SOL_4P!$A$4:$I$18,RW_2P!$A$4:$I$18,RW2_4P!$A$4:$I$18,FLAP_4P!$A$4:$I$18,TUBE_4P!$A$4:$I$18),3,0),0))</f>
        <v>11</v>
      </c>
      <c r="L46" s="4" t="n">
        <f aca="false">IF($A46="","",K46*D46)</f>
        <v>22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46355.2361111111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C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IF($A47="","",IFERROR(INDEX(Machine_List!$B$14:$B$19,MATCH("*"&amp;$B47&amp;"*",Machine_List!$J$14:$J$19,0)),"NO COMPATIBLE MACHINE"))</f>
        <v>CARVING-MC-01</v>
      </c>
      <c r="F47" s="5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46418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IF($A47="","",IF($I47&lt;&gt;"",$I47,MAX(GlobalStartDate,IFERROR(LOOKUP(2,1/($E$3:INDIRECT("E"&amp;(ROW()-1))=$E47),$M$3:INDIRECT("M"&amp;(ROW()-1))),GlobalStartDate))))</f>
        <v>46355.2361111111</v>
      </c>
      <c r="K47" s="4" t="n">
        <f aca="false">IF($A47="","",IFERROR(VLOOKUP(B47,CHOOSE(MATCH(C47,Settings!$L$4:$L$10,0),OPR_2P!$A$4:$I$18,SEG_6P!$A$4:$I$18,SOL_4P!$A$4:$I$18,RW_2P!$A$4:$I$18,RW2_4P!$A$4:$I$18,FLAP_4P!$A$4:$I$18,TUBE_4P!$A$4:$I$18),3,0),0))</f>
        <v>49</v>
      </c>
      <c r="L47" s="4" t="n">
        <f aca="false">IF($A47="","",K47*D47)</f>
        <v>196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46364.3101851852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A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IF($A48="","",IFERROR(INDEX(Machine_List!$B$14:$B$19,MATCH("*"&amp;$B48&amp;"*",Machine_List!$J$14:$J$19,0)),"NO COMPATIBLE MACHINE"))</f>
        <v>CARVING-MC-01</v>
      </c>
      <c r="F48" s="5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46418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IF($A48="","",IF($I48&lt;&gt;"",$I48,MAX(GlobalStartDate,IFERROR(LOOKUP(2,1/($E$3:INDIRECT("E"&amp;(ROW()-1))=$E48),$M$3:INDIRECT("M"&amp;(ROW()-1))),GlobalStartDate))))</f>
        <v>46364.3101851852</v>
      </c>
      <c r="K48" s="4" t="n">
        <f aca="false">IF($A48="","",IFERROR(VLOOKUP(B48,CHOOSE(MATCH(C48,Settings!$L$4:$L$10,0),OPR_2P!$A$4:$I$18,SEG_6P!$A$4:$I$18,SOL_4P!$A$4:$I$18,RW_2P!$A$4:$I$18,RW2_4P!$A$4:$I$18,FLAP_4P!$A$4:$I$18,TUBE_4P!$A$4:$I$18),3,0),0))</f>
        <v>5</v>
      </c>
      <c r="L48" s="4" t="n">
        <f aca="false">IF($A48="","",K48*D48)</f>
        <v>10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46364.7731481481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IF($A49="","",IFERROR(INDEX(Machine_List!$B$14:$B$19,MATCH("*"&amp;$B49&amp;"*",Machine_List!$J$14:$J$19,0)),"NO COMPATIBLE MACHINE"))</f>
        <v>CARVING-MC-01</v>
      </c>
      <c r="F49" s="5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46418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IF($A49="","",IF($I49&lt;&gt;"",$I49,MAX(GlobalStartDate,IFERROR(LOOKUP(2,1/($E$3:INDIRECT("E"&amp;(ROW()-1))=$E49),$M$3:INDIRECT("M"&amp;(ROW()-1))),GlobalStartDate))))</f>
        <v>46364.7731481481</v>
      </c>
      <c r="K49" s="4" t="n">
        <f aca="false">IF($A49="","",IFERROR(VLOOKUP(B49,CHOOSE(MATCH(C49,Settings!$L$4:$L$10,0),OPR_2P!$A$4:$I$18,SEG_6P!$A$4:$I$18,SOL_4P!$A$4:$I$18,RW_2P!$A$4:$I$18,RW2_4P!$A$4:$I$18,FLAP_4P!$A$4:$I$18,TUBE_4P!$A$4:$I$18),3,0),0))</f>
        <v>32</v>
      </c>
      <c r="L49" s="4" t="n">
        <f aca="false">IF($A49="","",K49*D49)</f>
        <v>128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46370.6990740741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B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IF($A50="","",IFERROR(INDEX(Machine_List!$B$14:$B$19,MATCH("*"&amp;$B50&amp;"*",Machine_List!$J$14:$J$19,0)),"NO COMPATIBLE MACHINE"))</f>
        <v>CARVING-MC-01</v>
      </c>
      <c r="F50" s="5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46418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IF($A50="","",IF($I50&lt;&gt;"",$I50,MAX(GlobalStartDate,IFERROR(LOOKUP(2,1/($E$3:INDIRECT("E"&amp;(ROW()-1))=$E50),$M$3:INDIRECT("M"&amp;(ROW()-1))),GlobalStartDate))))</f>
        <v>46370.6990740741</v>
      </c>
      <c r="K50" s="4" t="n">
        <f aca="false">IF($A50="","",IFERROR(VLOOKUP(B50,CHOOSE(MATCH(C50,Settings!$L$4:$L$10,0),OPR_2P!$A$4:$I$18,SEG_6P!$A$4:$I$18,SOL_4P!$A$4:$I$18,RW_2P!$A$4:$I$18,RW2_4P!$A$4:$I$18,FLAP_4P!$A$4:$I$18,TUBE_4P!$A$4:$I$18),3,0),0))</f>
        <v>32</v>
      </c>
      <c r="L50" s="4" t="n">
        <f aca="false">IF($A50="","",K50*D50)</f>
        <v>128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46376.625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B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IF($A51="","",IFERROR(INDEX(Machine_List!$B$14:$B$19,MATCH("*"&amp;$B51&amp;"*",Machine_List!$J$14:$J$19,0)),"NO COMPATIBLE MACHINE"))</f>
        <v>CARVING-MC-01</v>
      </c>
      <c r="F51" s="5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46418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IF($A51="","",IF($I51&lt;&gt;"",$I51,MAX(GlobalStartDate,IFERROR(LOOKUP(2,1/($E$3:INDIRECT("E"&amp;(ROW()-1))=$E51),$M$3:INDIRECT("M"&amp;(ROW()-1))),GlobalStartDate))))</f>
        <v>46376.625</v>
      </c>
      <c r="K51" s="4" t="n">
        <f aca="false">IF($A51="","",IFERROR(VLOOKUP(B51,CHOOSE(MATCH(C51,Settings!$L$4:$L$10,0),OPR_2P!$A$4:$I$18,SEG_6P!$A$4:$I$18,SOL_4P!$A$4:$I$18,RW_2P!$A$4:$I$18,RW2_4P!$A$4:$I$18,FLAP_4P!$A$4:$I$18,TUBE_4P!$A$4:$I$18),3,0),0))</f>
        <v>26</v>
      </c>
      <c r="L51" s="4" t="n">
        <f aca="false">IF($A51="","",K51*D51)</f>
        <v>104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46381.4398148148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IF($A52="","",IFERROR(INDEX(Machine_List!$B$14:$B$19,MATCH("*"&amp;$B52&amp;"*",Machine_List!$J$14:$J$19,0)),"NO COMPATIBLE MACHINE"))</f>
        <v>CARVING-MC-01</v>
      </c>
      <c r="F52" s="5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46418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IF($A52="","",IF($I52&lt;&gt;"",$I52,MAX(GlobalStartDate,IFERROR(LOOKUP(2,1/($E$3:INDIRECT("E"&amp;(ROW()-1))=$E52),$M$3:INDIRECT("M"&amp;(ROW()-1))),GlobalStartDate))))</f>
        <v>46381.4398148148</v>
      </c>
      <c r="K52" s="4" t="n">
        <f aca="false">IF($A52="","",IFERROR(VLOOKUP(B52,CHOOSE(MATCH(C52,Settings!$L$4:$L$10,0),OPR_2P!$A$4:$I$18,SEG_6P!$A$4:$I$18,SOL_4P!$A$4:$I$18,RW_2P!$A$4:$I$18,RW2_4P!$A$4:$I$18,FLAP_4P!$A$4:$I$18,TUBE_4P!$A$4:$I$18),3,0),0))</f>
        <v>48</v>
      </c>
      <c r="L52" s="4" t="n">
        <f aca="false">IF($A52="","",K52*D52)</f>
        <v>96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46385.8842592593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IF($A53="","",IFERROR(INDEX(Machine_List!$B$14:$B$19,MATCH("*"&amp;$B53&amp;"*",Machine_List!$J$14:$J$19,0)),"NO COMPATIBLE MACHINE"))</f>
        <v>CARVING-MC-01</v>
      </c>
      <c r="F53" s="5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46418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IF($A53="","",IF($I53&lt;&gt;"",$I53,MAX(GlobalStartDate,IFERROR(LOOKUP(2,1/($E$3:INDIRECT("E"&amp;(ROW()-1))=$E53),$M$3:INDIRECT("M"&amp;(ROW()-1))),GlobalStartDate))))</f>
        <v>46385.8842592593</v>
      </c>
      <c r="K53" s="4" t="n">
        <f aca="false">IF($A53="","",IFERROR(VLOOKUP(B53,CHOOSE(MATCH(C53,Settings!$L$4:$L$10,0),OPR_2P!$A$4:$I$18,SEG_6P!$A$4:$I$18,SOL_4P!$A$4:$I$18,RW_2P!$A$4:$I$18,RW2_4P!$A$4:$I$18,FLAP_4P!$A$4:$I$18,TUBE_4P!$A$4:$I$18),3,0),0))</f>
        <v>20</v>
      </c>
      <c r="L53" s="4" t="n">
        <f aca="false">IF($A53="","",K53*D53)</f>
        <v>80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46389.587962963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A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IF($A54="","",IFERROR(INDEX(Machine_List!$B$14:$B$19,MATCH("*"&amp;$B54&amp;"*",Machine_List!$J$14:$J$19,0)),"NO COMPATIBLE MACHINE"))</f>
        <v>CARVING-MC-01</v>
      </c>
      <c r="F54" s="5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46418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IF($A54="","",IF($I54&lt;&gt;"",$I54,MAX(GlobalStartDate,IFERROR(LOOKUP(2,1/($E$3:INDIRECT("E"&amp;(ROW()-1))=$E54),$M$3:INDIRECT("M"&amp;(ROW()-1))),GlobalStartDate))))</f>
        <v>46389.587962963</v>
      </c>
      <c r="K54" s="4" t="n">
        <f aca="false">IF($A54="","",IFERROR(VLOOKUP(B54,CHOOSE(MATCH(C54,Settings!$L$4:$L$10,0),OPR_2P!$A$4:$I$18,SEG_6P!$A$4:$I$18,SOL_4P!$A$4:$I$18,RW_2P!$A$4:$I$18,RW2_4P!$A$4:$I$18,FLAP_4P!$A$4:$I$18,TUBE_4P!$A$4:$I$18),3,0),0))</f>
        <v>30</v>
      </c>
      <c r="L54" s="4" t="n">
        <f aca="false">IF($A54="","",K54*D54)</f>
        <v>60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46392.3657407407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A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IF($A55="","",IFERROR(INDEX(Machine_List!$B$14:$B$19,MATCH("*"&amp;$B55&amp;"*",Machine_List!$J$14:$J$19,0)),"NO COMPATIBLE MACHINE"))</f>
        <v>CARVING-MC-01</v>
      </c>
      <c r="F55" s="5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46418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IF($A55="","",IF($I55&lt;&gt;"",$I55,MAX(GlobalStartDate,IFERROR(LOOKUP(2,1/($E$3:INDIRECT("E"&amp;(ROW()-1))=$E55),$M$3:INDIRECT("M"&amp;(ROW()-1))),GlobalStartDate))))</f>
        <v>46392.3657407407</v>
      </c>
      <c r="K55" s="4" t="n">
        <f aca="false">IF($A55="","",IFERROR(VLOOKUP(B55,CHOOSE(MATCH(C55,Settings!$L$4:$L$10,0),OPR_2P!$A$4:$I$18,SEG_6P!$A$4:$I$18,SOL_4P!$A$4:$I$18,RW_2P!$A$4:$I$18,RW2_4P!$A$4:$I$18,FLAP_4P!$A$4:$I$18,TUBE_4P!$A$4:$I$18),3,0),0))</f>
        <v>29</v>
      </c>
      <c r="L55" s="4" t="n">
        <f aca="false">IF($A55="","",K55*D55)</f>
        <v>58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46395.0509259259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IF($A56="","",IFERROR(INDEX(Machine_List!$B$14:$B$19,MATCH("*"&amp;$B56&amp;"*",Machine_List!$J$14:$J$19,0)),"NO COMPATIBLE MACHINE"))</f>
        <v>CARVING-MC-01</v>
      </c>
      <c r="F56" s="5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46418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IF($A56="","",IF($I56&lt;&gt;"",$I56,MAX(GlobalStartDate,IFERROR(LOOKUP(2,1/($E$3:INDIRECT("E"&amp;(ROW()-1))=$E56),$M$3:INDIRECT("M"&amp;(ROW()-1))),GlobalStartDate))))</f>
        <v>46395.0509259259</v>
      </c>
      <c r="K56" s="4" t="n">
        <f aca="false">IF($A56="","",IFERROR(VLOOKUP(B56,CHOOSE(MATCH(C56,Settings!$L$4:$L$10,0),OPR_2P!$A$4:$I$18,SEG_6P!$A$4:$I$18,SOL_4P!$A$4:$I$18,RW_2P!$A$4:$I$18,RW2_4P!$A$4:$I$18,FLAP_4P!$A$4:$I$18,TUBE_4P!$A$4:$I$18),3,0),0))</f>
        <v>12</v>
      </c>
      <c r="L56" s="4" t="n">
        <f aca="false">IF($A56="","",K56*D56)</f>
        <v>24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46396.162037037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C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IF($A57="","",IFERROR(INDEX(Machine_List!$B$14:$B$19,MATCH("*"&amp;$B57&amp;"*",Machine_List!$J$14:$J$19,0)),"NO COMPATIBLE MACHINE"))</f>
        <v>CARVING-MC-01</v>
      </c>
      <c r="F57" s="5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46418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IF($A57="","",IF($I57&lt;&gt;"",$I57,MAX(GlobalStartDate,IFERROR(LOOKUP(2,1/($E$3:INDIRECT("E"&amp;(ROW()-1))=$E57),$M$3:INDIRECT("M"&amp;(ROW()-1))),GlobalStartDate))))</f>
        <v>46396.162037037</v>
      </c>
      <c r="K57" s="4" t="n">
        <f aca="false">IF($A57="","",IFERROR(VLOOKUP(B57,CHOOSE(MATCH(C57,Settings!$L$4:$L$10,0),OPR_2P!$A$4:$I$18,SEG_6P!$A$4:$I$18,SOL_4P!$A$4:$I$18,RW_2P!$A$4:$I$18,RW2_4P!$A$4:$I$18,FLAP_4P!$A$4:$I$18,TUBE_4P!$A$4:$I$18),3,0),0))</f>
        <v>39</v>
      </c>
      <c r="L57" s="4" t="n">
        <f aca="false">IF($A57="","",K57*D57)</f>
        <v>234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46406.9953703704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C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IF($A58="","",IFERROR(INDEX(Machine_List!$B$14:$B$19,MATCH("*"&amp;$B58&amp;"*",Machine_List!$J$14:$J$19,0)),"NO COMPATIBLE MACHINE"))</f>
        <v>CARVING-MC-01</v>
      </c>
      <c r="F58" s="5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46418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IF($A58="","",IF($I58&lt;&gt;"",$I58,MAX(GlobalStartDate,IFERROR(LOOKUP(2,1/($E$3:INDIRECT("E"&amp;(ROW()-1))=$E58),$M$3:INDIRECT("M"&amp;(ROW()-1))),GlobalStartDate))))</f>
        <v>46406.9953703704</v>
      </c>
      <c r="K58" s="4" t="n">
        <f aca="false">IF($A58="","",IFERROR(VLOOKUP(B58,CHOOSE(MATCH(C58,Settings!$L$4:$L$10,0),OPR_2P!$A$4:$I$18,SEG_6P!$A$4:$I$18,SOL_4P!$A$4:$I$18,RW_2P!$A$4:$I$18,RW2_4P!$A$4:$I$18,FLAP_4P!$A$4:$I$18,TUBE_4P!$A$4:$I$18),3,0),0))</f>
        <v>48</v>
      </c>
      <c r="L58" s="4" t="n">
        <f aca="false">IF($A58="","",K58*D58)</f>
        <v>96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46411.4398148148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A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IF($A59="","",IFERROR(INDEX(Machine_List!$B$14:$B$19,MATCH("*"&amp;$B59&amp;"*",Machine_List!$J$14:$J$19,0)),"NO COMPATIBLE MACHINE"))</f>
        <v>CARVING-MC-01</v>
      </c>
      <c r="F59" s="5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46418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IF($A59="","",IF($I59&lt;&gt;"",$I59,MAX(GlobalStartDate,IFERROR(LOOKUP(2,1/($E$3:INDIRECT("E"&amp;(ROW()-1))=$E59),$M$3:INDIRECT("M"&amp;(ROW()-1))),GlobalStartDate))))</f>
        <v>46411.4398148148</v>
      </c>
      <c r="K59" s="4" t="n">
        <f aca="false">IF($A59="","",IFERROR(VLOOKUP(B59,CHOOSE(MATCH(C59,Settings!$L$4:$L$10,0),OPR_2P!$A$4:$I$18,SEG_6P!$A$4:$I$18,SOL_4P!$A$4:$I$18,RW_2P!$A$4:$I$18,RW2_4P!$A$4:$I$18,FLAP_4P!$A$4:$I$18,TUBE_4P!$A$4:$I$18),3,0),0))</f>
        <v>60</v>
      </c>
      <c r="L59" s="4" t="n">
        <f aca="false">IF($A59="","",K59*D59)</f>
        <v>120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46416.9953703704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IF($A60="","",IFERROR(INDEX(Machine_List!$B$14:$B$19,MATCH("*"&amp;$B60&amp;"*",Machine_List!$J$14:$J$19,0)),"NO COMPATIBLE MACHINE"))</f>
        <v>CARVING-MC-01</v>
      </c>
      <c r="F60" s="5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46418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IF($A60="","",IF($I60&lt;&gt;"",$I60,MAX(GlobalStartDate,IFERROR(LOOKUP(2,1/($E$3:INDIRECT("E"&amp;(ROW()-1))=$E60),$M$3:INDIRECT("M"&amp;(ROW()-1))),GlobalStartDate))))</f>
        <v>46416.9953703704</v>
      </c>
      <c r="K60" s="4" t="n">
        <f aca="false">IF($A60="","",IFERROR(VLOOKUP(B60,CHOOSE(MATCH(C60,Settings!$L$4:$L$10,0),OPR_2P!$A$4:$I$18,SEG_6P!$A$4:$I$18,SOL_4P!$A$4:$I$18,RW_2P!$A$4:$I$18,RW2_4P!$A$4:$I$18,FLAP_4P!$A$4:$I$18,TUBE_4P!$A$4:$I$18),3,0),0))</f>
        <v>70</v>
      </c>
      <c r="L60" s="4" t="n">
        <f aca="false">IF($A60="","",K60*D60)</f>
        <v>420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46436.7175925926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B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IF($A61="","",IFERROR(INDEX(Machine_List!$B$14:$B$19,MATCH("*"&amp;$B61&amp;"*",Machine_List!$J$14:$J$19,0)),"NO COMPATIBLE MACHINE"))</f>
        <v>CARVING-MC-01</v>
      </c>
      <c r="F61" s="5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46418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IF($A61="","",IF($I61&lt;&gt;"",$I61,MAX(GlobalStartDate,IFERROR(LOOKUP(2,1/($E$3:INDIRECT("E"&amp;(ROW()-1))=$E61),$M$3:INDIRECT("M"&amp;(ROW()-1))),GlobalStartDate))))</f>
        <v>46436.7175925926</v>
      </c>
      <c r="K61" s="4" t="n">
        <f aca="false">IF($A61="","",IFERROR(VLOOKUP(B61,CHOOSE(MATCH(C61,Settings!$L$4:$L$10,0),OPR_2P!$A$4:$I$18,SEG_6P!$A$4:$I$18,SOL_4P!$A$4:$I$18,RW_2P!$A$4:$I$18,RW2_4P!$A$4:$I$18,FLAP_4P!$A$4:$I$18,TUBE_4P!$A$4:$I$18),3,0),0))</f>
        <v>88</v>
      </c>
      <c r="L61" s="4" t="n">
        <f aca="false">IF($A61="","",K61*D61)</f>
        <v>176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46444.8657407407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IF($A62="","",IFERROR(INDEX(Machine_List!$B$14:$B$19,MATCH("*"&amp;$B62&amp;"*",Machine_List!$J$14:$J$19,0)),"NO COMPATIBLE MACHINE"))</f>
        <v>CARVING-MC-01</v>
      </c>
      <c r="F62" s="5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46418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IF($A62="","",IF($I62&lt;&gt;"",$I62,MAX(GlobalStartDate,IFERROR(LOOKUP(2,1/($E$3:INDIRECT("E"&amp;(ROW()-1))=$E62),$M$3:INDIRECT("M"&amp;(ROW()-1))),GlobalStartDate))))</f>
        <v>46444.8657407407</v>
      </c>
      <c r="K62" s="4" t="n">
        <f aca="false">IF($A62="","",IFERROR(VLOOKUP(B62,CHOOSE(MATCH(C62,Settings!$L$4:$L$10,0),OPR_2P!$A$4:$I$18,SEG_6P!$A$4:$I$18,SOL_4P!$A$4:$I$18,RW_2P!$A$4:$I$18,RW2_4P!$A$4:$I$18,FLAP_4P!$A$4:$I$18,TUBE_4P!$A$4:$I$18),3,0),0))</f>
        <v>5</v>
      </c>
      <c r="L62" s="4" t="n">
        <f aca="false">IF($A62="","",K62*D62)</f>
        <v>30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46446.2546296296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C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IF($A63="","",IFERROR(INDEX(Machine_List!$B$14:$B$19,MATCH("*"&amp;$B63&amp;"*",Machine_List!$J$14:$J$19,0)),"NO COMPATIBLE MACHINE"))</f>
        <v>CARVING-MC-01</v>
      </c>
      <c r="F63" s="5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46418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IF($A63="","",IF($I63&lt;&gt;"",$I63,MAX(GlobalStartDate,IFERROR(LOOKUP(2,1/($E$3:INDIRECT("E"&amp;(ROW()-1))=$E63),$M$3:INDIRECT("M"&amp;(ROW()-1))),GlobalStartDate))))</f>
        <v>46446.2546296296</v>
      </c>
      <c r="K63" s="4" t="n">
        <f aca="false">IF($A63="","",IFERROR(VLOOKUP(B63,CHOOSE(MATCH(C63,Settings!$L$4:$L$10,0),OPR_2P!$A$4:$I$18,SEG_6P!$A$4:$I$18,SOL_4P!$A$4:$I$18,RW_2P!$A$4:$I$18,RW2_4P!$A$4:$I$18,FLAP_4P!$A$4:$I$18,TUBE_4P!$A$4:$I$18),3,0),0))</f>
        <v>31</v>
      </c>
      <c r="L63" s="4" t="n">
        <f aca="false">IF($A63="","",K63*D63)</f>
        <v>186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46454.8657407407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IF($A64="","",IFERROR(INDEX(Machine_List!$B$14:$B$19,MATCH("*"&amp;$B64&amp;"*",Machine_List!$J$14:$J$19,0)),"NO COMPATIBLE MACHINE"))</f>
        <v>CARVING-MC-01</v>
      </c>
      <c r="F64" s="5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46418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IF($A64="","",IF($I64&lt;&gt;"",$I64,MAX(GlobalStartDate,IFERROR(LOOKUP(2,1/($E$3:INDIRECT("E"&amp;(ROW()-1))=$E64),$M$3:INDIRECT("M"&amp;(ROW()-1))),GlobalStartDate))))</f>
        <v>46454.8657407407</v>
      </c>
      <c r="K64" s="4" t="n">
        <f aca="false">IF($A64="","",IFERROR(VLOOKUP(B64,CHOOSE(MATCH(C64,Settings!$L$4:$L$10,0),OPR_2P!$A$4:$I$18,SEG_6P!$A$4:$I$18,SOL_4P!$A$4:$I$18,RW_2P!$A$4:$I$18,RW2_4P!$A$4:$I$18,FLAP_4P!$A$4:$I$18,TUBE_4P!$A$4:$I$18),3,0),0))</f>
        <v>3</v>
      </c>
      <c r="L64" s="4" t="n">
        <f aca="false">IF($A64="","",K64*D64)</f>
        <v>6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46455.1435185185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C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IF($A65="","",IFERROR(INDEX(Machine_List!$B$14:$B$19,MATCH("*"&amp;$B65&amp;"*",Machine_List!$J$14:$J$19,0)),"NO COMPATIBLE MACHINE"))</f>
        <v>CARVING-MC-01</v>
      </c>
      <c r="F65" s="5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46418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IF($A65="","",IF($I65&lt;&gt;"",$I65,MAX(GlobalStartDate,IFERROR(LOOKUP(2,1/($E$3:INDIRECT("E"&amp;(ROW()-1))=$E65),$M$3:INDIRECT("M"&amp;(ROW()-1))),GlobalStartDate))))</f>
        <v>46455.1435185185</v>
      </c>
      <c r="K65" s="4" t="n">
        <f aca="false">IF($A65="","",IFERROR(VLOOKUP(B65,CHOOSE(MATCH(C65,Settings!$L$4:$L$10,0),OPR_2P!$A$4:$I$18,SEG_6P!$A$4:$I$18,SOL_4P!$A$4:$I$18,RW_2P!$A$4:$I$18,RW2_4P!$A$4:$I$18,FLAP_4P!$A$4:$I$18,TUBE_4P!$A$4:$I$18),3,0),0))</f>
        <v>71</v>
      </c>
      <c r="L65" s="4" t="n">
        <f aca="false">IF($A65="","",K65*D65)</f>
        <v>284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46468.2916666667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IF($A66="","",IFERROR(INDEX(Machine_List!$B$14:$B$19,MATCH("*"&amp;$B66&amp;"*",Machine_List!$J$14:$J$19,0)),"NO COMPATIBLE MACHINE"))</f>
        <v>CARVING-MC-01</v>
      </c>
      <c r="F66" s="5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46418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IF($A66="","",IF($I66&lt;&gt;"",$I66,MAX(GlobalStartDate,IFERROR(LOOKUP(2,1/($E$3:INDIRECT("E"&amp;(ROW()-1))=$E66),$M$3:INDIRECT("M"&amp;(ROW()-1))),GlobalStartDate))))</f>
        <v>46468.2916666667</v>
      </c>
      <c r="K66" s="4" t="n">
        <f aca="false">IF($A66="","",IFERROR(VLOOKUP(B66,CHOOSE(MATCH(C66,Settings!$L$4:$L$10,0),OPR_2P!$A$4:$I$18,SEG_6P!$A$4:$I$18,SOL_4P!$A$4:$I$18,RW_2P!$A$4:$I$18,RW2_4P!$A$4:$I$18,FLAP_4P!$A$4:$I$18,TUBE_4P!$A$4:$I$18),3,0),0))</f>
        <v>43</v>
      </c>
      <c r="L66" s="4" t="n">
        <f aca="false">IF($A66="","",K66*D66)</f>
        <v>172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46476.2546296296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IF($A67="","",IFERROR(INDEX(Machine_List!$B$14:$B$19,MATCH("*"&amp;$B67&amp;"*",Machine_List!$J$14:$J$19,0)),"NO COMPATIBLE MACHINE"))</f>
        <v>CARVING-MC-01</v>
      </c>
      <c r="F67" s="5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46418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IF($A67="","",IF($I67&lt;&gt;"",$I67,MAX(GlobalStartDate,IFERROR(LOOKUP(2,1/($E$3:INDIRECT("E"&amp;(ROW()-1))=$E67),$M$3:INDIRECT("M"&amp;(ROW()-1))),GlobalStartDate))))</f>
        <v>46476.2546296296</v>
      </c>
      <c r="K67" s="4" t="n">
        <f aca="false">IF($A67="","",IFERROR(VLOOKUP(B67,CHOOSE(MATCH(C67,Settings!$L$4:$L$10,0),OPR_2P!$A$4:$I$18,SEG_6P!$A$4:$I$18,SOL_4P!$A$4:$I$18,RW_2P!$A$4:$I$18,RW2_4P!$A$4:$I$18,FLAP_4P!$A$4:$I$18,TUBE_4P!$A$4:$I$18),3,0),0))</f>
        <v>24</v>
      </c>
      <c r="L67" s="4" t="n">
        <f aca="false">IF($A67="","",K67*D67)</f>
        <v>48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46478.4768518519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IF($A68="","",IFERROR(INDEX(Machine_List!$B$14:$B$19,MATCH("*"&amp;$B68&amp;"*",Machine_List!$J$14:$J$19,0)),"NO COMPATIBLE MACHINE"))</f>
        <v>CARVING-MC-01</v>
      </c>
      <c r="F68" s="5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46418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IF($A68="","",IF($I68&lt;&gt;"",$I68,MAX(GlobalStartDate,IFERROR(LOOKUP(2,1/($E$3:INDIRECT("E"&amp;(ROW()-1))=$E68),$M$3:INDIRECT("M"&amp;(ROW()-1))),GlobalStartDate))))</f>
        <v>46478.4768518519</v>
      </c>
      <c r="K68" s="4" t="n">
        <f aca="false">IF($A68="","",IFERROR(VLOOKUP(B68,CHOOSE(MATCH(C68,Settings!$L$4:$L$10,0),OPR_2P!$A$4:$I$18,SEG_6P!$A$4:$I$18,SOL_4P!$A$4:$I$18,RW_2P!$A$4:$I$18,RW2_4P!$A$4:$I$18,FLAP_4P!$A$4:$I$18,TUBE_4P!$A$4:$I$18),3,0),0))</f>
        <v>21</v>
      </c>
      <c r="L68" s="4" t="n">
        <f aca="false">IF($A68="","",K68*D68)</f>
        <v>42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46480.4212962963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IF($A69="","",IFERROR(INDEX(Machine_List!$B$14:$B$19,MATCH("*"&amp;$B69&amp;"*",Machine_List!$J$14:$J$19,0)),"NO COMPATIBLE MACHINE"))</f>
        <v>CARVING-MC-01</v>
      </c>
      <c r="F69" s="5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46418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IF($A69="","",IF($I69&lt;&gt;"",$I69,MAX(GlobalStartDate,IFERROR(LOOKUP(2,1/($E$3:INDIRECT("E"&amp;(ROW()-1))=$E69),$M$3:INDIRECT("M"&amp;(ROW()-1))),GlobalStartDate))))</f>
        <v>46480.4212962963</v>
      </c>
      <c r="K69" s="4" t="n">
        <f aca="false">IF($A69="","",IFERROR(VLOOKUP(B69,CHOOSE(MATCH(C69,Settings!$L$4:$L$10,0),OPR_2P!$A$4:$I$18,SEG_6P!$A$4:$I$18,SOL_4P!$A$4:$I$18,RW_2P!$A$4:$I$18,RW2_4P!$A$4:$I$18,FLAP_4P!$A$4:$I$18,TUBE_4P!$A$4:$I$18),3,0),0))</f>
        <v>60</v>
      </c>
      <c r="L69" s="4" t="n">
        <f aca="false">IF($A69="","",K69*D69)</f>
        <v>120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46485.9768518519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C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IF($A70="","",IFERROR(INDEX(Machine_List!$B$14:$B$19,MATCH("*"&amp;$B70&amp;"*",Machine_List!$J$14:$J$19,0)),"NO COMPATIBLE MACHINE"))</f>
        <v>CARVING-MC-01</v>
      </c>
      <c r="F70" s="5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46418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IF($A70="","",IF($I70&lt;&gt;"",$I70,MAX(GlobalStartDate,IFERROR(LOOKUP(2,1/($E$3:INDIRECT("E"&amp;(ROW()-1))=$E70),$M$3:INDIRECT("M"&amp;(ROW()-1))),GlobalStartDate))))</f>
        <v>46485.9768518519</v>
      </c>
      <c r="K70" s="4" t="n">
        <f aca="false">IF($A70="","",IFERROR(VLOOKUP(B70,CHOOSE(MATCH(C70,Settings!$L$4:$L$10,0),OPR_2P!$A$4:$I$18,SEG_6P!$A$4:$I$18,SOL_4P!$A$4:$I$18,RW_2P!$A$4:$I$18,RW2_4P!$A$4:$I$18,FLAP_4P!$A$4:$I$18,TUBE_4P!$A$4:$I$18),3,0),0))</f>
        <v>49</v>
      </c>
      <c r="L70" s="4" t="n">
        <f aca="false">IF($A70="","",K70*D70)</f>
        <v>196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46495.0509259259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C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IF($A71="","",IFERROR(INDEX(Machine_List!$B$14:$B$19,MATCH("*"&amp;$B71&amp;"*",Machine_List!$J$14:$J$19,0)),"NO COMPATIBLE MACHINE"))</f>
        <v>CARVING-MC-01</v>
      </c>
      <c r="F71" s="5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46418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IF($A71="","",IF($I71&lt;&gt;"",$I71,MAX(GlobalStartDate,IFERROR(LOOKUP(2,1/($E$3:INDIRECT("E"&amp;(ROW()-1))=$E71),$M$3:INDIRECT("M"&amp;(ROW()-1))),GlobalStartDate))))</f>
        <v>46495.0509259259</v>
      </c>
      <c r="K71" s="4" t="n">
        <f aca="false">IF($A71="","",IFERROR(VLOOKUP(B71,CHOOSE(MATCH(C71,Settings!$L$4:$L$10,0),OPR_2P!$A$4:$I$18,SEG_6P!$A$4:$I$18,SOL_4P!$A$4:$I$18,RW_2P!$A$4:$I$18,RW2_4P!$A$4:$I$18,FLAP_4P!$A$4:$I$18,TUBE_4P!$A$4:$I$18),3,0),0))</f>
        <v>20</v>
      </c>
      <c r="L71" s="4" t="n">
        <f aca="false">IF($A71="","",K71*D71)</f>
        <v>80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46498.7546296296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IF($A72="","",IFERROR(INDEX(Machine_List!$B$14:$B$19,MATCH("*"&amp;$B72&amp;"*",Machine_List!$J$14:$J$19,0)),"NO COMPATIBLE MACHINE"))</f>
        <v>CARVING-MC-01</v>
      </c>
      <c r="F72" s="5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46418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IF($A72="","",IF($I72&lt;&gt;"",$I72,MAX(GlobalStartDate,IFERROR(LOOKUP(2,1/($E$3:INDIRECT("E"&amp;(ROW()-1))=$E72),$M$3:INDIRECT("M"&amp;(ROW()-1))),GlobalStartDate))))</f>
        <v>46498.7546296296</v>
      </c>
      <c r="K72" s="4" t="n">
        <f aca="false">IF($A72="","",IFERROR(VLOOKUP(B72,CHOOSE(MATCH(C72,Settings!$L$4:$L$10,0),OPR_2P!$A$4:$I$18,SEG_6P!$A$4:$I$18,SOL_4P!$A$4:$I$18,RW_2P!$A$4:$I$18,RW2_4P!$A$4:$I$18,FLAP_4P!$A$4:$I$18,TUBE_4P!$A$4:$I$18),3,0),0))</f>
        <v>14</v>
      </c>
      <c r="L72" s="4" t="n">
        <f aca="false">IF($A72="","",K72*D72)</f>
        <v>28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46500.0509259259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IF($A73="","",IFERROR(INDEX(Machine_List!$B$14:$B$19,MATCH("*"&amp;$B73&amp;"*",Machine_List!$J$14:$J$19,0)),"NO COMPATIBLE MACHINE"))</f>
        <v>CARVING-MC-01</v>
      </c>
      <c r="F73" s="5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46418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IF($A73="","",IF($I73&lt;&gt;"",$I73,MAX(GlobalStartDate,IFERROR(LOOKUP(2,1/($E$3:INDIRECT("E"&amp;(ROW()-1))=$E73),$M$3:INDIRECT("M"&amp;(ROW()-1))),GlobalStartDate))))</f>
        <v>46500.0509259259</v>
      </c>
      <c r="K73" s="4" t="n">
        <f aca="false">IF($A73="","",IFERROR(VLOOKUP(B73,CHOOSE(MATCH(C73,Settings!$L$4:$L$10,0),OPR_2P!$A$4:$I$18,SEG_6P!$A$4:$I$18,SOL_4P!$A$4:$I$18,RW_2P!$A$4:$I$18,RW2_4P!$A$4:$I$18,FLAP_4P!$A$4:$I$18,TUBE_4P!$A$4:$I$18),3,0),0))</f>
        <v>18</v>
      </c>
      <c r="L73" s="4" t="n">
        <f aca="false">IF($A73="","",K73*D73)</f>
        <v>108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46505.0509259259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IF($A74="","",IFERROR(INDEX(Machine_List!$B$14:$B$19,MATCH("*"&amp;$B74&amp;"*",Machine_List!$J$14:$J$19,0)),"NO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IF($A74="","",IF($I74&lt;&gt;"",$I74,MAX(GlobalStartDate,IFERROR(LOOKUP(2,1/($E$3:INDIRECT("E"&amp;(ROW()-1))=$E74),$M$3:INDIRECT("M"&amp;(ROW()-1))),GlobalStartDate))))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IF($A74="","",IFERROR(VLOOKUP(B74,CHOOSE(MATCH(C74,Settings!$L$4:$L$10,0),OPR_2P!$A$4:$I$18,SEG_6P!$A$4:$I$18,SOL_4P!$A$4:$I$18,RW_2P!$A$4:$I$18,RW2_4P!$A$4:$I$18,FLAP_4P!$A$4:$I$18,TUBE_4P!$A$4:$I$18),3,0),0))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IF($A75="","",IFERROR(INDEX(Machine_List!$B$14:$B$19,MATCH("*"&amp;$B75&amp;"*",Machine_List!$J$14:$J$19,0)),"NO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IF($A75="","",IF($I75&lt;&gt;"",$I75,MAX(GlobalStartDate,IFERROR(LOOKUP(2,1/($E$3:INDIRECT("E"&amp;(ROW()-1))=$E75),$M$3:INDIRECT("M"&amp;(ROW()-1))),GlobalStartDate))))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IF($A75="","",IFERROR(VLOOKUP(B75,CHOOSE(MATCH(C75,Settings!$L$4:$L$10,0),OPR_2P!$A$4:$I$18,SEG_6P!$A$4:$I$18,SOL_4P!$A$4:$I$18,RW_2P!$A$4:$I$18,RW2_4P!$A$4:$I$18,FLAP_4P!$A$4:$I$18,TUBE_4P!$A$4:$I$18),3,0),0))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IF($A76="","",IFERROR(INDEX(Machine_List!$B$14:$B$19,MATCH("*"&amp;$B76&amp;"*",Machine_List!$J$14:$J$19,0)),"NO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IF($A76="","",IF($I76&lt;&gt;"",$I76,MAX(GlobalStartDate,IFERROR(LOOKUP(2,1/($E$3:INDIRECT("E"&amp;(ROW()-1))=$E76),$M$3:INDIRECT("M"&amp;(ROW()-1))),GlobalStartDate))))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IF($A76="","",IFERROR(VLOOKUP(B76,CHOOSE(MATCH(C76,Settings!$L$4:$L$10,0),OPR_2P!$A$4:$I$18,SEG_6P!$A$4:$I$18,SOL_4P!$A$4:$I$18,RW_2P!$A$4:$I$18,RW2_4P!$A$4:$I$18,FLAP_4P!$A$4:$I$18,TUBE_4P!$A$4:$I$18),3,0),0))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IF($A77="","",IFERROR(INDEX(Machine_List!$B$14:$B$19,MATCH("*"&amp;$B77&amp;"*",Machine_List!$J$14:$J$19,0)),"NO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IF($A77="","",IF($I77&lt;&gt;"",$I77,MAX(GlobalStartDate,IFERROR(LOOKUP(2,1/($E$3:INDIRECT("E"&amp;(ROW()-1))=$E77),$M$3:INDIRECT("M"&amp;(ROW()-1))),GlobalStartDate))))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IF($A77="","",IFERROR(VLOOKUP(B77,CHOOSE(MATCH(C77,Settings!$L$4:$L$10,0),OPR_2P!$A$4:$I$18,SEG_6P!$A$4:$I$18,SOL_4P!$A$4:$I$18,RW_2P!$A$4:$I$18,RW2_4P!$A$4:$I$18,FLAP_4P!$A$4:$I$18,TUBE_4P!$A$4:$I$18),3,0),0))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IF($A78="","",IFERROR(INDEX(Machine_List!$B$14:$B$19,MATCH("*"&amp;$B78&amp;"*",Machine_List!$J$14:$J$19,0)),"NO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IF($A78="","",IF($I78&lt;&gt;"",$I78,MAX(GlobalStartDate,IFERROR(LOOKUP(2,1/($E$3:INDIRECT("E"&amp;(ROW()-1))=$E78),$M$3:INDIRECT("M"&amp;(ROW()-1))),GlobalStartDate))))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IF($A78="","",IFERROR(VLOOKUP(B78,CHOOSE(MATCH(C78,Settings!$L$4:$L$10,0),OPR_2P!$A$4:$I$18,SEG_6P!$A$4:$I$18,SOL_4P!$A$4:$I$18,RW_2P!$A$4:$I$18,RW2_4P!$A$4:$I$18,FLAP_4P!$A$4:$I$18,TUBE_4P!$A$4:$I$18),3,0),0))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IF($A79="","",IFERROR(INDEX(Machine_List!$B$14:$B$19,MATCH("*"&amp;$B79&amp;"*",Machine_List!$J$14:$J$19,0)),"NO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IF($A79="","",IF($I79&lt;&gt;"",$I79,MAX(GlobalStartDate,IFERROR(LOOKUP(2,1/($E$3:INDIRECT("E"&amp;(ROW()-1))=$E79),$M$3:INDIRECT("M"&amp;(ROW()-1))),GlobalStartDate))))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IF($A79="","",IFERROR(VLOOKUP(B79,CHOOSE(MATCH(C79,Settings!$L$4:$L$10,0),OPR_2P!$A$4:$I$18,SEG_6P!$A$4:$I$18,SOL_4P!$A$4:$I$18,RW_2P!$A$4:$I$18,RW2_4P!$A$4:$I$18,FLAP_4P!$A$4:$I$18,TUBE_4P!$A$4:$I$18),3,0),0))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IF($A80="","",IFERROR(INDEX(Machine_List!$B$14:$B$19,MATCH("*"&amp;$B80&amp;"*",Machine_List!$J$14:$J$19,0)),"NO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IF($A80="","",IF($I80&lt;&gt;"",$I80,MAX(GlobalStartDate,IFERROR(LOOKUP(2,1/($E$3:INDIRECT("E"&amp;(ROW()-1))=$E80),$M$3:INDIRECT("M"&amp;(ROW()-1))),GlobalStartDate))))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IF($A80="","",IFERROR(VLOOKUP(B80,CHOOSE(MATCH(C80,Settings!$L$4:$L$10,0),OPR_2P!$A$4:$I$18,SEG_6P!$A$4:$I$18,SOL_4P!$A$4:$I$18,RW_2P!$A$4:$I$18,RW2_4P!$A$4:$I$18,FLAP_4P!$A$4:$I$18,TUBE_4P!$A$4:$I$18),3,0),0))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IF($A81="","",IFERROR(INDEX(Machine_List!$B$14:$B$19,MATCH("*"&amp;$B81&amp;"*",Machine_List!$J$14:$J$19,0)),"NO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IF($A81="","",IF($I81&lt;&gt;"",$I81,MAX(GlobalStartDate,IFERROR(LOOKUP(2,1/($E$3:INDIRECT("E"&amp;(ROW()-1))=$E81),$M$3:INDIRECT("M"&amp;(ROW()-1))),GlobalStartDate))))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IF($A81="","",IFERROR(VLOOKUP(B81,CHOOSE(MATCH(C81,Settings!$L$4:$L$10,0),OPR_2P!$A$4:$I$18,SEG_6P!$A$4:$I$18,SOL_4P!$A$4:$I$18,RW_2P!$A$4:$I$18,RW2_4P!$A$4:$I$18,FLAP_4P!$A$4:$I$18,TUBE_4P!$A$4:$I$18),3,0),0))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IF($A82="","",IFERROR(INDEX(Machine_List!$B$14:$B$19,MATCH("*"&amp;$B82&amp;"*",Machine_List!$J$14:$J$19,0)),"NO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IF($A82="","",IF($I82&lt;&gt;"",$I82,MAX(GlobalStartDate,IFERROR(LOOKUP(2,1/($E$3:INDIRECT("E"&amp;(ROW()-1))=$E82),$M$3:INDIRECT("M"&amp;(ROW()-1))),GlobalStartDate))))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IF($A82="","",IFERROR(VLOOKUP(B82,CHOOSE(MATCH(C82,Settings!$L$4:$L$10,0),OPR_2P!$A$4:$I$18,SEG_6P!$A$4:$I$18,SOL_4P!$A$4:$I$18,RW_2P!$A$4:$I$18,RW2_4P!$A$4:$I$18,FLAP_4P!$A$4:$I$18,TUBE_4P!$A$4:$I$18),3,0),0))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IF($A83="","",IFERROR(INDEX(Machine_List!$B$14:$B$19,MATCH("*"&amp;$B83&amp;"*",Machine_List!$J$14:$J$19,0)),"NO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IF($A83="","",IF($I83&lt;&gt;"",$I83,MAX(GlobalStartDate,IFERROR(LOOKUP(2,1/($E$3:INDIRECT("E"&amp;(ROW()-1))=$E83),$M$3:INDIRECT("M"&amp;(ROW()-1))),GlobalStartDate))))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IF($A83="","",IFERROR(VLOOKUP(B83,CHOOSE(MATCH(C83,Settings!$L$4:$L$10,0),OPR_2P!$A$4:$I$18,SEG_6P!$A$4:$I$18,SOL_4P!$A$4:$I$18,RW_2P!$A$4:$I$18,RW2_4P!$A$4:$I$18,FLAP_4P!$A$4:$I$18,TUBE_4P!$A$4:$I$18),3,0),0))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IF($A84="","",IFERROR(INDEX(Machine_List!$B$14:$B$19,MATCH("*"&amp;$B84&amp;"*",Machine_List!$J$14:$J$19,0)),"NO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IF($A84="","",IF($I84&lt;&gt;"",$I84,MAX(GlobalStartDate,IFERROR(LOOKUP(2,1/($E$3:INDIRECT("E"&amp;(ROW()-1))=$E84),$M$3:INDIRECT("M"&amp;(ROW()-1))),GlobalStartDate))))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IF($A84="","",IFERROR(VLOOKUP(B84,CHOOSE(MATCH(C84,Settings!$L$4:$L$10,0),OPR_2P!$A$4:$I$18,SEG_6P!$A$4:$I$18,SOL_4P!$A$4:$I$18,RW_2P!$A$4:$I$18,RW2_4P!$A$4:$I$18,FLAP_4P!$A$4:$I$18,TUBE_4P!$A$4:$I$18),3,0),0))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IF($A85="","",IFERROR(INDEX(Machine_List!$B$14:$B$19,MATCH("*"&amp;$B85&amp;"*",Machine_List!$J$14:$J$19,0)),"NO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IF($A85="","",IF($I85&lt;&gt;"",$I85,MAX(GlobalStartDate,IFERROR(LOOKUP(2,1/($E$3:INDIRECT("E"&amp;(ROW()-1))=$E85),$M$3:INDIRECT("M"&amp;(ROW()-1))),GlobalStartDate))))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IF($A85="","",IFERROR(VLOOKUP(B85,CHOOSE(MATCH(C85,Settings!$L$4:$L$10,0),OPR_2P!$A$4:$I$18,SEG_6P!$A$4:$I$18,SOL_4P!$A$4:$I$18,RW_2P!$A$4:$I$18,RW2_4P!$A$4:$I$18,FLAP_4P!$A$4:$I$18,TUBE_4P!$A$4:$I$18),3,0),0))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IF($A86="","",IFERROR(INDEX(Machine_List!$B$14:$B$19,MATCH("*"&amp;$B86&amp;"*",Machine_List!$J$14:$J$19,0)),"NO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IF($A86="","",IF($I86&lt;&gt;"",$I86,MAX(GlobalStartDate,IFERROR(LOOKUP(2,1/($E$3:INDIRECT("E"&amp;(ROW()-1))=$E86),$M$3:INDIRECT("M"&amp;(ROW()-1))),GlobalStartDate))))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IF($A86="","",IFERROR(VLOOKUP(B86,CHOOSE(MATCH(C86,Settings!$L$4:$L$10,0),OPR_2P!$A$4:$I$18,SEG_6P!$A$4:$I$18,SOL_4P!$A$4:$I$18,RW_2P!$A$4:$I$18,RW2_4P!$A$4:$I$18,FLAP_4P!$A$4:$I$18,TUBE_4P!$A$4:$I$18),3,0),0))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IF($A87="","",IFERROR(INDEX(Machine_List!$B$14:$B$19,MATCH("*"&amp;$B87&amp;"*",Machine_List!$J$14:$J$19,0)),"NO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IF($A87="","",IF($I87&lt;&gt;"",$I87,MAX(GlobalStartDate,IFERROR(LOOKUP(2,1/($E$3:INDIRECT("E"&amp;(ROW()-1))=$E87),$M$3:INDIRECT("M"&amp;(ROW()-1))),GlobalStartDate))))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IF($A87="","",IFERROR(VLOOKUP(B87,CHOOSE(MATCH(C87,Settings!$L$4:$L$10,0),OPR_2P!$A$4:$I$18,SEG_6P!$A$4:$I$18,SOL_4P!$A$4:$I$18,RW_2P!$A$4:$I$18,RW2_4P!$A$4:$I$18,FLAP_4P!$A$4:$I$18,TUBE_4P!$A$4:$I$18),3,0),0))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IF($A88="","",IFERROR(INDEX(Machine_List!$B$14:$B$19,MATCH("*"&amp;$B88&amp;"*",Machine_List!$J$14:$J$19,0)),"NO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IF($A88="","",IF($I88&lt;&gt;"",$I88,MAX(GlobalStartDate,IFERROR(LOOKUP(2,1/($E$3:INDIRECT("E"&amp;(ROW()-1))=$E88),$M$3:INDIRECT("M"&amp;(ROW()-1))),GlobalStartDate))))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IF($A88="","",IFERROR(VLOOKUP(B88,CHOOSE(MATCH(C88,Settings!$L$4:$L$10,0),OPR_2P!$A$4:$I$18,SEG_6P!$A$4:$I$18,SOL_4P!$A$4:$I$18,RW_2P!$A$4:$I$18,RW2_4P!$A$4:$I$18,FLAP_4P!$A$4:$I$18,TUBE_4P!$A$4:$I$18),3,0),0))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IF($A89="","",IFERROR(INDEX(Machine_List!$B$14:$B$19,MATCH("*"&amp;$B89&amp;"*",Machine_List!$J$14:$J$19,0)),"NO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IF($A89="","",IF($I89&lt;&gt;"",$I89,MAX(GlobalStartDate,IFERROR(LOOKUP(2,1/($E$3:INDIRECT("E"&amp;(ROW()-1))=$E89),$M$3:INDIRECT("M"&amp;(ROW()-1))),GlobalStartDate))))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IF($A89="","",IFERROR(VLOOKUP(B89,CHOOSE(MATCH(C89,Settings!$L$4:$L$10,0),OPR_2P!$A$4:$I$18,SEG_6P!$A$4:$I$18,SOL_4P!$A$4:$I$18,RW_2P!$A$4:$I$18,RW2_4P!$A$4:$I$18,FLAP_4P!$A$4:$I$18,TUBE_4P!$A$4:$I$18),3,0),0))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IF($A90="","",IFERROR(INDEX(Machine_List!$B$14:$B$19,MATCH("*"&amp;$B90&amp;"*",Machine_List!$J$14:$J$19,0)),"NO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IF($A90="","",IF($I90&lt;&gt;"",$I90,MAX(GlobalStartDate,IFERROR(LOOKUP(2,1/($E$3:INDIRECT("E"&amp;(ROW()-1))=$E90),$M$3:INDIRECT("M"&amp;(ROW()-1))),GlobalStartDate))))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IF($A90="","",IFERROR(VLOOKUP(B90,CHOOSE(MATCH(C90,Settings!$L$4:$L$10,0),OPR_2P!$A$4:$I$18,SEG_6P!$A$4:$I$18,SOL_4P!$A$4:$I$18,RW_2P!$A$4:$I$18,RW2_4P!$A$4:$I$18,FLAP_4P!$A$4:$I$18,TUBE_4P!$A$4:$I$18),3,0),0))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IF($A91="","",IFERROR(INDEX(Machine_List!$B$14:$B$19,MATCH("*"&amp;$B91&amp;"*",Machine_List!$J$14:$J$19,0)),"NO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IF($A91="","",IF($I91&lt;&gt;"",$I91,MAX(GlobalStartDate,IFERROR(LOOKUP(2,1/($E$3:INDIRECT("E"&amp;(ROW()-1))=$E91),$M$3:INDIRECT("M"&amp;(ROW()-1))),GlobalStartDate))))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IF($A91="","",IFERROR(VLOOKUP(B91,CHOOSE(MATCH(C91,Settings!$L$4:$L$10,0),OPR_2P!$A$4:$I$18,SEG_6P!$A$4:$I$18,SOL_4P!$A$4:$I$18,RW_2P!$A$4:$I$18,RW2_4P!$A$4:$I$18,FLAP_4P!$A$4:$I$18,TUBE_4P!$A$4:$I$18),3,0),0))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IF($A92="","",IFERROR(INDEX(Machine_List!$B$14:$B$19,MATCH("*"&amp;$B92&amp;"*",Machine_List!$J$14:$J$19,0)),"NO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IF($A92="","",IF($I92&lt;&gt;"",$I92,MAX(GlobalStartDate,IFERROR(LOOKUP(2,1/($E$3:INDIRECT("E"&amp;(ROW()-1))=$E92),$M$3:INDIRECT("M"&amp;(ROW()-1))),GlobalStartDate))))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IF($A92="","",IFERROR(VLOOKUP(B92,CHOOSE(MATCH(C92,Settings!$L$4:$L$10,0),OPR_2P!$A$4:$I$18,SEG_6P!$A$4:$I$18,SOL_4P!$A$4:$I$18,RW_2P!$A$4:$I$18,RW2_4P!$A$4:$I$18,FLAP_4P!$A$4:$I$18,TUBE_4P!$A$4:$I$18),3,0),0))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IF($A93="","",IFERROR(INDEX(Machine_List!$B$14:$B$19,MATCH("*"&amp;$B93&amp;"*",Machine_List!$J$14:$J$19,0)),"NO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IF($A93="","",IF($I93&lt;&gt;"",$I93,MAX(GlobalStartDate,IFERROR(LOOKUP(2,1/($E$3:INDIRECT("E"&amp;(ROW()-1))=$E93),$M$3:INDIRECT("M"&amp;(ROW()-1))),GlobalStartDate))))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IF($A93="","",IFERROR(VLOOKUP(B93,CHOOSE(MATCH(C93,Settings!$L$4:$L$10,0),OPR_2P!$A$4:$I$18,SEG_6P!$A$4:$I$18,SOL_4P!$A$4:$I$18,RW_2P!$A$4:$I$18,RW2_4P!$A$4:$I$18,FLAP_4P!$A$4:$I$18,TUBE_4P!$A$4:$I$18),3,0),0))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IF($A94="","",IFERROR(INDEX(Machine_List!$B$14:$B$19,MATCH("*"&amp;$B94&amp;"*",Machine_List!$J$14:$J$19,0)),"NO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IF($A94="","",IF($I94&lt;&gt;"",$I94,MAX(GlobalStartDate,IFERROR(LOOKUP(2,1/($E$3:INDIRECT("E"&amp;(ROW()-1))=$E94),$M$3:INDIRECT("M"&amp;(ROW()-1))),GlobalStartDate))))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IF($A94="","",IFERROR(VLOOKUP(B94,CHOOSE(MATCH(C94,Settings!$L$4:$L$10,0),OPR_2P!$A$4:$I$18,SEG_6P!$A$4:$I$18,SOL_4P!$A$4:$I$18,RW_2P!$A$4:$I$18,RW2_4P!$A$4:$I$18,FLAP_4P!$A$4:$I$18,TUBE_4P!$A$4:$I$18),3,0),0))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IF($A95="","",IFERROR(INDEX(Machine_List!$B$14:$B$19,MATCH("*"&amp;$B95&amp;"*",Machine_List!$J$14:$J$19,0)),"NO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IF($A95="","",IF($I95&lt;&gt;"",$I95,MAX(GlobalStartDate,IFERROR(LOOKUP(2,1/($E$3:INDIRECT("E"&amp;(ROW()-1))=$E95),$M$3:INDIRECT("M"&amp;(ROW()-1))),GlobalStartDate))))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IF($A95="","",IFERROR(VLOOKUP(B95,CHOOSE(MATCH(C95,Settings!$L$4:$L$10,0),OPR_2P!$A$4:$I$18,SEG_6P!$A$4:$I$18,SOL_4P!$A$4:$I$18,RW_2P!$A$4:$I$18,RW2_4P!$A$4:$I$18,FLAP_4P!$A$4:$I$18,TUBE_4P!$A$4:$I$18),3,0),0))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IF($A96="","",IFERROR(INDEX(Machine_List!$B$14:$B$19,MATCH("*"&amp;$B96&amp;"*",Machine_List!$J$14:$J$19,0)),"NO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IF($A96="","",IF($I96&lt;&gt;"",$I96,MAX(GlobalStartDate,IFERROR(LOOKUP(2,1/($E$3:INDIRECT("E"&amp;(ROW()-1))=$E96),$M$3:INDIRECT("M"&amp;(ROW()-1))),GlobalStartDate))))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IF($A96="","",IFERROR(VLOOKUP(B96,CHOOSE(MATCH(C96,Settings!$L$4:$L$10,0),OPR_2P!$A$4:$I$18,SEG_6P!$A$4:$I$18,SOL_4P!$A$4:$I$18,RW_2P!$A$4:$I$18,RW2_4P!$A$4:$I$18,FLAP_4P!$A$4:$I$18,TUBE_4P!$A$4:$I$18),3,0),0))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IF($A97="","",IFERROR(INDEX(Machine_List!$B$14:$B$19,MATCH("*"&amp;$B97&amp;"*",Machine_List!$J$14:$J$19,0)),"NO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IF($A97="","",IF($I97&lt;&gt;"",$I97,MAX(GlobalStartDate,IFERROR(LOOKUP(2,1/($E$3:INDIRECT("E"&amp;(ROW()-1))=$E97),$M$3:INDIRECT("M"&amp;(ROW()-1))),GlobalStartDate))))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IF($A97="","",IFERROR(VLOOKUP(B97,CHOOSE(MATCH(C97,Settings!$L$4:$L$10,0),OPR_2P!$A$4:$I$18,SEG_6P!$A$4:$I$18,SOL_4P!$A$4:$I$18,RW_2P!$A$4:$I$18,RW2_4P!$A$4:$I$18,FLAP_4P!$A$4:$I$18,TUBE_4P!$A$4:$I$18),3,0),0))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IF($A98="","",IFERROR(INDEX(Machine_List!$B$14:$B$19,MATCH("*"&amp;$B98&amp;"*",Machine_List!$J$14:$J$19,0)),"NO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IF($A98="","",IF($I98&lt;&gt;"",$I98,MAX(GlobalStartDate,IFERROR(LOOKUP(2,1/($E$3:INDIRECT("E"&amp;(ROW()-1))=$E98),$M$3:INDIRECT("M"&amp;(ROW()-1))),GlobalStartDate))))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IF($A98="","",IFERROR(VLOOKUP(B98,CHOOSE(MATCH(C98,Settings!$L$4:$L$10,0),OPR_2P!$A$4:$I$18,SEG_6P!$A$4:$I$18,SOL_4P!$A$4:$I$18,RW_2P!$A$4:$I$18,RW2_4P!$A$4:$I$18,FLAP_4P!$A$4:$I$18,TUBE_4P!$A$4:$I$18),3,0),0))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IF($A99="","",IFERROR(INDEX(Machine_List!$B$14:$B$19,MATCH("*"&amp;$B99&amp;"*",Machine_List!$J$14:$J$19,0)),"NO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IF($A99="","",IF($I99&lt;&gt;"",$I99,MAX(GlobalStartDate,IFERROR(LOOKUP(2,1/($E$3:INDIRECT("E"&amp;(ROW()-1))=$E99),$M$3:INDIRECT("M"&amp;(ROW()-1))),GlobalStartDate))))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IF($A99="","",IFERROR(VLOOKUP(B99,CHOOSE(MATCH(C99,Settings!$L$4:$L$10,0),OPR_2P!$A$4:$I$18,SEG_6P!$A$4:$I$18,SOL_4P!$A$4:$I$18,RW_2P!$A$4:$I$18,RW2_4P!$A$4:$I$18,FLAP_4P!$A$4:$I$18,TUBE_4P!$A$4:$I$18),3,0),0))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IF($A100="","",IFERROR(INDEX(Machine_List!$B$14:$B$19,MATCH("*"&amp;$B100&amp;"*",Machine_List!$J$14:$J$19,0)),"NO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IF($A100="","",IF($I100&lt;&gt;"",$I100,MAX(GlobalStartDate,IFERROR(LOOKUP(2,1/($E$3:INDIRECT("E"&amp;(ROW()-1))=$E100),$M$3:INDIRECT("M"&amp;(ROW()-1))),GlobalStartDate))))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IF($A100="","",IFERROR(VLOOKUP(B100,CHOOSE(MATCH(C100,Settings!$L$4:$L$10,0),OPR_2P!$A$4:$I$18,SEG_6P!$A$4:$I$18,SOL_4P!$A$4:$I$18,RW_2P!$A$4:$I$18,RW2_4P!$A$4:$I$18,FLAP_4P!$A$4:$I$18,TUBE_4P!$A$4:$I$18),3,0),0))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IF($A101="","",IFERROR(INDEX(Machine_List!$B$14:$B$19,MATCH("*"&amp;$B101&amp;"*",Machine_List!$J$14:$J$19,0)),"NO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IF($A101="","",IF($I101&lt;&gt;"",$I101,MAX(GlobalStartDate,IFERROR(LOOKUP(2,1/($E$3:INDIRECT("E"&amp;(ROW()-1))=$E101),$M$3:INDIRECT("M"&amp;(ROW()-1))),GlobalStartDate))))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IF($A101="","",IFERROR(VLOOKUP(B101,CHOOSE(MATCH(C101,Settings!$L$4:$L$10,0),OPR_2P!$A$4:$I$18,SEG_6P!$A$4:$I$18,SOL_4P!$A$4:$I$18,RW_2P!$A$4:$I$18,RW2_4P!$A$4:$I$18,FLAP_4P!$A$4:$I$18,TUBE_4P!$A$4:$I$18),3,0),0))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IF($A102="","",IFERROR(INDEX(Machine_List!$B$14:$B$19,MATCH("*"&amp;$B102&amp;"*",Machine_List!$J$14:$J$19,0)),"NO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IF($A102="","",IF($I102&lt;&gt;"",$I102,MAX(GlobalStartDate,IFERROR(LOOKUP(2,1/($E$3:INDIRECT("E"&amp;(ROW()-1))=$E102),$M$3:INDIRECT("M"&amp;(ROW()-1))),GlobalStartDate))))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IF($A102="","",IFERROR(VLOOKUP(B102,CHOOSE(MATCH(C102,Settings!$L$4:$L$10,0),OPR_2P!$A$4:$I$18,SEG_6P!$A$4:$I$18,SOL_4P!$A$4:$I$18,RW_2P!$A$4:$I$18,RW2_4P!$A$4:$I$18,FLAP_4P!$A$4:$I$18,TUBE_4P!$A$4:$I$18),3,0),0))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IF($A103="","",IFERROR(INDEX(Machine_List!$B$14:$B$19,MATCH("*"&amp;$B103&amp;"*",Machine_List!$J$14:$J$19,0)),"NO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IF($A103="","",IF($I103&lt;&gt;"",$I103,MAX(GlobalStartDate,IFERROR(LOOKUP(2,1/($E$3:INDIRECT("E"&amp;(ROW()-1))=$E103),$M$3:INDIRECT("M"&amp;(ROW()-1))),GlobalStartDate))))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IF($A103="","",IFERROR(VLOOKUP(B103,CHOOSE(MATCH(C103,Settings!$L$4:$L$10,0),OPR_2P!$A$4:$I$18,SEG_6P!$A$4:$I$18,SOL_4P!$A$4:$I$18,RW_2P!$A$4:$I$18,RW2_4P!$A$4:$I$18,FLAP_4P!$A$4:$I$18,TUBE_4P!$A$4:$I$18),3,0),0))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10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X15" activeCellId="0" sqref="BX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28" width="14.33"/>
    <col collapsed="false" customWidth="true" hidden="false" outlineLevel="0" max="7" min="7" style="1" width="12.44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0.22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252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676</v>
      </c>
      <c r="BY3" s="45" t="n">
        <v>1042</v>
      </c>
      <c r="BZ3" s="45" t="n">
        <v>1702</v>
      </c>
      <c r="CA3" s="45" t="n">
        <v>1804</v>
      </c>
      <c r="CB3" s="45" t="n">
        <v>816</v>
      </c>
      <c r="CC3" s="45" t="n">
        <v>1540</v>
      </c>
      <c r="CD3" s="45" t="n">
        <v>336</v>
      </c>
      <c r="CE3" s="45" t="n">
        <v>1428</v>
      </c>
      <c r="CF3" s="45" t="n">
        <v>0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IF($A4="","",IFERROR(INDEX(Machine_List!$B$20:$B$49,MATCH("*"&amp;$B4&amp;"*",Machine_List!$J$20:$J$49,0)),"NO COMPATIBLE MACHINE"))</f>
        <v>EDM-MC-01</v>
      </c>
      <c r="F4" s="49" t="str">
        <f aca="false">IF($E4="","",IFERROR(VLOOKUP($E4,Machine_List!$B:$G,6,0),""))</f>
        <v>General Workman</v>
      </c>
      <c r="G4" s="50" t="n">
        <f aca="false">IF($E4="","",IFERROR(VLOOKUP($E4,Machine_List!$B:$C,2,0),""))</f>
        <v>46092</v>
      </c>
      <c r="H4" s="48" t="n">
        <f aca="false">IF($E4="","",IFERROR(VLOOKUP($E4,Machine_List!$B:$D,3,0),""))</f>
        <v>6</v>
      </c>
      <c r="I4" s="45"/>
      <c r="J4" s="51" t="n">
        <f aca="true">IF($A4="","",IF($I4&lt;&gt;"",$I4,MAX(MAX(SPM_Plan!$M4,CARVING_Plan!$M4),IFERROR(LOOKUP(2,1/($E$3:INDIRECT("E"&amp;(ROW()-1))=$E4),$M$3:INDIRECT("M"&amp;(ROW()-1))),MAX(SPM_Plan!$M4,CARVING_Plan!$M4)))))</f>
        <v>46119.4027777778</v>
      </c>
      <c r="K4" s="48" t="n">
        <f aca="false">IF($A4="","",IFERROR(VLOOKUP(B4,CHOOSE(MATCH(C4,Settings!$L$4:$L$10,0),OPR_2P!$A$4:$I$18,SEG_6P!$A$4:$I$18,SOL_4P!$A$4:$I$18,RW_2P!$A$4:$I$18,RW2_4P!$A$4:$I$18,FLAP_4P!$A$4:$I$18,TUBE_4P!$A$4:$I$18),4,0),0))</f>
        <v>35</v>
      </c>
      <c r="L4" s="48" t="n">
        <f aca="false">IF($A4="","",K4*D4)</f>
        <v>70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46122.6435185185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2" t="str">
        <f aca="false">IF(B4="","", IF(IFERROR(ISNUMBER(SEARCH(B4, VLOOKUP(E4, Machine_List!$B:$J, 9, 0))), FALSE()), "✅ Machine OK", "❌ Sug: " &amp; IFERROR(INDEX(Machine_List!$B$20:$B$49, MATCH("*"&amp;B4&amp;"*", Machine_List!$J$20:$J$49,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19440</v>
      </c>
      <c r="BY4" s="45" t="n">
        <v>20088</v>
      </c>
      <c r="BZ4" s="45" t="n">
        <v>19440</v>
      </c>
      <c r="CA4" s="45" t="n">
        <v>20088</v>
      </c>
      <c r="CB4" s="45" t="n">
        <v>20088</v>
      </c>
      <c r="CC4" s="45" t="n">
        <v>19440</v>
      </c>
      <c r="CD4" s="45" t="n">
        <v>20088</v>
      </c>
      <c r="CE4" s="45" t="n">
        <v>19440</v>
      </c>
      <c r="CF4" s="45" t="n">
        <v>20088</v>
      </c>
      <c r="CG4" s="45" t="n">
        <v>20088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IF($A5="","",IFERROR(INDEX(Machine_List!$B$20:$B$49,MATCH("*"&amp;$B5&amp;"*",Machine_List!$J$20:$J$49,0)),"NO COMPATIBLE MACHINE"))</f>
        <v>EDM-MC-09</v>
      </c>
      <c r="F5" s="54" t="str">
        <f aca="false">IF($E5="","",IFERROR(VLOOKUP($E5,Machine_List!$B:$G,6,0),""))</f>
        <v>General Workman</v>
      </c>
      <c r="G5" s="55" t="n">
        <f aca="false">IF($E5="","",IFERROR(VLOOKUP($E5,Machine_List!$B:$C,2,0),""))</f>
        <v>46237</v>
      </c>
      <c r="H5" s="4" t="n">
        <f aca="false">IF($E5="","",IFERROR(VLOOKUP($E5,Machine_List!$B:$D,3,0),""))</f>
        <v>6</v>
      </c>
      <c r="I5" s="56"/>
      <c r="J5" s="57" t="n">
        <f aca="true">IF($A5="","",IF($I5&lt;&gt;"",$I5,MAX(MAX(SPM_Plan!$M5,CARVING_Plan!$M5),IFERROR(LOOKUP(2,1/($E$3:INDIRECT("E"&amp;(ROW()-1))=$E5),$M$3:INDIRECT("M"&amp;(ROW()-1))),MAX(SPM_Plan!$M5,CARVING_Plan!$M5)))))</f>
        <v>46131.0694444444</v>
      </c>
      <c r="K5" s="4" t="n">
        <f aca="false">IF($A5="","",IFERROR(VLOOKUP(B5,CHOOSE(MATCH(C5,Settings!$L$4:$L$10,0),OPR_2P!$A$4:$I$18,SEG_6P!$A$4:$I$18,SOL_4P!$A$4:$I$18,RW_2P!$A$4:$I$18,RW2_4P!$A$4:$I$18,FLAP_4P!$A$4:$I$18,TUBE_4P!$A$4:$I$18),4,0),0))</f>
        <v>63</v>
      </c>
      <c r="L5" s="4" t="n">
        <f aca="false">IF($A5="","",K5*D5)</f>
        <v>252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46142.7361111111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B</v>
      </c>
      <c r="O5" s="52" t="str">
        <f aca="false">IF(B5="","", IF(IFERROR(ISNUMBER(SEARCH(B5, VLOOKUP(E5, Machine_List!$B:$J, 9, 0))), FALSE()), "✅ Machine OK", "❌ Sug: " &amp; IFERROR(INDEX(Machine_List!$B$20:$B$49, MATCH("*"&amp;B5&amp;"*", Machine_List!$J$20:$J$49,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IF($A6="","",IFERROR(INDEX(Machine_List!$B$20:$B$49,MATCH("*"&amp;$B6&amp;"*",Machine_List!$J$20:$J$49,0)),"NO COMPATIBLE MACHINE"))</f>
        <v>EDM-MC-01</v>
      </c>
      <c r="F6" s="54" t="str">
        <f aca="false">IF($E6="","",IFERROR(VLOOKUP($E6,Machine_List!$B:$G,6,0),""))</f>
        <v>General Workman</v>
      </c>
      <c r="G6" s="55" t="n">
        <f aca="false">IF($E6="","",IFERROR(VLOOKUP($E6,Machine_List!$B:$C,2,0),""))</f>
        <v>46092</v>
      </c>
      <c r="H6" s="4" t="n">
        <f aca="false">IF($E6="","",IFERROR(VLOOKUP($E6,Machine_List!$B:$D,3,0),""))</f>
        <v>6</v>
      </c>
      <c r="I6" s="56"/>
      <c r="J6" s="57" t="n">
        <f aca="true">IF($A6="","",IF($I6&lt;&gt;"",$I6,MAX(MAX(SPM_Plan!$M6,CARVING_Plan!$M6),IFERROR(LOOKUP(2,1/($E$3:INDIRECT("E"&amp;(ROW()-1))=$E6),$M$3:INDIRECT("M"&amp;(ROW()-1))),MAX(SPM_Plan!$M6,CARVING_Plan!$M6)))))</f>
        <v>46133.7546296296</v>
      </c>
      <c r="K6" s="4" t="n">
        <f aca="false">IF($A6="","",IFERROR(VLOOKUP(B6,CHOOSE(MATCH(C6,Settings!$L$4:$L$10,0),OPR_2P!$A$4:$I$18,SEG_6P!$A$4:$I$18,SOL_4P!$A$4:$I$18,RW_2P!$A$4:$I$18,RW2_4P!$A$4:$I$18,FLAP_4P!$A$4:$I$18,TUBE_4P!$A$4:$I$18),4,0),0))</f>
        <v>36</v>
      </c>
      <c r="L6" s="4" t="n">
        <f aca="false">IF($A6="","",K6*D6)</f>
        <v>72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46137.087962963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C</v>
      </c>
      <c r="O6" s="52" t="str">
        <f aca="false">IF(B6="","", IF(IFERROR(ISNUMBER(SEARCH(B6, VLOOKUP(E6, Machine_List!$B:$J, 9, 0))), FALSE()), "✅ Machine OK", "❌ Sug: " &amp; IFERROR(INDEX(Machine_List!$B$20:$B$49, MATCH("*"&amp;B6&amp;"*", Machine_List!$J$20:$J$49,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IF($A7="","",IFERROR(INDEX(Machine_List!$B$20:$B$49,MATCH("*"&amp;$B7&amp;"*",Machine_List!$J$20:$J$49,0)),"NO COMPATIBLE MACHINE"))</f>
        <v>EDM-MC-01</v>
      </c>
      <c r="F7" s="54" t="str">
        <f aca="false">IF($E7="","",IFERROR(VLOOKUP($E7,Machine_List!$B:$G,6,0),""))</f>
        <v>General Workman</v>
      </c>
      <c r="G7" s="55" t="n">
        <f aca="false">IF($E7="","",IFERROR(VLOOKUP($E7,Machine_List!$B:$C,2,0),""))</f>
        <v>46092</v>
      </c>
      <c r="H7" s="4" t="n">
        <f aca="false">IF($E7="","",IFERROR(VLOOKUP($E7,Machine_List!$B:$D,3,0),""))</f>
        <v>6</v>
      </c>
      <c r="I7" s="56"/>
      <c r="J7" s="57" t="n">
        <f aca="true">IF($A7="","",IF($I7&lt;&gt;"",$I7,MAX(MAX(SPM_Plan!$M7,CARVING_Plan!$M7),IFERROR(LOOKUP(2,1/($E$3:INDIRECT("E"&amp;(ROW()-1))=$E7),$M$3:INDIRECT("M"&amp;(ROW()-1))),MAX(SPM_Plan!$M7,CARVING_Plan!$M7)))))</f>
        <v>46144.3101851852</v>
      </c>
      <c r="K7" s="4" t="n">
        <f aca="false">IF($A7="","",IFERROR(VLOOKUP(B7,CHOOSE(MATCH(C7,Settings!$L$4:$L$10,0),OPR_2P!$A$4:$I$18,SEG_6P!$A$4:$I$18,SOL_4P!$A$4:$I$18,RW_2P!$A$4:$I$18,RW2_4P!$A$4:$I$18,FLAP_4P!$A$4:$I$18,TUBE_4P!$A$4:$I$18),4,0),0))</f>
        <v>26</v>
      </c>
      <c r="L7" s="4" t="n">
        <f aca="false">IF($A7="","",K7*D7)</f>
        <v>156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46151.5324074074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2" t="str">
        <f aca="false">IF(B7="","", IF(IFERROR(ISNUMBER(SEARCH(B7, VLOOKUP(E7, Machine_List!$B:$J, 9, 0))), FALSE()), "✅ Machine OK", "❌ Sug: " &amp; IFERROR(INDEX(Machine_List!$B$20:$B$49, MATCH("*"&amp;B7&amp;"*", Machine_List!$J$20:$J$49,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IF($A8="","",IFERROR(INDEX(Machine_List!$B$20:$B$49,MATCH("*"&amp;$B8&amp;"*",Machine_List!$J$20:$J$49,0)),"NO COMPATIBLE MACHINE"))</f>
        <v>EDM-MC-09</v>
      </c>
      <c r="F8" s="54" t="str">
        <f aca="false">IF($E8="","",IFERROR(VLOOKUP($E8,Machine_List!$B:$G,6,0),""))</f>
        <v>General Workman</v>
      </c>
      <c r="G8" s="55" t="n">
        <f aca="false">IF($E8="","",IFERROR(VLOOKUP($E8,Machine_List!$B:$C,2,0),""))</f>
        <v>46237</v>
      </c>
      <c r="H8" s="4" t="n">
        <f aca="false">IF($E8="","",IFERROR(VLOOKUP($E8,Machine_List!$B:$D,3,0),""))</f>
        <v>6</v>
      </c>
      <c r="I8" s="56"/>
      <c r="J8" s="57" t="n">
        <f aca="true">IF($A8="","",IF($I8&lt;&gt;"",$I8,MAX(MAX(SPM_Plan!$M8,CARVING_Plan!$M8),IFERROR(LOOKUP(2,1/($E$3:INDIRECT("E"&amp;(ROW()-1))=$E8),$M$3:INDIRECT("M"&amp;(ROW()-1))),MAX(SPM_Plan!$M8,CARVING_Plan!$M8)))))</f>
        <v>46157.9212962963</v>
      </c>
      <c r="K8" s="4" t="n">
        <f aca="false">IF($A8="","",IFERROR(VLOOKUP(B8,CHOOSE(MATCH(C8,Settings!$L$4:$L$10,0),OPR_2P!$A$4:$I$18,SEG_6P!$A$4:$I$18,SOL_4P!$A$4:$I$18,RW_2P!$A$4:$I$18,RW2_4P!$A$4:$I$18,FLAP_4P!$A$4:$I$18,TUBE_4P!$A$4:$I$18),4,0),0))</f>
        <v>48</v>
      </c>
      <c r="L8" s="4" t="n">
        <f aca="false">IF($A8="","",K8*D8)</f>
        <v>288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46171.2546296296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C</v>
      </c>
      <c r="O8" s="52" t="str">
        <f aca="false">IF(B8="","", IF(IFERROR(ISNUMBER(SEARCH(B8, VLOOKUP(E8, Machine_List!$B:$J, 9, 0))), FALSE()), "✅ Machine OK", "❌ Sug: " &amp; IFERROR(INDEX(Machine_List!$B$20:$B$49, MATCH("*"&amp;B8&amp;"*", Machine_List!$J$20:$J$49,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IF($A9="","",IFERROR(INDEX(Machine_List!$B$20:$B$49,MATCH("*"&amp;$B9&amp;"*",Machine_List!$J$20:$J$49,0)),"NO COMPATIBLE MACHINE"))</f>
        <v>EDM-MC-01</v>
      </c>
      <c r="F9" s="54" t="str">
        <f aca="false">IF($E9="","",IFERROR(VLOOKUP($E9,Machine_List!$B:$G,6,0),""))</f>
        <v>General Workman</v>
      </c>
      <c r="G9" s="55" t="n">
        <f aca="false">IF($E9="","",IFERROR(VLOOKUP($E9,Machine_List!$B:$C,2,0),""))</f>
        <v>46092</v>
      </c>
      <c r="H9" s="4" t="n">
        <f aca="false">IF($E9="","",IFERROR(VLOOKUP($E9,Machine_List!$B:$D,3,0),""))</f>
        <v>6</v>
      </c>
      <c r="I9" s="56"/>
      <c r="J9" s="57" t="n">
        <f aca="true">IF($A9="","",IF($I9&lt;&gt;"",$I9,MAX(MAX(SPM_Plan!$M9,CARVING_Plan!$M9),IFERROR(LOOKUP(2,1/($E$3:INDIRECT("E"&amp;(ROW()-1))=$E9),$M$3:INDIRECT("M"&amp;(ROW()-1))),MAX(SPM_Plan!$M9,CARVING_Plan!$M9)))))</f>
        <v>46160.8842592593</v>
      </c>
      <c r="K9" s="4" t="n">
        <f aca="false">IF($A9="","",IFERROR(VLOOKUP(B9,CHOOSE(MATCH(C9,Settings!$L$4:$L$10,0),OPR_2P!$A$4:$I$18,SEG_6P!$A$4:$I$18,SOL_4P!$A$4:$I$18,RW_2P!$A$4:$I$18,RW2_4P!$A$4:$I$18,FLAP_4P!$A$4:$I$18,TUBE_4P!$A$4:$I$18),4,0),0))</f>
        <v>22</v>
      </c>
      <c r="L9" s="4" t="n">
        <f aca="false">IF($A9="","",K9*D9)</f>
        <v>44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46162.9212962963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2" t="str">
        <f aca="false">IF(B9="","", IF(IFERROR(ISNUMBER(SEARCH(B9, VLOOKUP(E9, Machine_List!$B:$J, 9, 0))), FALSE()), "✅ Machine OK", "❌ Sug: " &amp; IFERROR(INDEX(Machine_List!$B$20:$B$49, MATCH("*"&amp;B9&amp;"*", Machine_List!$J$20:$J$49,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IF($A10="","",IFERROR(INDEX(Machine_List!$B$20:$B$49,MATCH("*"&amp;$B10&amp;"*",Machine_List!$J$20:$J$49,0)),"NO COMPATIBLE MACHINE"))</f>
        <v>EDM-MC-16</v>
      </c>
      <c r="F10" s="5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46105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IF($A10="","",IF($I10&lt;&gt;"",$I10,MAX(MAX(SPM_Plan!$M10,CARVING_Plan!$M10),IFERROR(LOOKUP(2,1/($E$3:INDIRECT("E"&amp;(ROW()-1))=$E10),$M$3:INDIRECT("M"&amp;(ROW()-1))),MAX(SPM_Plan!$M10,CARVING_Plan!$M10)))))</f>
        <v>46170.1435185185</v>
      </c>
      <c r="K10" s="4" t="n">
        <f aca="false">IF($A10="","",IFERROR(VLOOKUP(B10,CHOOSE(MATCH(C10,Settings!$L$4:$L$10,0),OPR_2P!$A$4:$I$18,SEG_6P!$A$4:$I$18,SOL_4P!$A$4:$I$18,RW_2P!$A$4:$I$18,RW2_4P!$A$4:$I$18,FLAP_4P!$A$4:$I$18,TUBE_4P!$A$4:$I$18),4,0),0))</f>
        <v>115</v>
      </c>
      <c r="L10" s="4" t="n">
        <f aca="false">IF($A10="","",K10*D10)</f>
        <v>230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46180.7916666667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B</v>
      </c>
      <c r="O10" s="52" t="str">
        <f aca="false">IF(B10="","", IF(IFERROR(ISNUMBER(SEARCH(B10, VLOOKUP(E10, Machine_List!$B:$J, 9, 0))), FALSE()), "✅ Machine OK", "❌ Sug: " &amp; IFERROR(INDEX(Machine_List!$B$20:$B$49, MATCH("*"&amp;B10&amp;"*", Machine_List!$J$20:$J$49,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IF($A11="","",IFERROR(INDEX(Machine_List!$B$20:$B$49,MATCH("*"&amp;$B11&amp;"*",Machine_List!$J$20:$J$49,0)),"NO COMPATIBLE MACHINE"))</f>
        <v>EDM-MC-01</v>
      </c>
      <c r="F11" s="5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46092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IF($A11="","",IF($I11&lt;&gt;"",$I11,MAX(MAX(SPM_Plan!$M11,CARVING_Plan!$M11),IFERROR(LOOKUP(2,1/($E$3:INDIRECT("E"&amp;(ROW()-1))=$E11),$M$3:INDIRECT("M"&amp;(ROW()-1))),MAX(SPM_Plan!$M11,CARVING_Plan!$M11)))))</f>
        <v>46171.5324074074</v>
      </c>
      <c r="K11" s="4" t="n">
        <f aca="false">IF($A11="","",IFERROR(VLOOKUP(B11,CHOOSE(MATCH(C11,Settings!$L$4:$L$10,0),OPR_2P!$A$4:$I$18,SEG_6P!$A$4:$I$18,SOL_4P!$A$4:$I$18,RW_2P!$A$4:$I$18,RW2_4P!$A$4:$I$18,FLAP_4P!$A$4:$I$18,TUBE_4P!$A$4:$I$18),4,0),0))</f>
        <v>14</v>
      </c>
      <c r="L11" s="4" t="n">
        <f aca="false">IF($A11="","",K11*D11)</f>
        <v>28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46172.8287037037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B</v>
      </c>
      <c r="O11" s="52" t="str">
        <f aca="false">IF(B11="","", IF(IFERROR(ISNUMBER(SEARCH(B11, VLOOKUP(E11, Machine_List!$B:$J, 9, 0))), FALSE()), "✅ Machine OK", "❌ Sug: " &amp; IFERROR(INDEX(Machine_List!$B$20:$B$49, MATCH("*"&amp;B11&amp;"*", Machine_List!$J$20:$J$49,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IF($A12="","",IFERROR(INDEX(Machine_List!$B$20:$B$49,MATCH("*"&amp;$B12&amp;"*",Machine_List!$J$20:$J$49,0)),"NO COMPATIBLE MACHINE"))</f>
        <v>EDM-MC-09</v>
      </c>
      <c r="F12" s="5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46237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IF($A12="","",IF($I12&lt;&gt;"",$I12,MAX(MAX(SPM_Plan!$M12,CARVING_Plan!$M12),IFERROR(LOOKUP(2,1/($E$3:INDIRECT("E"&amp;(ROW()-1))=$E12),$M$3:INDIRECT("M"&amp;(ROW()-1))),MAX(SPM_Plan!$M12,CARVING_Plan!$M12)))))</f>
        <v>46174.4953703704</v>
      </c>
      <c r="K12" s="4" t="n">
        <f aca="false">IF($A12="","",IFERROR(VLOOKUP(B12,CHOOSE(MATCH(C12,Settings!$L$4:$L$10,0),OPR_2P!$A$4:$I$18,SEG_6P!$A$4:$I$18,SOL_4P!$A$4:$I$18,RW_2P!$A$4:$I$18,RW2_4P!$A$4:$I$18,FLAP_4P!$A$4:$I$18,TUBE_4P!$A$4:$I$18),4,0),0))</f>
        <v>30</v>
      </c>
      <c r="L12" s="4" t="n">
        <f aca="false">IF($A12="","",K12*D12)</f>
        <v>60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46177.2731481481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2" t="str">
        <f aca="false">IF(B12="","", IF(IFERROR(ISNUMBER(SEARCH(B12, VLOOKUP(E12, Machine_List!$B:$J, 9, 0))), FALSE()), "✅ Machine OK", "❌ Sug: " &amp; IFERROR(INDEX(Machine_List!$B$20:$B$49, MATCH("*"&amp;B12&amp;"*", Machine_List!$J$20:$J$49,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IF($A13="","",IFERROR(INDEX(Machine_List!$B$20:$B$49,MATCH("*"&amp;$B13&amp;"*",Machine_List!$J$20:$J$49,0)),"NO COMPATIBLE MACHINE"))</f>
        <v>EDM-MC-01</v>
      </c>
      <c r="F13" s="5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46092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IF($A13="","",IF($I13&lt;&gt;"",$I13,MAX(MAX(SPM_Plan!$M13,CARVING_Plan!$M13),IFERROR(LOOKUP(2,1/($E$3:INDIRECT("E"&amp;(ROW()-1))=$E13),$M$3:INDIRECT("M"&amp;(ROW()-1))),MAX(SPM_Plan!$M13,CARVING_Plan!$M13)))))</f>
        <v>46176.3472222222</v>
      </c>
      <c r="K13" s="4" t="n">
        <f aca="false">IF($A13="","",IFERROR(VLOOKUP(B13,CHOOSE(MATCH(C13,Settings!$L$4:$L$10,0),OPR_2P!$A$4:$I$18,SEG_6P!$A$4:$I$18,SOL_4P!$A$4:$I$18,RW_2P!$A$4:$I$18,RW2_4P!$A$4:$I$18,FLAP_4P!$A$4:$I$18,TUBE_4P!$A$4:$I$18),4,0),0))</f>
        <v>12</v>
      </c>
      <c r="L13" s="4" t="n">
        <f aca="false">IF($A13="","",K13*D13)</f>
        <v>24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46177.4583333333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A</v>
      </c>
      <c r="O13" s="52" t="str">
        <f aca="false">IF(B13="","", IF(IFERROR(ISNUMBER(SEARCH(B13, VLOOKUP(E13, Machine_List!$B:$J, 9, 0))), FALSE()), "✅ Machine OK", "❌ Sug: " &amp; IFERROR(INDEX(Machine_List!$B$20:$B$49, MATCH("*"&amp;B13&amp;"*", Machine_List!$J$20:$J$49,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IF($A14="","",IFERROR(INDEX(Machine_List!$B$20:$B$49,MATCH("*"&amp;$B14&amp;"*",Machine_List!$J$20:$J$49,0)),"NO COMPATIBLE MACHINE"))</f>
        <v>EDM-MC-01</v>
      </c>
      <c r="F14" s="5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46092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IF($A14="","",IF($I14&lt;&gt;"",$I14,MAX(MAX(SPM_Plan!$M14,CARVING_Plan!$M14),IFERROR(LOOKUP(2,1/($E$3:INDIRECT("E"&amp;(ROW()-1))=$E14),$M$3:INDIRECT("M"&amp;(ROW()-1))),MAX(SPM_Plan!$M14,CARVING_Plan!$M14)))))</f>
        <v>46179.125</v>
      </c>
      <c r="K14" s="4" t="n">
        <f aca="false">IF($A14="","",IFERROR(VLOOKUP(B14,CHOOSE(MATCH(C14,Settings!$L$4:$L$10,0),OPR_2P!$A$4:$I$18,SEG_6P!$A$4:$I$18,SOL_4P!$A$4:$I$18,RW_2P!$A$4:$I$18,RW2_4P!$A$4:$I$18,FLAP_4P!$A$4:$I$18,TUBE_4P!$A$4:$I$18),4,0),0))</f>
        <v>35</v>
      </c>
      <c r="L14" s="4" t="n">
        <f aca="false">IF($A14="","",K14*D14)</f>
        <v>70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46182.3657407407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A</v>
      </c>
      <c r="O14" s="52" t="str">
        <f aca="false">IF(B14="","", IF(IFERROR(ISNUMBER(SEARCH(B14, VLOOKUP(E14, Machine_List!$B:$J, 9, 0))), FALSE()), "✅ Machine OK", "❌ Sug: " &amp; IFERROR(INDEX(Machine_List!$B$20:$B$49, MATCH("*"&amp;B14&amp;"*", Machine_List!$J$20:$J$49,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IF($A15="","",IFERROR(INDEX(Machine_List!$B$20:$B$49,MATCH("*"&amp;$B15&amp;"*",Machine_List!$J$20:$J$49,0)),"NO COMPATIBLE MACHINE"))</f>
        <v>EDM-MC-01</v>
      </c>
      <c r="F15" s="5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46092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IF($A15="","",IF($I15&lt;&gt;"",$I15,MAX(MAX(SPM_Plan!$M15,CARVING_Plan!$M15),IFERROR(LOOKUP(2,1/($E$3:INDIRECT("E"&amp;(ROW()-1))=$E15),$M$3:INDIRECT("M"&amp;(ROW()-1))),MAX(SPM_Plan!$M15,CARVING_Plan!$M15)))))</f>
        <v>46186.3472222222</v>
      </c>
      <c r="K15" s="4" t="n">
        <f aca="false">IF($A15="","",IFERROR(VLOOKUP(B15,CHOOSE(MATCH(C15,Settings!$L$4:$L$10,0),OPR_2P!$A$4:$I$18,SEG_6P!$A$4:$I$18,SOL_4P!$A$4:$I$18,RW_2P!$A$4:$I$18,RW2_4P!$A$4:$I$18,FLAP_4P!$A$4:$I$18,TUBE_4P!$A$4:$I$18),4,0),0))</f>
        <v>17</v>
      </c>
      <c r="L15" s="4" t="n">
        <f aca="false">IF($A15="","",K15*D15)</f>
        <v>102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46191.0694444444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2" t="str">
        <f aca="false">IF(B15="","", IF(IFERROR(ISNUMBER(SEARCH(B15, VLOOKUP(E15, Machine_List!$B:$J, 9, 0))), FALSE()), "✅ Machine OK", "❌ Sug: " &amp; IFERROR(INDEX(Machine_List!$B$20:$B$49, MATCH("*"&amp;B15&amp;"*", Machine_List!$J$20:$J$49,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IF($A16="","",IFERROR(INDEX(Machine_List!$B$20:$B$49,MATCH("*"&amp;$B16&amp;"*",Machine_List!$J$20:$J$49,0)),"NO COMPATIBLE MACHINE"))</f>
        <v>EDM-MC-01</v>
      </c>
      <c r="F16" s="5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46092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IF($A16="","",IF($I16&lt;&gt;"",$I16,MAX(MAX(SPM_Plan!$M16,CARVING_Plan!$M16),IFERROR(LOOKUP(2,1/($E$3:INDIRECT("E"&amp;(ROW()-1))=$E16),$M$3:INDIRECT("M"&amp;(ROW()-1))),MAX(SPM_Plan!$M16,CARVING_Plan!$M16)))))</f>
        <v>46191.0694444444</v>
      </c>
      <c r="K16" s="4" t="n">
        <f aca="false">IF($A16="","",IFERROR(VLOOKUP(B16,CHOOSE(MATCH(C16,Settings!$L$4:$L$10,0),OPR_2P!$A$4:$I$18,SEG_6P!$A$4:$I$18,SOL_4P!$A$4:$I$18,RW_2P!$A$4:$I$18,RW2_4P!$A$4:$I$18,FLAP_4P!$A$4:$I$18,TUBE_4P!$A$4:$I$18),4,0),0))</f>
        <v>12</v>
      </c>
      <c r="L16" s="4" t="n">
        <f aca="false">IF($A16="","",K16*D16)</f>
        <v>24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46192.1805555556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C</v>
      </c>
      <c r="O16" s="52" t="str">
        <f aca="false">IF(B16="","", IF(IFERROR(ISNUMBER(SEARCH(B16, VLOOKUP(E16, Machine_List!$B:$J, 9, 0))), FALSE()), "✅ Machine OK", "❌ Sug: " &amp; IFERROR(INDEX(Machine_List!$B$20:$B$49, MATCH("*"&amp;B16&amp;"*", Machine_List!$J$20:$J$49,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IF($A17="","",IFERROR(INDEX(Machine_List!$B$20:$B$49,MATCH("*"&amp;$B17&amp;"*",Machine_List!$J$20:$J$49,0)),"NO COMPATIBLE MACHINE"))</f>
        <v>EDM-MC-16</v>
      </c>
      <c r="F17" s="5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46105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IF($A17="","",IF($I17&lt;&gt;"",$I17,MAX(MAX(SPM_Plan!$M17,CARVING_Plan!$M17),IFERROR(LOOKUP(2,1/($E$3:INDIRECT("E"&amp;(ROW()-1))=$E17),$M$3:INDIRECT("M"&amp;(ROW()-1))),MAX(SPM_Plan!$M17,CARVING_Plan!$M17)))))</f>
        <v>46212.9212962963</v>
      </c>
      <c r="K17" s="4" t="n">
        <f aca="false">IF($A17="","",IFERROR(VLOOKUP(B17,CHOOSE(MATCH(C17,Settings!$L$4:$L$10,0),OPR_2P!$A$4:$I$18,SEG_6P!$A$4:$I$18,SOL_4P!$A$4:$I$18,RW_2P!$A$4:$I$18,RW2_4P!$A$4:$I$18,FLAP_4P!$A$4:$I$18,TUBE_4P!$A$4:$I$18),4,0),0))</f>
        <v>67</v>
      </c>
      <c r="L17" s="4" t="n">
        <f aca="false">IF($A17="","",K17*D17)</f>
        <v>402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46231.5324074074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A</v>
      </c>
      <c r="O17" s="52" t="str">
        <f aca="false">IF(B17="","", IF(IFERROR(ISNUMBER(SEARCH(B17, VLOOKUP(E17, Machine_List!$B:$J, 9, 0))), FALSE()), "✅ Machine OK", "❌ Sug: " &amp; IFERROR(INDEX(Machine_List!$B$20:$B$49, MATCH("*"&amp;B17&amp;"*", Machine_List!$J$20:$J$49,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IF($A18="","",IFERROR(INDEX(Machine_List!$B$20:$B$49,MATCH("*"&amp;$B18&amp;"*",Machine_List!$J$20:$J$49,0)),"NO COMPATIBLE MACHINE"))</f>
        <v>EDM-MC-09</v>
      </c>
      <c r="F18" s="5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46237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IF($A18="","",IF($I18&lt;&gt;"",$I18,MAX(MAX(SPM_Plan!$M18,CARVING_Plan!$M18),IFERROR(LOOKUP(2,1/($E$3:INDIRECT("E"&amp;(ROW()-1))=$E18),$M$3:INDIRECT("M"&amp;(ROW()-1))),MAX(SPM_Plan!$M18,CARVING_Plan!$M18)))))</f>
        <v>46218.3842592593</v>
      </c>
      <c r="K18" s="4" t="n">
        <f aca="false">IF($A18="","",IFERROR(VLOOKUP(B18,CHOOSE(MATCH(C18,Settings!$L$4:$L$10,0),OPR_2P!$A$4:$I$18,SEG_6P!$A$4:$I$18,SOL_4P!$A$4:$I$18,RW_2P!$A$4:$I$18,RW2_4P!$A$4:$I$18,FLAP_4P!$A$4:$I$18,TUBE_4P!$A$4:$I$18),4,0),0))</f>
        <v>72</v>
      </c>
      <c r="L18" s="4" t="n">
        <f aca="false">IF($A18="","",K18*D18)</f>
        <v>144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46225.0509259259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C</v>
      </c>
      <c r="O18" s="52" t="str">
        <f aca="false">IF(B18="","", IF(IFERROR(ISNUMBER(SEARCH(B18, VLOOKUP(E18, Machine_List!$B:$J, 9, 0))), FALSE()), "✅ Machine OK", "❌ Sug: " &amp; IFERROR(INDEX(Machine_List!$B$20:$B$49, MATCH("*"&amp;B18&amp;"*", Machine_List!$J$20:$J$49,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IF($A19="","",IFERROR(INDEX(Machine_List!$B$20:$B$49,MATCH("*"&amp;$B19&amp;"*",Machine_List!$J$20:$J$49,0)),"NO COMPATIBLE MACHINE"))</f>
        <v>EDM-MC-16</v>
      </c>
      <c r="F19" s="5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46105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IF($A19="","",IF($I19&lt;&gt;"",$I19,MAX(MAX(SPM_Plan!$M19,CARVING_Plan!$M19),IFERROR(LOOKUP(2,1/($E$3:INDIRECT("E"&amp;(ROW()-1))=$E19),$M$3:INDIRECT("M"&amp;(ROW()-1))),MAX(SPM_Plan!$M19,CARVING_Plan!$M19)))))</f>
        <v>46231.5324074074</v>
      </c>
      <c r="K19" s="4" t="n">
        <f aca="false">IF($A19="","",IFERROR(VLOOKUP(B19,CHOOSE(MATCH(C19,Settings!$L$4:$L$10,0),OPR_2P!$A$4:$I$18,SEG_6P!$A$4:$I$18,SOL_4P!$A$4:$I$18,RW_2P!$A$4:$I$18,RW2_4P!$A$4:$I$18,FLAP_4P!$A$4:$I$18,TUBE_4P!$A$4:$I$18),4,0),0))</f>
        <v>92</v>
      </c>
      <c r="L19" s="4" t="n">
        <f aca="false">IF($A19="","",K19*D19)</f>
        <v>184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46240.0509259259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O19" s="52" t="str">
        <f aca="false">IF(B19="","", IF(IFERROR(ISNUMBER(SEARCH(B19, VLOOKUP(E19, Machine_List!$B:$J, 9, 0))), FALSE()), "✅ Machine OK", "❌ Sug: " &amp; IFERROR(INDEX(Machine_List!$B$20:$B$49, MATCH("*"&amp;B19&amp;"*", Machine_List!$J$20:$J$49,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IF($A20="","",IFERROR(INDEX(Machine_List!$B$20:$B$49,MATCH("*"&amp;$B20&amp;"*",Machine_List!$J$20:$J$49,0)),"NO COMPATIBLE MACHINE"))</f>
        <v>EDM-MC-01</v>
      </c>
      <c r="F20" s="5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46092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IF($A20="","",IF($I20&lt;&gt;"",$I20,MAX(MAX(SPM_Plan!$M20,CARVING_Plan!$M20),IFERROR(LOOKUP(2,1/($E$3:INDIRECT("E"&amp;(ROW()-1))=$E20),$M$3:INDIRECT("M"&amp;(ROW()-1))),MAX(SPM_Plan!$M20,CARVING_Plan!$M20)))))</f>
        <v>46233.7546296296</v>
      </c>
      <c r="K20" s="4" t="n">
        <f aca="false">IF($A20="","",IFERROR(VLOOKUP(B20,CHOOSE(MATCH(C20,Settings!$L$4:$L$10,0),OPR_2P!$A$4:$I$18,SEG_6P!$A$4:$I$18,SOL_4P!$A$4:$I$18,RW_2P!$A$4:$I$18,RW2_4P!$A$4:$I$18,FLAP_4P!$A$4:$I$18,TUBE_4P!$A$4:$I$18),4,0),0))</f>
        <v>22</v>
      </c>
      <c r="L20" s="4" t="n">
        <f aca="false">IF($A20="","",K20*D20)</f>
        <v>88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46237.8287037037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2" t="str">
        <f aca="false">IF(B20="","", IF(IFERROR(ISNUMBER(SEARCH(B20, VLOOKUP(E20, Machine_List!$B:$J, 9, 0))), FALSE()), "✅ Machine OK", "❌ Sug: " &amp; IFERROR(INDEX(Machine_List!$B$20:$B$49, MATCH("*"&amp;B20&amp;"*", Machine_List!$J$20:$J$49,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IF($A21="","",IFERROR(INDEX(Machine_List!$B$20:$B$49,MATCH("*"&amp;$B21&amp;"*",Machine_List!$J$20:$J$49,0)),"NO COMPATIBLE MACHINE"))</f>
        <v>EDM-MC-16</v>
      </c>
      <c r="F21" s="5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46105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IF($A21="","",IF($I21&lt;&gt;"",$I21,MAX(MAX(SPM_Plan!$M21,CARVING_Plan!$M21),IFERROR(LOOKUP(2,1/($E$3:INDIRECT("E"&amp;(ROW()-1))=$E21),$M$3:INDIRECT("M"&amp;(ROW()-1))),MAX(SPM_Plan!$M21,CARVING_Plan!$M21)))))</f>
        <v>46255.0509259259</v>
      </c>
      <c r="K21" s="4" t="n">
        <f aca="false">IF($A21="","",IFERROR(VLOOKUP(B21,CHOOSE(MATCH(C21,Settings!$L$4:$L$10,0),OPR_2P!$A$4:$I$18,SEG_6P!$A$4:$I$18,SOL_4P!$A$4:$I$18,RW_2P!$A$4:$I$18,RW2_4P!$A$4:$I$18,FLAP_4P!$A$4:$I$18,TUBE_4P!$A$4:$I$18),4,0),0))</f>
        <v>84</v>
      </c>
      <c r="L21" s="4" t="n">
        <f aca="false">IF($A21="","",K21*D21)</f>
        <v>336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46270.6064814815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A</v>
      </c>
      <c r="O21" s="52" t="str">
        <f aca="false">IF(B21="","", IF(IFERROR(ISNUMBER(SEARCH(B21, VLOOKUP(E21, Machine_List!$B:$J, 9, 0))), FALSE()), "✅ Machine OK", "❌ Sug: " &amp; IFERROR(INDEX(Machine_List!$B$20:$B$49, MATCH("*"&amp;B21&amp;"*", Machine_List!$J$20:$J$49,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IF($A22="","",IFERROR(INDEX(Machine_List!$B$20:$B$49,MATCH("*"&amp;$B22&amp;"*",Machine_List!$J$20:$J$49,0)),"NO COMPATIBLE MACHINE"))</f>
        <v>EDM-MC-09</v>
      </c>
      <c r="F22" s="5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46237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IF($A22="","",IF($I22&lt;&gt;"",$I22,MAX(MAX(SPM_Plan!$M22,CARVING_Plan!$M22),IFERROR(LOOKUP(2,1/($E$3:INDIRECT("E"&amp;(ROW()-1))=$E22),$M$3:INDIRECT("M"&amp;(ROW()-1))),MAX(SPM_Plan!$M22,CARVING_Plan!$M22)))))</f>
        <v>46260.5138888889</v>
      </c>
      <c r="K22" s="4" t="n">
        <f aca="false">IF($A22="","",IFERROR(VLOOKUP(B22,CHOOSE(MATCH(C22,Settings!$L$4:$L$10,0),OPR_2P!$A$4:$I$18,SEG_6P!$A$4:$I$18,SOL_4P!$A$4:$I$18,RW_2P!$A$4:$I$18,RW2_4P!$A$4:$I$18,FLAP_4P!$A$4:$I$18,TUBE_4P!$A$4:$I$18),4,0),0))</f>
        <v>72</v>
      </c>
      <c r="L22" s="4" t="n">
        <f aca="false">IF($A22="","",K22*D22)</f>
        <v>144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46267.1805555556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O22" s="52" t="str">
        <f aca="false">IF(B22="","", IF(IFERROR(ISNUMBER(SEARCH(B22, VLOOKUP(E22, Machine_List!$B:$J, 9, 0))), FALSE()), "✅ Machine OK", "❌ Sug: " &amp; IFERROR(INDEX(Machine_List!$B$20:$B$49, MATCH("*"&amp;B22&amp;"*", Machine_List!$J$20:$J$49,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IF($A23="","",IFERROR(INDEX(Machine_List!$B$20:$B$49,MATCH("*"&amp;$B23&amp;"*",Machine_List!$J$20:$J$49,0)),"NO COMPATIBLE MACHINE"))</f>
        <v>EDM-MC-01</v>
      </c>
      <c r="F23" s="5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46092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IF($A23="","",IF($I23&lt;&gt;"",$I23,MAX(MAX(SPM_Plan!$M23,CARVING_Plan!$M23),IFERROR(LOOKUP(2,1/($E$3:INDIRECT("E"&amp;(ROW()-1))=$E23),$M$3:INDIRECT("M"&amp;(ROW()-1))),MAX(SPM_Plan!$M23,CARVING_Plan!$M23)))))</f>
        <v>46262.7361111111</v>
      </c>
      <c r="K23" s="4" t="n">
        <f aca="false">IF($A23="","",IFERROR(VLOOKUP(B23,CHOOSE(MATCH(C23,Settings!$L$4:$L$10,0),OPR_2P!$A$4:$I$18,SEG_6P!$A$4:$I$18,SOL_4P!$A$4:$I$18,RW_2P!$A$4:$I$18,RW2_4P!$A$4:$I$18,FLAP_4P!$A$4:$I$18,TUBE_4P!$A$4:$I$18),4,0),0))</f>
        <v>7</v>
      </c>
      <c r="L23" s="4" t="n">
        <f aca="false">IF($A23="","",K23*D23)</f>
        <v>42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46264.6805555556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B</v>
      </c>
      <c r="O23" s="52" t="str">
        <f aca="false">IF(B23="","", IF(IFERROR(ISNUMBER(SEARCH(B23, VLOOKUP(E23, Machine_List!$B:$J, 9, 0))), FALSE()), "✅ Machine OK", "❌ Sug: " &amp; IFERROR(INDEX(Machine_List!$B$20:$B$49, MATCH("*"&amp;B23&amp;"*", Machine_List!$J$20:$J$49,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IF($A24="","",IFERROR(INDEX(Machine_List!$B$20:$B$49,MATCH("*"&amp;$B24&amp;"*",Machine_List!$J$20:$J$49,0)),"NO COMPATIBLE MACHINE"))</f>
        <v>EDM-MC-16</v>
      </c>
      <c r="F24" s="5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46105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IF($A24="","",IF($I24&lt;&gt;"",$I24,MAX(MAX(SPM_Plan!$M24,CARVING_Plan!$M24),IFERROR(LOOKUP(2,1/($E$3:INDIRECT("E"&amp;(ROW()-1))=$E24),$M$3:INDIRECT("M"&amp;(ROW()-1))),MAX(SPM_Plan!$M24,CARVING_Plan!$M24)))))</f>
        <v>46272.7361111111</v>
      </c>
      <c r="K24" s="4" t="n">
        <f aca="false">IF($A24="","",IFERROR(VLOOKUP(B24,CHOOSE(MATCH(C24,Settings!$L$4:$L$10,0),OPR_2P!$A$4:$I$18,SEG_6P!$A$4:$I$18,SOL_4P!$A$4:$I$18,RW_2P!$A$4:$I$18,RW2_4P!$A$4:$I$18,FLAP_4P!$A$4:$I$18,TUBE_4P!$A$4:$I$18),4,0),0))</f>
        <v>63</v>
      </c>
      <c r="L24" s="4" t="n">
        <f aca="false">IF($A24="","",K24*D24)</f>
        <v>126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46278.5694444444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2" t="str">
        <f aca="false">IF(B24="","", IF(IFERROR(ISNUMBER(SEARCH(B24, VLOOKUP(E24, Machine_List!$B:$J, 9, 0))), FALSE()), "✅ Machine OK", "❌ Sug: " &amp; IFERROR(INDEX(Machine_List!$B$20:$B$49, MATCH("*"&amp;B24&amp;"*", Machine_List!$J$20:$J$49,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IF($A25="","",IFERROR(INDEX(Machine_List!$B$20:$B$49,MATCH("*"&amp;$B25&amp;"*",Machine_List!$J$20:$J$49,0)),"NO COMPATIBLE MACHINE"))</f>
        <v>EDM-MC-09</v>
      </c>
      <c r="F25" s="5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46237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IF($A25="","",IF($I25&lt;&gt;"",$I25,MAX(MAX(SPM_Plan!$M25,CARVING_Plan!$M25),IFERROR(LOOKUP(2,1/($E$3:INDIRECT("E"&amp;(ROW()-1))=$E25),$M$3:INDIRECT("M"&amp;(ROW()-1))),MAX(SPM_Plan!$M25,CARVING_Plan!$M25)))))</f>
        <v>46277.4583333333</v>
      </c>
      <c r="K25" s="4" t="n">
        <f aca="false">IF($A25="","",IFERROR(VLOOKUP(B25,CHOOSE(MATCH(C25,Settings!$L$4:$L$10,0),OPR_2P!$A$4:$I$18,SEG_6P!$A$4:$I$18,SOL_4P!$A$4:$I$18,RW_2P!$A$4:$I$18,RW2_4P!$A$4:$I$18,FLAP_4P!$A$4:$I$18,TUBE_4P!$A$4:$I$18),4,0),0))</f>
        <v>62</v>
      </c>
      <c r="L25" s="4" t="n">
        <f aca="false">IF($A25="","",K25*D25)</f>
        <v>124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46283.1990740741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2" t="str">
        <f aca="false">IF(B25="","", IF(IFERROR(ISNUMBER(SEARCH(B25, VLOOKUP(E25, Machine_List!$B:$J, 9, 0))), FALSE()), "✅ Machine OK", "❌ Sug: " &amp; IFERROR(INDEX(Machine_List!$B$20:$B$49, MATCH("*"&amp;B25&amp;"*", Machine_List!$J$20:$J$49,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IF($A26="","",IFERROR(INDEX(Machine_List!$B$20:$B$49,MATCH("*"&amp;$B26&amp;"*",Machine_List!$J$20:$J$49,0)),"NO COMPATIBLE MACHINE"))</f>
        <v>EDM-MC-01</v>
      </c>
      <c r="F26" s="5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46092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IF($A26="","",IF($I26&lt;&gt;"",$I26,MAX(MAX(SPM_Plan!$M26,CARVING_Plan!$M26),IFERROR(LOOKUP(2,1/($E$3:INDIRECT("E"&amp;(ROW()-1))=$E26),$M$3:INDIRECT("M"&amp;(ROW()-1))),MAX(SPM_Plan!$M26,CARVING_Plan!$M26)))))</f>
        <v>46278.8472222222</v>
      </c>
      <c r="K26" s="4" t="n">
        <f aca="false">IF($A26="","",IFERROR(VLOOKUP(B26,CHOOSE(MATCH(C26,Settings!$L$4:$L$10,0),OPR_2P!$A$4:$I$18,SEG_6P!$A$4:$I$18,SOL_4P!$A$4:$I$18,RW_2P!$A$4:$I$18,RW2_4P!$A$4:$I$18,FLAP_4P!$A$4:$I$18,TUBE_4P!$A$4:$I$18),4,0),0))</f>
        <v>14</v>
      </c>
      <c r="L26" s="4" t="n">
        <f aca="false">IF($A26="","",K26*D26)</f>
        <v>28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46280.1435185185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2" t="str">
        <f aca="false">IF(B26="","", IF(IFERROR(ISNUMBER(SEARCH(B26, VLOOKUP(E26, Machine_List!$B:$J, 9, 0))), FALSE()), "✅ Machine OK", "❌ Sug: " &amp; IFERROR(INDEX(Machine_List!$B$20:$B$49, MATCH("*"&amp;B26&amp;"*", Machine_List!$J$20:$J$49,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IF($A27="","",IFERROR(INDEX(Machine_List!$B$20:$B$49,MATCH("*"&amp;$B27&amp;"*",Machine_List!$J$20:$J$49,0)),"NO COMPATIBLE MACHINE"))</f>
        <v>EDM-MC-16</v>
      </c>
      <c r="F27" s="5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46105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IF($A27="","",IF($I27&lt;&gt;"",$I27,MAX(MAX(SPM_Plan!$M27,CARVING_Plan!$M27),IFERROR(LOOKUP(2,1/($E$3:INDIRECT("E"&amp;(ROW()-1))=$E27),$M$3:INDIRECT("M"&amp;(ROW()-1))),MAX(SPM_Plan!$M27,CARVING_Plan!$M27)))))</f>
        <v>46294.6805555556</v>
      </c>
      <c r="K27" s="4" t="n">
        <f aca="false">IF($A27="","",IFERROR(VLOOKUP(B27,CHOOSE(MATCH(C27,Settings!$L$4:$L$10,0),OPR_2P!$A$4:$I$18,SEG_6P!$A$4:$I$18,SOL_4P!$A$4:$I$18,RW_2P!$A$4:$I$18,RW2_4P!$A$4:$I$18,FLAP_4P!$A$4:$I$18,TUBE_4P!$A$4:$I$18),4,0),0))</f>
        <v>80</v>
      </c>
      <c r="L27" s="4" t="n">
        <f aca="false">IF($A27="","",K27*D27)</f>
        <v>320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46309.4953703704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A</v>
      </c>
      <c r="O27" s="52" t="str">
        <f aca="false">IF(B27="","", IF(IFERROR(ISNUMBER(SEARCH(B27, VLOOKUP(E27, Machine_List!$B:$J, 9, 0))), FALSE()), "✅ Machine OK", "❌ Sug: " &amp; IFERROR(INDEX(Machine_List!$B$20:$B$49, MATCH("*"&amp;B27&amp;"*", Machine_List!$J$20:$J$49,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IF($A28="","",IFERROR(INDEX(Machine_List!$B$20:$B$49,MATCH("*"&amp;$B28&amp;"*",Machine_List!$J$20:$J$49,0)),"NO COMPATIBLE MACHINE"))</f>
        <v>EDM-MC-09</v>
      </c>
      <c r="F28" s="5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46237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IF($A28="","",IF($I28&lt;&gt;"",$I28,MAX(MAX(SPM_Plan!$M28,CARVING_Plan!$M28),IFERROR(LOOKUP(2,1/($E$3:INDIRECT("E"&amp;(ROW()-1))=$E28),$M$3:INDIRECT("M"&amp;(ROW()-1))),MAX(SPM_Plan!$M28,CARVING_Plan!$M28)))))</f>
        <v>46299.125</v>
      </c>
      <c r="K28" s="4" t="n">
        <f aca="false">IF($A28="","",IFERROR(VLOOKUP(B28,CHOOSE(MATCH(C28,Settings!$L$4:$L$10,0),OPR_2P!$A$4:$I$18,SEG_6P!$A$4:$I$18,SOL_4P!$A$4:$I$18,RW_2P!$A$4:$I$18,RW2_4P!$A$4:$I$18,FLAP_4P!$A$4:$I$18,TUBE_4P!$A$4:$I$18),4,0),0))</f>
        <v>61</v>
      </c>
      <c r="L28" s="4" t="n">
        <f aca="false">IF($A28="","",K28*D28)</f>
        <v>122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46304.7731481481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O28" s="52" t="str">
        <f aca="false">IF(B28="","", IF(IFERROR(ISNUMBER(SEARCH(B28, VLOOKUP(E28, Machine_List!$B:$J, 9, 0))), FALSE()), "✅ Machine OK", "❌ Sug: " &amp; IFERROR(INDEX(Machine_List!$B$20:$B$49, MATCH("*"&amp;B28&amp;"*", Machine_List!$J$20:$J$49,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IF($A29="","",IFERROR(INDEX(Machine_List!$B$20:$B$49,MATCH("*"&amp;$B29&amp;"*",Machine_List!$J$20:$J$49,0)),"NO COMPATIBLE MACHINE"))</f>
        <v>EDM-MC-09</v>
      </c>
      <c r="F29" s="5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46237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IF($A29="","",IF($I29&lt;&gt;"",$I29,MAX(MAX(SPM_Plan!$M29,CARVING_Plan!$M29),IFERROR(LOOKUP(2,1/($E$3:INDIRECT("E"&amp;(ROW()-1))=$E29),$M$3:INDIRECT("M"&amp;(ROW()-1))),MAX(SPM_Plan!$M29,CARVING_Plan!$M29)))))</f>
        <v>46304.7731481481</v>
      </c>
      <c r="K29" s="4" t="n">
        <f aca="false">IF($A29="","",IFERROR(VLOOKUP(B29,CHOOSE(MATCH(C29,Settings!$L$4:$L$10,0),OPR_2P!$A$4:$I$18,SEG_6P!$A$4:$I$18,SOL_4P!$A$4:$I$18,RW_2P!$A$4:$I$18,RW2_4P!$A$4:$I$18,FLAP_4P!$A$4:$I$18,TUBE_4P!$A$4:$I$18),4,0),0))</f>
        <v>61</v>
      </c>
      <c r="L29" s="4" t="n">
        <f aca="false">IF($A29="","",K29*D29)</f>
        <v>122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46310.4212962963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A</v>
      </c>
      <c r="O29" s="52" t="str">
        <f aca="false">IF(B29="","", IF(IFERROR(ISNUMBER(SEARCH(B29, VLOOKUP(E29, Machine_List!$B:$J, 9, 0))), FALSE()), "✅ Machine OK", "❌ Sug: " &amp; IFERROR(INDEX(Machine_List!$B$20:$B$49, MATCH("*"&amp;B29&amp;"*", Machine_List!$J$20:$J$49,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IF($A30="","",IFERROR(INDEX(Machine_List!$B$20:$B$49,MATCH("*"&amp;$B30&amp;"*",Machine_List!$J$20:$J$49,0)),"NO COMPATIBLE MACHINE"))</f>
        <v>EDM-MC-01</v>
      </c>
      <c r="F30" s="5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46092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IF($A30="","",IF($I30&lt;&gt;"",$I30,MAX(MAX(SPM_Plan!$M30,CARVING_Plan!$M30),IFERROR(LOOKUP(2,1/($E$3:INDIRECT("E"&amp;(ROW()-1))=$E30),$M$3:INDIRECT("M"&amp;(ROW()-1))),MAX(SPM_Plan!$M30,CARVING_Plan!$M30)))))</f>
        <v>46304.9583333333</v>
      </c>
      <c r="K30" s="4" t="n">
        <f aca="false">IF($A30="","",IFERROR(VLOOKUP(B30,CHOOSE(MATCH(C30,Settings!$L$4:$L$10,0),OPR_2P!$A$4:$I$18,SEG_6P!$A$4:$I$18,SOL_4P!$A$4:$I$18,RW_2P!$A$4:$I$18,RW2_4P!$A$4:$I$18,FLAP_4P!$A$4:$I$18,TUBE_4P!$A$4:$I$18),4,0),0))</f>
        <v>14</v>
      </c>
      <c r="L30" s="4" t="n">
        <f aca="false">IF($A30="","",K30*D30)</f>
        <v>28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46306.2546296296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2" t="str">
        <f aca="false">IF(B30="","", IF(IFERROR(ISNUMBER(SEARCH(B30, VLOOKUP(E30, Machine_List!$B:$J, 9, 0))), FALSE()), "✅ Machine OK", "❌ Sug: " &amp; IFERROR(INDEX(Machine_List!$B$20:$B$49, MATCH("*"&amp;B30&amp;"*", Machine_List!$J$20:$J$49,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IF($A31="","",IFERROR(INDEX(Machine_List!$B$20:$B$49,MATCH("*"&amp;$B31&amp;"*",Machine_List!$J$20:$J$49,0)),"NO COMPATIBLE MACHINE"))</f>
        <v>EDM-MC-09</v>
      </c>
      <c r="F31" s="5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46237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IF($A31="","",IF($I31&lt;&gt;"",$I31,MAX(MAX(SPM_Plan!$M31,CARVING_Plan!$M31),IFERROR(LOOKUP(2,1/($E$3:INDIRECT("E"&amp;(ROW()-1))=$E31),$M$3:INDIRECT("M"&amp;(ROW()-1))),MAX(SPM_Plan!$M31,CARVING_Plan!$M31)))))</f>
        <v>46310.4212962963</v>
      </c>
      <c r="K31" s="4" t="n">
        <f aca="false">IF($A31="","",IFERROR(VLOOKUP(B31,CHOOSE(MATCH(C31,Settings!$L$4:$L$10,0),OPR_2P!$A$4:$I$18,SEG_6P!$A$4:$I$18,SOL_4P!$A$4:$I$18,RW_2P!$A$4:$I$18,RW2_4P!$A$4:$I$18,FLAP_4P!$A$4:$I$18,TUBE_4P!$A$4:$I$18),4,0),0))</f>
        <v>72</v>
      </c>
      <c r="L31" s="4" t="n">
        <f aca="false">IF($A31="","",K31*D31)</f>
        <v>144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46317.087962963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2" t="str">
        <f aca="false">IF(B31="","", IF(IFERROR(ISNUMBER(SEARCH(B31, VLOOKUP(E31, Machine_List!$B:$J, 9, 0))), FALSE()), "✅ Machine OK", "❌ Sug: " &amp; IFERROR(INDEX(Machine_List!$B$20:$B$49, MATCH("*"&amp;B31&amp;"*", Machine_List!$J$20:$J$49,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IF($A32="","",IFERROR(INDEX(Machine_List!$B$20:$B$49,MATCH("*"&amp;$B32&amp;"*",Machine_List!$J$20:$J$49,0)),"NO COMPATIBLE MACHINE"))</f>
        <v>EDM-MC-01</v>
      </c>
      <c r="F32" s="5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46092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IF($A32="","",IF($I32&lt;&gt;"",$I32,MAX(MAX(SPM_Plan!$M32,CARVING_Plan!$M32),IFERROR(LOOKUP(2,1/($E$3:INDIRECT("E"&amp;(ROW()-1))=$E32),$M$3:INDIRECT("M"&amp;(ROW()-1))),MAX(SPM_Plan!$M32,CARVING_Plan!$M32)))))</f>
        <v>46320.9768518519</v>
      </c>
      <c r="K32" s="4" t="n">
        <f aca="false">IF($A32="","",IFERROR(VLOOKUP(B32,CHOOSE(MATCH(C32,Settings!$L$4:$L$10,0),OPR_2P!$A$4:$I$18,SEG_6P!$A$4:$I$18,SOL_4P!$A$4:$I$18,RW_2P!$A$4:$I$18,RW2_4P!$A$4:$I$18,FLAP_4P!$A$4:$I$18,TUBE_4P!$A$4:$I$18),4,0),0))</f>
        <v>26</v>
      </c>
      <c r="L32" s="4" t="n">
        <f aca="false">IF($A32="","",K32*D32)</f>
        <v>156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46328.1990740741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C</v>
      </c>
      <c r="O32" s="52" t="str">
        <f aca="false">IF(B32="","", IF(IFERROR(ISNUMBER(SEARCH(B32, VLOOKUP(E32, Machine_List!$B:$J, 9, 0))), FALSE()), "✅ Machine OK", "❌ Sug: " &amp; IFERROR(INDEX(Machine_List!$B$20:$B$49, MATCH("*"&amp;B32&amp;"*", Machine_List!$J$20:$J$49,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IF($A33="","",IFERROR(INDEX(Machine_List!$B$20:$B$49,MATCH("*"&amp;$B33&amp;"*",Machine_List!$J$20:$J$49,0)),"NO COMPATIBLE MACHINE"))</f>
        <v>EDM-MC-01</v>
      </c>
      <c r="F33" s="5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46092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IF($A33="","",IF($I33&lt;&gt;"",$I33,MAX(MAX(SPM_Plan!$M33,CARVING_Plan!$M33),IFERROR(LOOKUP(2,1/($E$3:INDIRECT("E"&amp;(ROW()-1))=$E33),$M$3:INDIRECT("M"&amp;(ROW()-1))),MAX(SPM_Plan!$M33,CARVING_Plan!$M33)))))</f>
        <v>46328.1990740741</v>
      </c>
      <c r="K33" s="4" t="n">
        <f aca="false">IF($A33="","",IFERROR(VLOOKUP(B33,CHOOSE(MATCH(C33,Settings!$L$4:$L$10,0),OPR_2P!$A$4:$I$18,SEG_6P!$A$4:$I$18,SOL_4P!$A$4:$I$18,RW_2P!$A$4:$I$18,RW2_4P!$A$4:$I$18,FLAP_4P!$A$4:$I$18,TUBE_4P!$A$4:$I$18),4,0),0))</f>
        <v>2</v>
      </c>
      <c r="L33" s="4" t="n">
        <f aca="false">IF($A33="","",K33*D33)</f>
        <v>4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46328.3842592593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2" t="str">
        <f aca="false">IF(B33="","", IF(IFERROR(ISNUMBER(SEARCH(B33, VLOOKUP(E33, Machine_List!$B:$J, 9, 0))), FALSE()), "✅ Machine OK", "❌ Sug: " &amp; IFERROR(INDEX(Machine_List!$B$20:$B$49, MATCH("*"&amp;B33&amp;"*", Machine_List!$J$20:$J$49,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IF($A34="","",IFERROR(INDEX(Machine_List!$B$20:$B$49,MATCH("*"&amp;$B34&amp;"*",Machine_List!$J$20:$J$49,0)),"NO COMPATIBLE MACHINE"))</f>
        <v>EDM-MC-16</v>
      </c>
      <c r="F34" s="5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46105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IF($A34="","",IF($I34&lt;&gt;"",$I34,MAX(MAX(SPM_Plan!$M34,CARVING_Plan!$M34),IFERROR(LOOKUP(2,1/($E$3:INDIRECT("E"&amp;(ROW()-1))=$E34),$M$3:INDIRECT("M"&amp;(ROW()-1))),MAX(SPM_Plan!$M34,CARVING_Plan!$M34)))))</f>
        <v>46331.162037037</v>
      </c>
      <c r="K34" s="4" t="n">
        <f aca="false">IF($A34="","",IFERROR(VLOOKUP(B34,CHOOSE(MATCH(C34,Settings!$L$4:$L$10,0),OPR_2P!$A$4:$I$18,SEG_6P!$A$4:$I$18,SOL_4P!$A$4:$I$18,RW_2P!$A$4:$I$18,RW2_4P!$A$4:$I$18,FLAP_4P!$A$4:$I$18,TUBE_4P!$A$4:$I$18),4,0),0))</f>
        <v>63</v>
      </c>
      <c r="L34" s="4" t="n">
        <f aca="false">IF($A34="","",K34*D34)</f>
        <v>126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46336.9953703704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C</v>
      </c>
      <c r="O34" s="52" t="str">
        <f aca="false">IF(B34="","", IF(IFERROR(ISNUMBER(SEARCH(B34, VLOOKUP(E34, Machine_List!$B:$J, 9, 0))), FALSE()), "✅ Machine OK", "❌ Sug: " &amp; IFERROR(INDEX(Machine_List!$B$20:$B$49, MATCH("*"&amp;B34&amp;"*", Machine_List!$J$20:$J$49,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IF($A35="","",IFERROR(INDEX(Machine_List!$B$20:$B$49,MATCH("*"&amp;$B35&amp;"*",Machine_List!$J$20:$J$49,0)),"NO COMPATIBLE MACHINE"))</f>
        <v>EDM-MC-01</v>
      </c>
      <c r="F35" s="5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46092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IF($A35="","",IF($I35&lt;&gt;"",$I35,MAX(MAX(SPM_Plan!$M35,CARVING_Plan!$M35),IFERROR(LOOKUP(2,1/($E$3:INDIRECT("E"&amp;(ROW()-1))=$E35),$M$3:INDIRECT("M"&amp;(ROW()-1))),MAX(SPM_Plan!$M35,CARVING_Plan!$M35)))))</f>
        <v>46333.9398148148</v>
      </c>
      <c r="K35" s="4" t="n">
        <f aca="false">IF($A35="","",IFERROR(VLOOKUP(B35,CHOOSE(MATCH(C35,Settings!$L$4:$L$10,0),OPR_2P!$A$4:$I$18,SEG_6P!$A$4:$I$18,SOL_4P!$A$4:$I$18,RW_2P!$A$4:$I$18,RW2_4P!$A$4:$I$18,FLAP_4P!$A$4:$I$18,TUBE_4P!$A$4:$I$18),4,0),0))</f>
        <v>35</v>
      </c>
      <c r="L35" s="4" t="n">
        <f aca="false">IF($A35="","",K35*D35)</f>
        <v>70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46337.1805555556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2" t="str">
        <f aca="false">IF(B35="","", IF(IFERROR(ISNUMBER(SEARCH(B35, VLOOKUP(E35, Machine_List!$B:$J, 9, 0))), FALSE()), "✅ Machine OK", "❌ Sug: " &amp; IFERROR(INDEX(Machine_List!$B$20:$B$49, MATCH("*"&amp;B35&amp;"*", Machine_List!$J$20:$J$49,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IF($A36="","",IFERROR(INDEX(Machine_List!$B$20:$B$49,MATCH("*"&amp;$B36&amp;"*",Machine_List!$J$20:$J$49,0)),"NO COMPATIBLE MACHINE"))</f>
        <v>EDM-MC-16</v>
      </c>
      <c r="F36" s="5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46105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IF($A36="","",IF($I36&lt;&gt;"",$I36,MAX(MAX(SPM_Plan!$M36,CARVING_Plan!$M36),IFERROR(LOOKUP(2,1/($E$3:INDIRECT("E"&amp;(ROW()-1))=$E36),$M$3:INDIRECT("M"&amp;(ROW()-1))),MAX(SPM_Plan!$M36,CARVING_Plan!$M36)))))</f>
        <v>46344.587962963</v>
      </c>
      <c r="K36" s="4" t="n">
        <f aca="false">IF($A36="","",IFERROR(VLOOKUP(B36,CHOOSE(MATCH(C36,Settings!$L$4:$L$10,0),OPR_2P!$A$4:$I$18,SEG_6P!$A$4:$I$18,SOL_4P!$A$4:$I$18,RW_2P!$A$4:$I$18,RW2_4P!$A$4:$I$18,FLAP_4P!$A$4:$I$18,TUBE_4P!$A$4:$I$18),4,0),0))</f>
        <v>75</v>
      </c>
      <c r="L36" s="4" t="n">
        <f aca="false">IF($A36="","",K36*D36)</f>
        <v>150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46351.5324074074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2" t="str">
        <f aca="false">IF(B36="","", IF(IFERROR(ISNUMBER(SEARCH(B36, VLOOKUP(E36, Machine_List!$B:$J, 9, 0))), FALSE()), "✅ Machine OK", "❌ Sug: " &amp; IFERROR(INDEX(Machine_List!$B$20:$B$49, MATCH("*"&amp;B36&amp;"*", Machine_List!$J$20:$J$49,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IF($A37="","",IFERROR(INDEX(Machine_List!$B$20:$B$49,MATCH("*"&amp;$B37&amp;"*",Machine_List!$J$20:$J$49,0)),"NO COMPATIBLE MACHINE"))</f>
        <v>EDM-MC-01</v>
      </c>
      <c r="F37" s="5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46092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IF($A37="","",IF($I37&lt;&gt;"",$I37,MAX(MAX(SPM_Plan!$M37,CARVING_Plan!$M37),IFERROR(LOOKUP(2,1/($E$3:INDIRECT("E"&amp;(ROW()-1))=$E37),$M$3:INDIRECT("M"&amp;(ROW()-1))),MAX(SPM_Plan!$M37,CARVING_Plan!$M37)))))</f>
        <v>46345.9768518519</v>
      </c>
      <c r="K37" s="4" t="n">
        <f aca="false">IF($A37="","",IFERROR(VLOOKUP(B37,CHOOSE(MATCH(C37,Settings!$L$4:$L$10,0),OPR_2P!$A$4:$I$18,SEG_6P!$A$4:$I$18,SOL_4P!$A$4:$I$18,RW_2P!$A$4:$I$18,RW2_4P!$A$4:$I$18,FLAP_4P!$A$4:$I$18,TUBE_4P!$A$4:$I$18),4,0),0))</f>
        <v>14</v>
      </c>
      <c r="L37" s="4" t="n">
        <f aca="false">IF($A37="","",K37*D37)</f>
        <v>28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46347.2731481481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2" t="str">
        <f aca="false">IF(B37="","", IF(IFERROR(ISNUMBER(SEARCH(B37, VLOOKUP(E37, Machine_List!$B:$J, 9, 0))), FALSE()), "✅ Machine OK", "❌ Sug: " &amp; IFERROR(INDEX(Machine_List!$B$20:$B$49, MATCH("*"&amp;B37&amp;"*", Machine_List!$J$20:$J$49,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IF($A38="","",IFERROR(INDEX(Machine_List!$B$20:$B$49,MATCH("*"&amp;$B38&amp;"*",Machine_List!$J$20:$J$49,0)),"NO COMPATIBLE MACHINE"))</f>
        <v>EDM-MC-01</v>
      </c>
      <c r="F38" s="5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46092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IF($A38="","",IF($I38&lt;&gt;"",$I38,MAX(MAX(SPM_Plan!$M38,CARVING_Plan!$M38),IFERROR(LOOKUP(2,1/($E$3:INDIRECT("E"&amp;(ROW()-1))=$E38),$M$3:INDIRECT("M"&amp;(ROW()-1))),MAX(SPM_Plan!$M38,CARVING_Plan!$M38)))))</f>
        <v>46349.4953703704</v>
      </c>
      <c r="K38" s="4" t="n">
        <f aca="false">IF($A38="","",IFERROR(VLOOKUP(B38,CHOOSE(MATCH(C38,Settings!$L$4:$L$10,0),OPR_2P!$A$4:$I$18,SEG_6P!$A$4:$I$18,SOL_4P!$A$4:$I$18,RW_2P!$A$4:$I$18,RW2_4P!$A$4:$I$18,FLAP_4P!$A$4:$I$18,TUBE_4P!$A$4:$I$18),4,0),0))</f>
        <v>35</v>
      </c>
      <c r="L38" s="4" t="n">
        <f aca="false">IF($A38="","",K38*D38)</f>
        <v>70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46352.7361111111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O38" s="52" t="str">
        <f aca="false">IF(B38="","", IF(IFERROR(ISNUMBER(SEARCH(B38, VLOOKUP(E38, Machine_List!$B:$J, 9, 0))), FALSE()), "✅ Machine OK", "❌ Sug: " &amp; IFERROR(INDEX(Machine_List!$B$20:$B$49, MATCH("*"&amp;B38&amp;"*", Machine_List!$J$20:$J$49,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IF($A39="","",IFERROR(INDEX(Machine_List!$B$20:$B$49,MATCH("*"&amp;$B39&amp;"*",Machine_List!$J$20:$J$49,0)),"NO COMPATIBLE MACHINE"))</f>
        <v>EDM-MC-16</v>
      </c>
      <c r="F39" s="5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46105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IF($A39="","",IF($I39&lt;&gt;"",$I39,MAX(MAX(SPM_Plan!$M39,CARVING_Plan!$M39),IFERROR(LOOKUP(2,1/($E$3:INDIRECT("E"&amp;(ROW()-1))=$E39),$M$3:INDIRECT("M"&amp;(ROW()-1))),MAX(SPM_Plan!$M39,CARVING_Plan!$M39)))))</f>
        <v>46367.8287037037</v>
      </c>
      <c r="K39" s="4" t="n">
        <f aca="false">IF($A39="","",IFERROR(VLOOKUP(B39,CHOOSE(MATCH(C39,Settings!$L$4:$L$10,0),OPR_2P!$A$4:$I$18,SEG_6P!$A$4:$I$18,SOL_4P!$A$4:$I$18,RW_2P!$A$4:$I$18,RW2_4P!$A$4:$I$18,FLAP_4P!$A$4:$I$18,TUBE_4P!$A$4:$I$18),4,0),0))</f>
        <v>56</v>
      </c>
      <c r="L39" s="4" t="n">
        <f aca="false">IF($A39="","",K39*D39)</f>
        <v>224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46378.1990740741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C</v>
      </c>
      <c r="O39" s="52" t="str">
        <f aca="false">IF(B39="","", IF(IFERROR(ISNUMBER(SEARCH(B39, VLOOKUP(E39, Machine_List!$B:$J, 9, 0))), FALSE()), "✅ Machine OK", "❌ Sug: " &amp; IFERROR(INDEX(Machine_List!$B$20:$B$49, MATCH("*"&amp;B39&amp;"*", Machine_List!$J$20:$J$49,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IF($A40="","",IFERROR(INDEX(Machine_List!$B$20:$B$49,MATCH("*"&amp;$B40&amp;"*",Machine_List!$J$20:$J$49,0)),"NO COMPATIBLE MACHINE"))</f>
        <v>EDM-MC-01</v>
      </c>
      <c r="F40" s="5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46092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IF($A40="","",IF($I40&lt;&gt;"",$I40,MAX(MAX(SPM_Plan!$M40,CARVING_Plan!$M40),IFERROR(LOOKUP(2,1/($E$3:INDIRECT("E"&amp;(ROW()-1))=$E40),$M$3:INDIRECT("M"&amp;(ROW()-1))),MAX(SPM_Plan!$M40,CARVING_Plan!$M40)))))</f>
        <v>46370.7916666667</v>
      </c>
      <c r="K40" s="4" t="n">
        <f aca="false">IF($A40="","",IFERROR(VLOOKUP(B40,CHOOSE(MATCH(C40,Settings!$L$4:$L$10,0),OPR_2P!$A$4:$I$18,SEG_6P!$A$4:$I$18,SOL_4P!$A$4:$I$18,RW_2P!$A$4:$I$18,RW2_4P!$A$4:$I$18,FLAP_4P!$A$4:$I$18,TUBE_4P!$A$4:$I$18),4,0),0))</f>
        <v>22</v>
      </c>
      <c r="L40" s="4" t="n">
        <f aca="false">IF($A40="","",K40*D40)</f>
        <v>44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46372.8287037037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B</v>
      </c>
      <c r="O40" s="52" t="str">
        <f aca="false">IF(B40="","", IF(IFERROR(ISNUMBER(SEARCH(B40, VLOOKUP(E40, Machine_List!$B:$J, 9, 0))), FALSE()), "✅ Machine OK", "❌ Sug: " &amp; IFERROR(INDEX(Machine_List!$B$20:$B$49, MATCH("*"&amp;B40&amp;"*", Machine_List!$J$20:$J$49,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IF($A41="","",IFERROR(INDEX(Machine_List!$B$20:$B$49,MATCH("*"&amp;$B41&amp;"*",Machine_List!$J$20:$J$49,0)),"NO COMPATIBLE MACHINE"))</f>
        <v>EDM-MC-09</v>
      </c>
      <c r="F41" s="5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46237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IF($A41="","",IF($I41&lt;&gt;"",$I41,MAX(MAX(SPM_Plan!$M41,CARVING_Plan!$M41),IFERROR(LOOKUP(2,1/($E$3:INDIRECT("E"&amp;(ROW()-1))=$E41),$M$3:INDIRECT("M"&amp;(ROW()-1))),MAX(SPM_Plan!$M41,CARVING_Plan!$M41)))))</f>
        <v>46375.9768518519</v>
      </c>
      <c r="K41" s="4" t="n">
        <f aca="false">IF($A41="","",IFERROR(VLOOKUP(B41,CHOOSE(MATCH(C41,Settings!$L$4:$L$10,0),OPR_2P!$A$4:$I$18,SEG_6P!$A$4:$I$18,SOL_4P!$A$4:$I$18,RW_2P!$A$4:$I$18,RW2_4P!$A$4:$I$18,FLAP_4P!$A$4:$I$18,TUBE_4P!$A$4:$I$18),4,0),0))</f>
        <v>36</v>
      </c>
      <c r="L41" s="4" t="n">
        <f aca="false">IF($A41="","",K41*D41)</f>
        <v>72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46379.3101851852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A</v>
      </c>
      <c r="O41" s="52" t="str">
        <f aca="false">IF(B41="","", IF(IFERROR(ISNUMBER(SEARCH(B41, VLOOKUP(E41, Machine_List!$B:$J, 9, 0))), FALSE()), "✅ Machine OK", "❌ Sug: " &amp; IFERROR(INDEX(Machine_List!$B$20:$B$49, MATCH("*"&amp;B41&amp;"*", Machine_List!$J$20:$J$49,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IF($A42="","",IFERROR(INDEX(Machine_List!$B$20:$B$49,MATCH("*"&amp;$B42&amp;"*",Machine_List!$J$20:$J$49,0)),"NO COMPATIBLE MACHINE"))</f>
        <v>EDM-MC-16</v>
      </c>
      <c r="F42" s="5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46105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IF($A42="","",IF($I42&lt;&gt;"",$I42,MAX(MAX(SPM_Plan!$M42,CARVING_Plan!$M42),IFERROR(LOOKUP(2,1/($E$3:INDIRECT("E"&amp;(ROW()-1))=$E42),$M$3:INDIRECT("M"&amp;(ROW()-1))),MAX(SPM_Plan!$M42,CARVING_Plan!$M42)))))</f>
        <v>46383.1990740741</v>
      </c>
      <c r="K42" s="4" t="n">
        <f aca="false">IF($A42="","",IFERROR(VLOOKUP(B42,CHOOSE(MATCH(C42,Settings!$L$4:$L$10,0),OPR_2P!$A$4:$I$18,SEG_6P!$A$4:$I$18,SOL_4P!$A$4:$I$18,RW_2P!$A$4:$I$18,RW2_4P!$A$4:$I$18,FLAP_4P!$A$4:$I$18,TUBE_4P!$A$4:$I$18),4,0),0))</f>
        <v>76</v>
      </c>
      <c r="L42" s="4" t="n">
        <f aca="false">IF($A42="","",K42*D42)</f>
        <v>152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46390.2361111111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C</v>
      </c>
      <c r="O42" s="52" t="str">
        <f aca="false">IF(B42="","", IF(IFERROR(ISNUMBER(SEARCH(B42, VLOOKUP(E42, Machine_List!$B:$J, 9, 0))), FALSE()), "✅ Machine OK", "❌ Sug: " &amp; IFERROR(INDEX(Machine_List!$B$20:$B$49, MATCH("*"&amp;B42&amp;"*", Machine_List!$J$20:$J$49,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IF($A43="","",IFERROR(INDEX(Machine_List!$B$20:$B$49,MATCH("*"&amp;$B43&amp;"*",Machine_List!$J$20:$J$49,0)),"NO COMPATIBLE MACHINE"))</f>
        <v>EDM-MC-01</v>
      </c>
      <c r="F43" s="5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46092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IF($A43="","",IF($I43&lt;&gt;"",$I43,MAX(MAX(SPM_Plan!$M43,CARVING_Plan!$M43),IFERROR(LOOKUP(2,1/($E$3:INDIRECT("E"&amp;(ROW()-1))=$E43),$M$3:INDIRECT("M"&amp;(ROW()-1))),MAX(SPM_Plan!$M43,CARVING_Plan!$M43)))))</f>
        <v>46383.3842592593</v>
      </c>
      <c r="K43" s="4" t="n">
        <f aca="false">IF($A43="","",IFERROR(VLOOKUP(B43,CHOOSE(MATCH(C43,Settings!$L$4:$L$10,0),OPR_2P!$A$4:$I$18,SEG_6P!$A$4:$I$18,SOL_4P!$A$4:$I$18,RW_2P!$A$4:$I$18,RW2_4P!$A$4:$I$18,FLAP_4P!$A$4:$I$18,TUBE_4P!$A$4:$I$18),4,0),0))</f>
        <v>2</v>
      </c>
      <c r="L43" s="4" t="n">
        <f aca="false">IF($A43="","",K43*D43)</f>
        <v>4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46383.5694444444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A</v>
      </c>
      <c r="O43" s="52" t="str">
        <f aca="false">IF(B43="","", IF(IFERROR(ISNUMBER(SEARCH(B43, VLOOKUP(E43, Machine_List!$B:$J, 9, 0))), FALSE()), "✅ Machine OK", "❌ Sug: " &amp; IFERROR(INDEX(Machine_List!$B$20:$B$49, MATCH("*"&amp;B43&amp;"*", Machine_List!$J$20:$J$49,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IF($A44="","",IFERROR(INDEX(Machine_List!$B$20:$B$49,MATCH("*"&amp;$B44&amp;"*",Machine_List!$J$20:$J$49,0)),"NO COMPATIBLE MACHINE"))</f>
        <v>EDM-MC-16</v>
      </c>
      <c r="F44" s="5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46105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IF($A44="","",IF($I44&lt;&gt;"",$I44,MAX(MAX(SPM_Plan!$M44,CARVING_Plan!$M44),IFERROR(LOOKUP(2,1/($E$3:INDIRECT("E"&amp;(ROW()-1))=$E44),$M$3:INDIRECT("M"&amp;(ROW()-1))),MAX(SPM_Plan!$M44,CARVING_Plan!$M44)))))</f>
        <v>46393.0138888889</v>
      </c>
      <c r="K44" s="4" t="n">
        <f aca="false">IF($A44="","",IFERROR(VLOOKUP(B44,CHOOSE(MATCH(C44,Settings!$L$4:$L$10,0),OPR_2P!$A$4:$I$18,SEG_6P!$A$4:$I$18,SOL_4P!$A$4:$I$18,RW_2P!$A$4:$I$18,RW2_4P!$A$4:$I$18,FLAP_4P!$A$4:$I$18,TUBE_4P!$A$4:$I$18),4,0),0))</f>
        <v>64</v>
      </c>
      <c r="L44" s="4" t="n">
        <f aca="false">IF($A44="","",K44*D44)</f>
        <v>128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46398.9398148148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2" t="str">
        <f aca="false">IF(B44="","", IF(IFERROR(ISNUMBER(SEARCH(B44, VLOOKUP(E44, Machine_List!$B:$J, 9, 0))), FALSE()), "✅ Machine OK", "❌ Sug: " &amp; IFERROR(INDEX(Machine_List!$B$20:$B$49, MATCH("*"&amp;B44&amp;"*", Machine_List!$J$20:$J$49,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IF($A45="","",IFERROR(INDEX(Machine_List!$B$20:$B$49,MATCH("*"&amp;$B45&amp;"*",Machine_List!$J$20:$J$49,0)),"NO COMPATIBLE MACHINE"))</f>
        <v>EDM-MC-01</v>
      </c>
      <c r="F45" s="5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46092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IF($A45="","",IF($I45&lt;&gt;"",$I45,MAX(MAX(SPM_Plan!$M45,CARVING_Plan!$M45),IFERROR(LOOKUP(2,1/($E$3:INDIRECT("E"&amp;(ROW()-1))=$E45),$M$3:INDIRECT("M"&amp;(ROW()-1))),MAX(SPM_Plan!$M45,CARVING_Plan!$M45)))))</f>
        <v>46395.9768518519</v>
      </c>
      <c r="K45" s="4" t="n">
        <f aca="false">IF($A45="","",IFERROR(VLOOKUP(B45,CHOOSE(MATCH(C45,Settings!$L$4:$L$10,0),OPR_2P!$A$4:$I$18,SEG_6P!$A$4:$I$18,SOL_4P!$A$4:$I$18,RW_2P!$A$4:$I$18,RW2_4P!$A$4:$I$18,FLAP_4P!$A$4:$I$18,TUBE_4P!$A$4:$I$18),4,0),0))</f>
        <v>22</v>
      </c>
      <c r="L45" s="4" t="n">
        <f aca="false">IF($A45="","",K45*D45)</f>
        <v>44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46398.0138888889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C</v>
      </c>
      <c r="O45" s="52" t="str">
        <f aca="false">IF(B45="","", IF(IFERROR(ISNUMBER(SEARCH(B45, VLOOKUP(E45, Machine_List!$B:$J, 9, 0))), FALSE()), "✅ Machine OK", "❌ Sug: " &amp; IFERROR(INDEX(Machine_List!$B$20:$B$49, MATCH("*"&amp;B45&amp;"*", Machine_List!$J$20:$J$49,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IF($A46="","",IFERROR(INDEX(Machine_List!$B$20:$B$49,MATCH("*"&amp;$B46&amp;"*",Machine_List!$J$20:$J$49,0)),"NO COMPATIBLE MACHINE"))</f>
        <v>EDM-MC-01</v>
      </c>
      <c r="F46" s="5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46092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IF($A46="","",IF($I46&lt;&gt;"",$I46,MAX(MAX(SPM_Plan!$M46,CARVING_Plan!$M46),IFERROR(LOOKUP(2,1/($E$3:INDIRECT("E"&amp;(ROW()-1))=$E46),$M$3:INDIRECT("M"&amp;(ROW()-1))),MAX(SPM_Plan!$M46,CARVING_Plan!$M46)))))</f>
        <v>46398.0138888889</v>
      </c>
      <c r="K46" s="4" t="n">
        <f aca="false">IF($A46="","",IFERROR(VLOOKUP(B46,CHOOSE(MATCH(C46,Settings!$L$4:$L$10,0),OPR_2P!$A$4:$I$18,SEG_6P!$A$4:$I$18,SOL_4P!$A$4:$I$18,RW_2P!$A$4:$I$18,RW2_4P!$A$4:$I$18,FLAP_4P!$A$4:$I$18,TUBE_4P!$A$4:$I$18),4,0),0))</f>
        <v>14</v>
      </c>
      <c r="L46" s="4" t="n">
        <f aca="false">IF($A46="","",K46*D46)</f>
        <v>28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46399.3101851852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2" t="str">
        <f aca="false">IF(B46="","", IF(IFERROR(ISNUMBER(SEARCH(B46, VLOOKUP(E46, Machine_List!$B:$J, 9, 0))), FALSE()), "✅ Machine OK", "❌ Sug: " &amp; IFERROR(INDEX(Machine_List!$B$20:$B$49, MATCH("*"&amp;B46&amp;"*", Machine_List!$J$20:$J$49,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IF($A47="","",IFERROR(INDEX(Machine_List!$B$20:$B$49,MATCH("*"&amp;$B47&amp;"*",Machine_List!$J$20:$J$49,0)),"NO COMPATIBLE MACHINE"))</f>
        <v>EDM-MC-16</v>
      </c>
      <c r="F47" s="5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46105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IF($A47="","",IF($I47&lt;&gt;"",$I47,MAX(MAX(SPM_Plan!$M47,CARVING_Plan!$M47),IFERROR(LOOKUP(2,1/($E$3:INDIRECT("E"&amp;(ROW()-1))=$E47),$M$3:INDIRECT("M"&amp;(ROW()-1))),MAX(SPM_Plan!$M47,CARVING_Plan!$M47)))))</f>
        <v>46415.6990740741</v>
      </c>
      <c r="K47" s="4" t="n">
        <f aca="false">IF($A47="","",IFERROR(VLOOKUP(B47,CHOOSE(MATCH(C47,Settings!$L$4:$L$10,0),OPR_2P!$A$4:$I$18,SEG_6P!$A$4:$I$18,SOL_4P!$A$4:$I$18,RW_2P!$A$4:$I$18,RW2_4P!$A$4:$I$18,FLAP_4P!$A$4:$I$18,TUBE_4P!$A$4:$I$18),4,0),0))</f>
        <v>49</v>
      </c>
      <c r="L47" s="4" t="n">
        <f aca="false">IF($A47="","",K47*D47)</f>
        <v>196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46424.7731481481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2" t="str">
        <f aca="false">IF(B47="","", IF(IFERROR(ISNUMBER(SEARCH(B47, VLOOKUP(E47, Machine_List!$B:$J, 9, 0))), FALSE()), "✅ Machine OK", "❌ Sug: " &amp; IFERROR(INDEX(Machine_List!$B$20:$B$49, MATCH("*"&amp;B47&amp;"*", Machine_List!$J$20:$J$49,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IF($A48="","",IFERROR(INDEX(Machine_List!$B$20:$B$49,MATCH("*"&amp;$B48&amp;"*",Machine_List!$J$20:$J$49,0)),"NO COMPATIBLE MACHINE"))</f>
        <v>EDM-MC-01</v>
      </c>
      <c r="F48" s="5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46092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IF($A48="","",IF($I48&lt;&gt;"",$I48,MAX(MAX(SPM_Plan!$M48,CARVING_Plan!$M48),IFERROR(LOOKUP(2,1/($E$3:INDIRECT("E"&amp;(ROW()-1))=$E48),$M$3:INDIRECT("M"&amp;(ROW()-1))),MAX(SPM_Plan!$M48,CARVING_Plan!$M48)))))</f>
        <v>46415.8842592593</v>
      </c>
      <c r="K48" s="4" t="n">
        <f aca="false">IF($A48="","",IFERROR(VLOOKUP(B48,CHOOSE(MATCH(C48,Settings!$L$4:$L$10,0),OPR_2P!$A$4:$I$18,SEG_6P!$A$4:$I$18,SOL_4P!$A$4:$I$18,RW_2P!$A$4:$I$18,RW2_4P!$A$4:$I$18,FLAP_4P!$A$4:$I$18,TUBE_4P!$A$4:$I$18),4,0),0))</f>
        <v>2</v>
      </c>
      <c r="L48" s="4" t="n">
        <f aca="false">IF($A48="","",K48*D48)</f>
        <v>4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46416.0694444444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C</v>
      </c>
      <c r="O48" s="52" t="str">
        <f aca="false">IF(B48="","", IF(IFERROR(ISNUMBER(SEARCH(B48, VLOOKUP(E48, Machine_List!$B:$J, 9, 0))), FALSE()), "✅ Machine OK", "❌ Sug: " &amp; IFERROR(INDEX(Machine_List!$B$20:$B$49, MATCH("*"&amp;B48&amp;"*", Machine_List!$J$20:$J$49,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IF($A49="","",IFERROR(INDEX(Machine_List!$B$20:$B$49,MATCH("*"&amp;$B49&amp;"*",Machine_List!$J$20:$J$49,0)),"NO COMPATIBLE MACHINE"))</f>
        <v>EDM-MC-09</v>
      </c>
      <c r="F49" s="5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46237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IF($A49="","",IF($I49&lt;&gt;"",$I49,MAX(MAX(SPM_Plan!$M49,CARVING_Plan!$M49),IFERROR(LOOKUP(2,1/($E$3:INDIRECT("E"&amp;(ROW()-1))=$E49),$M$3:INDIRECT("M"&amp;(ROW()-1))),MAX(SPM_Plan!$M49,CARVING_Plan!$M49)))))</f>
        <v>46427.9212962963</v>
      </c>
      <c r="K49" s="4" t="n">
        <f aca="false">IF($A49="","",IFERROR(VLOOKUP(B49,CHOOSE(MATCH(C49,Settings!$L$4:$L$10,0),OPR_2P!$A$4:$I$18,SEG_6P!$A$4:$I$18,SOL_4P!$A$4:$I$18,RW_2P!$A$4:$I$18,RW2_4P!$A$4:$I$18,FLAP_4P!$A$4:$I$18,TUBE_4P!$A$4:$I$18),4,0),0))</f>
        <v>33</v>
      </c>
      <c r="L49" s="4" t="n">
        <f aca="false">IF($A49="","",K49*D49)</f>
        <v>132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46434.0324074074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C</v>
      </c>
      <c r="O49" s="52" t="str">
        <f aca="false">IF(B49="","", IF(IFERROR(ISNUMBER(SEARCH(B49, VLOOKUP(E49, Machine_List!$B:$J, 9, 0))), FALSE()), "✅ Machine OK", "❌ Sug: " &amp; IFERROR(INDEX(Machine_List!$B$20:$B$49, MATCH("*"&amp;B49&amp;"*", Machine_List!$J$20:$J$49,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IF($A50="","",IFERROR(INDEX(Machine_List!$B$20:$B$49,MATCH("*"&amp;$B50&amp;"*",Machine_List!$J$20:$J$49,0)),"NO COMPATIBLE MACHINE"))</f>
        <v>EDM-MC-09</v>
      </c>
      <c r="F50" s="5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46237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IF($A50="","",IF($I50&lt;&gt;"",$I50,MAX(MAX(SPM_Plan!$M50,CARVING_Plan!$M50),IFERROR(LOOKUP(2,1/($E$3:INDIRECT("E"&amp;(ROW()-1))=$E50),$M$3:INDIRECT("M"&amp;(ROW()-1))),MAX(SPM_Plan!$M50,CARVING_Plan!$M50)))))</f>
        <v>46439.9583333333</v>
      </c>
      <c r="K50" s="4" t="n">
        <f aca="false">IF($A50="","",IFERROR(VLOOKUP(B50,CHOOSE(MATCH(C50,Settings!$L$4:$L$10,0),OPR_2P!$A$4:$I$18,SEG_6P!$A$4:$I$18,SOL_4P!$A$4:$I$18,RW_2P!$A$4:$I$18,RW2_4P!$A$4:$I$18,FLAP_4P!$A$4:$I$18,TUBE_4P!$A$4:$I$18),4,0),0))</f>
        <v>33</v>
      </c>
      <c r="L50" s="4" t="n">
        <f aca="false">IF($A50="","",K50*D50)</f>
        <v>132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46446.0694444444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2" t="str">
        <f aca="false">IF(B50="","", IF(IFERROR(ISNUMBER(SEARCH(B50, VLOOKUP(E50, Machine_List!$B:$J, 9, 0))), FALSE()), "✅ Machine OK", "❌ Sug: " &amp; IFERROR(INDEX(Machine_List!$B$20:$B$49, MATCH("*"&amp;B50&amp;"*", Machine_List!$J$20:$J$49,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IF($A51="","",IFERROR(INDEX(Machine_List!$B$20:$B$49,MATCH("*"&amp;$B51&amp;"*",Machine_List!$J$20:$J$49,0)),"NO COMPATIBLE MACHINE"))</f>
        <v>EDM-MC-01</v>
      </c>
      <c r="F51" s="5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46092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IF($A51="","",IF($I51&lt;&gt;"",$I51,MAX(MAX(SPM_Plan!$M51,CARVING_Plan!$M51),IFERROR(LOOKUP(2,1/($E$3:INDIRECT("E"&amp;(ROW()-1))=$E51),$M$3:INDIRECT("M"&amp;(ROW()-1))),MAX(SPM_Plan!$M51,CARVING_Plan!$M51)))))</f>
        <v>46444.9583333333</v>
      </c>
      <c r="K51" s="4" t="n">
        <f aca="false">IF($A51="","",IFERROR(VLOOKUP(B51,CHOOSE(MATCH(C51,Settings!$L$4:$L$10,0),OPR_2P!$A$4:$I$18,SEG_6P!$A$4:$I$18,SOL_4P!$A$4:$I$18,RW_2P!$A$4:$I$18,RW2_4P!$A$4:$I$18,FLAP_4P!$A$4:$I$18,TUBE_4P!$A$4:$I$18),4,0),0))</f>
        <v>36</v>
      </c>
      <c r="L51" s="4" t="n">
        <f aca="false">IF($A51="","",K51*D51)</f>
        <v>144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46451.625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2" t="str">
        <f aca="false">IF(B51="","", IF(IFERROR(ISNUMBER(SEARCH(B51, VLOOKUP(E51, Machine_List!$B:$J, 9, 0))), FALSE()), "✅ Machine OK", "❌ Sug: " &amp; IFERROR(INDEX(Machine_List!$B$20:$B$49, MATCH("*"&amp;B51&amp;"*", Machine_List!$J$20:$J$49,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IF($A52="","",IFERROR(INDEX(Machine_List!$B$20:$B$49,MATCH("*"&amp;$B52&amp;"*",Machine_List!$J$20:$J$49,0)),"NO COMPATIBLE MACHINE"))</f>
        <v>EDM-MC-09</v>
      </c>
      <c r="F52" s="5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46237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IF($A52="","",IF($I52&lt;&gt;"",$I52,MAX(MAX(SPM_Plan!$M52,CARVING_Plan!$M52),IFERROR(LOOKUP(2,1/($E$3:INDIRECT("E"&amp;(ROW()-1))=$E52),$M$3:INDIRECT("M"&amp;(ROW()-1))),MAX(SPM_Plan!$M52,CARVING_Plan!$M52)))))</f>
        <v>46449.587962963</v>
      </c>
      <c r="K52" s="4" t="n">
        <f aca="false">IF($A52="","",IFERROR(VLOOKUP(B52,CHOOSE(MATCH(C52,Settings!$L$4:$L$10,0),OPR_2P!$A$4:$I$18,SEG_6P!$A$4:$I$18,SOL_4P!$A$4:$I$18,RW_2P!$A$4:$I$18,RW2_4P!$A$4:$I$18,FLAP_4P!$A$4:$I$18,TUBE_4P!$A$4:$I$18),4,0),0))</f>
        <v>54</v>
      </c>
      <c r="L52" s="4" t="n">
        <f aca="false">IF($A52="","",K52*D52)</f>
        <v>108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46454.587962963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A</v>
      </c>
      <c r="O52" s="52" t="str">
        <f aca="false">IF(B52="","", IF(IFERROR(ISNUMBER(SEARCH(B52, VLOOKUP(E52, Machine_List!$B:$J, 9, 0))), FALSE()), "✅ Machine OK", "❌ Sug: " &amp; IFERROR(INDEX(Machine_List!$B$20:$B$49, MATCH("*"&amp;B52&amp;"*", Machine_List!$J$20:$J$49,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IF($A53="","",IFERROR(INDEX(Machine_List!$B$20:$B$49,MATCH("*"&amp;$B53&amp;"*",Machine_List!$J$20:$J$49,0)),"NO COMPATIBLE MACHINE"))</f>
        <v>EDM-MC-01</v>
      </c>
      <c r="F53" s="5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46092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IF($A53="","",IF($I53&lt;&gt;"",$I53,MAX(MAX(SPM_Plan!$M53,CARVING_Plan!$M53),IFERROR(LOOKUP(2,1/($E$3:INDIRECT("E"&amp;(ROW()-1))=$E53),$M$3:INDIRECT("M"&amp;(ROW()-1))),MAX(SPM_Plan!$M53,CARVING_Plan!$M53)))))</f>
        <v>46451.9953703704</v>
      </c>
      <c r="K53" s="4" t="n">
        <f aca="false">IF($A53="","",IFERROR(VLOOKUP(B53,CHOOSE(MATCH(C53,Settings!$L$4:$L$10,0),OPR_2P!$A$4:$I$18,SEG_6P!$A$4:$I$18,SOL_4P!$A$4:$I$18,RW_2P!$A$4:$I$18,RW2_4P!$A$4:$I$18,FLAP_4P!$A$4:$I$18,TUBE_4P!$A$4:$I$18),4,0),0))</f>
        <v>11</v>
      </c>
      <c r="L53" s="4" t="n">
        <f aca="false">IF($A53="","",K53*D53)</f>
        <v>44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46454.0324074074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2" t="str">
        <f aca="false">IF(B53="","", IF(IFERROR(ISNUMBER(SEARCH(B53, VLOOKUP(E53, Machine_List!$B:$J, 9, 0))), FALSE()), "✅ Machine OK", "❌ Sug: " &amp; IFERROR(INDEX(Machine_List!$B$20:$B$49, MATCH("*"&amp;B53&amp;"*", Machine_List!$J$20:$J$49,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IF($A54="","",IFERROR(INDEX(Machine_List!$B$20:$B$49,MATCH("*"&amp;$B54&amp;"*",Machine_List!$J$20:$J$49,0)),"NO COMPATIBLE MACHINE"))</f>
        <v>EDM-MC-01</v>
      </c>
      <c r="F54" s="5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46092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IF($A54="","",IF($I54&lt;&gt;"",$I54,MAX(MAX(SPM_Plan!$M54,CARVING_Plan!$M54),IFERROR(LOOKUP(2,1/($E$3:INDIRECT("E"&amp;(ROW()-1))=$E54),$M$3:INDIRECT("M"&amp;(ROW()-1))),MAX(SPM_Plan!$M54,CARVING_Plan!$M54)))))</f>
        <v>46454.7731481481</v>
      </c>
      <c r="K54" s="4" t="n">
        <f aca="false">IF($A54="","",IFERROR(VLOOKUP(B54,CHOOSE(MATCH(C54,Settings!$L$4:$L$10,0),OPR_2P!$A$4:$I$18,SEG_6P!$A$4:$I$18,SOL_4P!$A$4:$I$18,RW_2P!$A$4:$I$18,RW2_4P!$A$4:$I$18,FLAP_4P!$A$4:$I$18,TUBE_4P!$A$4:$I$18),4,0),0))</f>
        <v>35</v>
      </c>
      <c r="L54" s="4" t="n">
        <f aca="false">IF($A54="","",K54*D54)</f>
        <v>70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46458.0138888889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O54" s="52" t="str">
        <f aca="false">IF(B54="","", IF(IFERROR(ISNUMBER(SEARCH(B54, VLOOKUP(E54, Machine_List!$B:$J, 9, 0))), FALSE()), "✅ Machine OK", "❌ Sug: " &amp; IFERROR(INDEX(Machine_List!$B$20:$B$49, MATCH("*"&amp;B54&amp;"*", Machine_List!$J$20:$J$49,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IF($A55="","",IFERROR(INDEX(Machine_List!$B$20:$B$49,MATCH("*"&amp;$B55&amp;"*",Machine_List!$J$20:$J$49,0)),"NO COMPATIBLE MACHINE"))</f>
        <v>EDM-MC-01</v>
      </c>
      <c r="F55" s="5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46092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IF($A55="","",IF($I55&lt;&gt;"",$I55,MAX(MAX(SPM_Plan!$M55,CARVING_Plan!$M55),IFERROR(LOOKUP(2,1/($E$3:INDIRECT("E"&amp;(ROW()-1))=$E55),$M$3:INDIRECT("M"&amp;(ROW()-1))),MAX(SPM_Plan!$M55,CARVING_Plan!$M55)))))</f>
        <v>46458.1064814815</v>
      </c>
      <c r="K55" s="4" t="n">
        <f aca="false">IF($A55="","",IFERROR(VLOOKUP(B55,CHOOSE(MATCH(C55,Settings!$L$4:$L$10,0),OPR_2P!$A$4:$I$18,SEG_6P!$A$4:$I$18,SOL_4P!$A$4:$I$18,RW_2P!$A$4:$I$18,RW2_4P!$A$4:$I$18,FLAP_4P!$A$4:$I$18,TUBE_4P!$A$4:$I$18),4,0),0))</f>
        <v>24</v>
      </c>
      <c r="L55" s="4" t="n">
        <f aca="false">IF($A55="","",K55*D55)</f>
        <v>48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46460.3287037037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A</v>
      </c>
      <c r="O55" s="52" t="str">
        <f aca="false">IF(B55="","", IF(IFERROR(ISNUMBER(SEARCH(B55, VLOOKUP(E55, Machine_List!$B:$J, 9, 0))), FALSE()), "✅ Machine OK", "❌ Sug: " &amp; IFERROR(INDEX(Machine_List!$B$20:$B$49, MATCH("*"&amp;B55&amp;"*", Machine_List!$J$20:$J$49,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IF($A56="","",IFERROR(INDEX(Machine_List!$B$20:$B$49,MATCH("*"&amp;$B56&amp;"*",Machine_List!$J$20:$J$49,0)),"NO COMPATIBLE MACHINE"))</f>
        <v>EDM-MC-01</v>
      </c>
      <c r="F56" s="5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46092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IF($A56="","",IF($I56&lt;&gt;"",$I56,MAX(MAX(SPM_Plan!$M56,CARVING_Plan!$M56),IFERROR(LOOKUP(2,1/($E$3:INDIRECT("E"&amp;(ROW()-1))=$E56),$M$3:INDIRECT("M"&amp;(ROW()-1))),MAX(SPM_Plan!$M56,CARVING_Plan!$M56)))))</f>
        <v>46460.3287037037</v>
      </c>
      <c r="K56" s="4" t="n">
        <f aca="false">IF($A56="","",IFERROR(VLOOKUP(B56,CHOOSE(MATCH(C56,Settings!$L$4:$L$10,0),OPR_2P!$A$4:$I$18,SEG_6P!$A$4:$I$18,SOL_4P!$A$4:$I$18,RW_2P!$A$4:$I$18,RW2_4P!$A$4:$I$18,FLAP_4P!$A$4:$I$18,TUBE_4P!$A$4:$I$18),4,0),0))</f>
        <v>12</v>
      </c>
      <c r="L56" s="4" t="n">
        <f aca="false">IF($A56="","",K56*D56)</f>
        <v>24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46461.4398148148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O56" s="52" t="str">
        <f aca="false">IF(B56="","", IF(IFERROR(ISNUMBER(SEARCH(B56, VLOOKUP(E56, Machine_List!$B:$J, 9, 0))), FALSE()), "✅ Machine OK", "❌ Sug: " &amp; IFERROR(INDEX(Machine_List!$B$20:$B$49, MATCH("*"&amp;B56&amp;"*", Machine_List!$J$20:$J$49,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IF($A57="","",IFERROR(INDEX(Machine_List!$B$20:$B$49,MATCH("*"&amp;$B57&amp;"*",Machine_List!$J$20:$J$49,0)),"NO COMPATIBLE MACHINE"))</f>
        <v>EDM-MC-09</v>
      </c>
      <c r="F57" s="5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46237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IF($A57="","",IF($I57&lt;&gt;"",$I57,MAX(MAX(SPM_Plan!$M57,CARVING_Plan!$M57),IFERROR(LOOKUP(2,1/($E$3:INDIRECT("E"&amp;(ROW()-1))=$E57),$M$3:INDIRECT("M"&amp;(ROW()-1))),MAX(SPM_Plan!$M57,CARVING_Plan!$M57)))))</f>
        <v>46473.4768518519</v>
      </c>
      <c r="K57" s="4" t="n">
        <f aca="false">IF($A57="","",IFERROR(VLOOKUP(B57,CHOOSE(MATCH(C57,Settings!$L$4:$L$10,0),OPR_2P!$A$4:$I$18,SEG_6P!$A$4:$I$18,SOL_4P!$A$4:$I$18,RW_2P!$A$4:$I$18,RW2_4P!$A$4:$I$18,FLAP_4P!$A$4:$I$18,TUBE_4P!$A$4:$I$18),4,0),0))</f>
        <v>48</v>
      </c>
      <c r="L57" s="4" t="n">
        <f aca="false">IF($A57="","",K57*D57)</f>
        <v>288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46486.8101851852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B</v>
      </c>
      <c r="O57" s="52" t="str">
        <f aca="false">IF(B57="","", IF(IFERROR(ISNUMBER(SEARCH(B57, VLOOKUP(E57, Machine_List!$B:$J, 9, 0))), FALSE()), "✅ Machine OK", "❌ Sug: " &amp; IFERROR(INDEX(Machine_List!$B$20:$B$49, MATCH("*"&amp;B57&amp;"*", Machine_List!$J$20:$J$49,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IF($A58="","",IFERROR(INDEX(Machine_List!$B$20:$B$49,MATCH("*"&amp;$B58&amp;"*",Machine_List!$J$20:$J$49,0)),"NO COMPATIBLE MACHINE"))</f>
        <v>EDM-MC-09</v>
      </c>
      <c r="F58" s="5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46237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IF($A58="","",IF($I58&lt;&gt;"",$I58,MAX(MAX(SPM_Plan!$M58,CARVING_Plan!$M58),IFERROR(LOOKUP(2,1/($E$3:INDIRECT("E"&amp;(ROW()-1))=$E58),$M$3:INDIRECT("M"&amp;(ROW()-1))),MAX(SPM_Plan!$M58,CARVING_Plan!$M58)))))</f>
        <v>46486.8101851852</v>
      </c>
      <c r="K58" s="4" t="n">
        <f aca="false">IF($A58="","",IFERROR(VLOOKUP(B58,CHOOSE(MATCH(C58,Settings!$L$4:$L$10,0),OPR_2P!$A$4:$I$18,SEG_6P!$A$4:$I$18,SOL_4P!$A$4:$I$18,RW_2P!$A$4:$I$18,RW2_4P!$A$4:$I$18,FLAP_4P!$A$4:$I$18,TUBE_4P!$A$4:$I$18),4,0),0))</f>
        <v>54</v>
      </c>
      <c r="L58" s="4" t="n">
        <f aca="false">IF($A58="","",K58*D58)</f>
        <v>108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46491.8101851852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O58" s="52" t="str">
        <f aca="false">IF(B58="","", IF(IFERROR(ISNUMBER(SEARCH(B58, VLOOKUP(E58, Machine_List!$B:$J, 9, 0))), FALSE()), "✅ Machine OK", "❌ Sug: " &amp; IFERROR(INDEX(Machine_List!$B$20:$B$49, MATCH("*"&amp;B58&amp;"*", Machine_List!$J$20:$J$49,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IF($A59="","",IFERROR(INDEX(Machine_List!$B$20:$B$49,MATCH("*"&amp;$B59&amp;"*",Machine_List!$J$20:$J$49,0)),"NO COMPATIBLE MACHINE"))</f>
        <v>EDM-MC-16</v>
      </c>
      <c r="F59" s="5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46105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IF($A59="","",IF($I59&lt;&gt;"",$I59,MAX(MAX(SPM_Plan!$M59,CARVING_Plan!$M59),IFERROR(LOOKUP(2,1/($E$3:INDIRECT("E"&amp;(ROW()-1))=$E59),$M$3:INDIRECT("M"&amp;(ROW()-1))),MAX(SPM_Plan!$M59,CARVING_Plan!$M59)))))</f>
        <v>46487.3657407407</v>
      </c>
      <c r="K59" s="4" t="n">
        <f aca="false">IF($A59="","",IFERROR(VLOOKUP(B59,CHOOSE(MATCH(C59,Settings!$L$4:$L$10,0),OPR_2P!$A$4:$I$18,SEG_6P!$A$4:$I$18,SOL_4P!$A$4:$I$18,RW_2P!$A$4:$I$18,RW2_4P!$A$4:$I$18,FLAP_4P!$A$4:$I$18,TUBE_4P!$A$4:$I$18),4,0),0))</f>
        <v>92</v>
      </c>
      <c r="L59" s="4" t="n">
        <f aca="false">IF($A59="","",K59*D59)</f>
        <v>184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46495.8842592593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B</v>
      </c>
      <c r="O59" s="52" t="str">
        <f aca="false">IF(B59="","", IF(IFERROR(ISNUMBER(SEARCH(B59, VLOOKUP(E59, Machine_List!$B:$J, 9, 0))), FALSE()), "✅ Machine OK", "❌ Sug: " &amp; IFERROR(INDEX(Machine_List!$B$20:$B$49, MATCH("*"&amp;B59&amp;"*", Machine_List!$J$20:$J$49,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IF($A60="","",IFERROR(INDEX(Machine_List!$B$20:$B$49,MATCH("*"&amp;$B60&amp;"*",Machine_List!$J$20:$J$49,0)),"NO COMPATIBLE MACHINE"))</f>
        <v>EDM-MC-16</v>
      </c>
      <c r="F60" s="5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46105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IF($A60="","",IF($I60&lt;&gt;"",$I60,MAX(MAX(SPM_Plan!$M60,CARVING_Plan!$M60),IFERROR(LOOKUP(2,1/($E$3:INDIRECT("E"&amp;(ROW()-1))=$E60),$M$3:INDIRECT("M"&amp;(ROW()-1))),MAX(SPM_Plan!$M60,CARVING_Plan!$M60)))))</f>
        <v>46512.087962963</v>
      </c>
      <c r="K60" s="4" t="n">
        <f aca="false">IF($A60="","",IFERROR(VLOOKUP(B60,CHOOSE(MATCH(C60,Settings!$L$4:$L$10,0),OPR_2P!$A$4:$I$18,SEG_6P!$A$4:$I$18,SOL_4P!$A$4:$I$18,RW_2P!$A$4:$I$18,RW2_4P!$A$4:$I$18,FLAP_4P!$A$4:$I$18,TUBE_4P!$A$4:$I$18),4,0),0))</f>
        <v>67</v>
      </c>
      <c r="L60" s="4" t="n">
        <f aca="false">IF($A60="","",K60*D60)</f>
        <v>402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46530.6990740741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B</v>
      </c>
      <c r="O60" s="52" t="str">
        <f aca="false">IF(B60="","", IF(IFERROR(ISNUMBER(SEARCH(B60, VLOOKUP(E60, Machine_List!$B:$J, 9, 0))), FALSE()), "✅ Machine OK", "❌ Sug: " &amp; IFERROR(INDEX(Machine_List!$B$20:$B$49, MATCH("*"&amp;B60&amp;"*", Machine_List!$J$20:$J$49,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IF($A61="","",IFERROR(INDEX(Machine_List!$B$20:$B$49,MATCH("*"&amp;$B61&amp;"*",Machine_List!$J$20:$J$49,0)),"NO COMPATIBLE MACHINE"))</f>
        <v>EDM-MC-16</v>
      </c>
      <c r="F61" s="5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46105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IF($A61="","",IF($I61&lt;&gt;"",$I61,MAX(MAX(SPM_Plan!$M61,CARVING_Plan!$M61),IFERROR(LOOKUP(2,1/($E$3:INDIRECT("E"&amp;(ROW()-1))=$E61),$M$3:INDIRECT("M"&amp;(ROW()-1))),MAX(SPM_Plan!$M61,CARVING_Plan!$M61)))))</f>
        <v>46530.6990740741</v>
      </c>
      <c r="K61" s="4" t="n">
        <f aca="false">IF($A61="","",IFERROR(VLOOKUP(B61,CHOOSE(MATCH(C61,Settings!$L$4:$L$10,0),OPR_2P!$A$4:$I$18,SEG_6P!$A$4:$I$18,SOL_4P!$A$4:$I$18,RW_2P!$A$4:$I$18,RW2_4P!$A$4:$I$18,FLAP_4P!$A$4:$I$18,TUBE_4P!$A$4:$I$18),4,0),0))</f>
        <v>76</v>
      </c>
      <c r="L61" s="4" t="n">
        <f aca="false">IF($A61="","",K61*D61)</f>
        <v>152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46537.7361111111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2" t="str">
        <f aca="false">IF(B61="","", IF(IFERROR(ISNUMBER(SEARCH(B61, VLOOKUP(E61, Machine_List!$B:$J, 9, 0))), FALSE()), "✅ Machine OK", "❌ Sug: " &amp; IFERROR(INDEX(Machine_List!$B$20:$B$49, MATCH("*"&amp;B61&amp;"*", Machine_List!$J$20:$J$49,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IF($A62="","",IFERROR(INDEX(Machine_List!$B$20:$B$49,MATCH("*"&amp;$B62&amp;"*",Machine_List!$J$20:$J$49,0)),"NO COMPATIBLE MACHINE"))</f>
        <v>EDM-MC-01</v>
      </c>
      <c r="F62" s="5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46092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IF($A62="","",IF($I62&lt;&gt;"",$I62,MAX(MAX(SPM_Plan!$M62,CARVING_Plan!$M62),IFERROR(LOOKUP(2,1/($E$3:INDIRECT("E"&amp;(ROW()-1))=$E62),$M$3:INDIRECT("M"&amp;(ROW()-1))),MAX(SPM_Plan!$M62,CARVING_Plan!$M62)))))</f>
        <v>46521.5324074074</v>
      </c>
      <c r="K62" s="4" t="n">
        <f aca="false">IF($A62="","",IFERROR(VLOOKUP(B62,CHOOSE(MATCH(C62,Settings!$L$4:$L$10,0),OPR_2P!$A$4:$I$18,SEG_6P!$A$4:$I$18,SOL_4P!$A$4:$I$18,RW_2P!$A$4:$I$18,RW2_4P!$A$4:$I$18,FLAP_4P!$A$4:$I$18,TUBE_4P!$A$4:$I$18),4,0),0))</f>
        <v>7</v>
      </c>
      <c r="L62" s="4" t="n">
        <f aca="false">IF($A62="","",K62*D62)</f>
        <v>42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46523.4768518519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2" t="str">
        <f aca="false">IF(B62="","", IF(IFERROR(ISNUMBER(SEARCH(B62, VLOOKUP(E62, Machine_List!$B:$J, 9, 0))), FALSE()), "✅ Machine OK", "❌ Sug: " &amp; IFERROR(INDEX(Machine_List!$B$20:$B$49, MATCH("*"&amp;B62&amp;"*", Machine_List!$J$20:$J$49,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IF($A63="","",IFERROR(INDEX(Machine_List!$B$20:$B$49,MATCH("*"&amp;$B63&amp;"*",Machine_List!$J$20:$J$49,0)),"NO COMPATIBLE MACHINE"))</f>
        <v>EDM-MC-09</v>
      </c>
      <c r="F63" s="5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46237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IF($A63="","",IF($I63&lt;&gt;"",$I63,MAX(MAX(SPM_Plan!$M63,CARVING_Plan!$M63),IFERROR(LOOKUP(2,1/($E$3:INDIRECT("E"&amp;(ROW()-1))=$E63),$M$3:INDIRECT("M"&amp;(ROW()-1))),MAX(SPM_Plan!$M63,CARVING_Plan!$M63)))))</f>
        <v>46531.2546296296</v>
      </c>
      <c r="K63" s="4" t="n">
        <f aca="false">IF($A63="","",IFERROR(VLOOKUP(B63,CHOOSE(MATCH(C63,Settings!$L$4:$L$10,0),OPR_2P!$A$4:$I$18,SEG_6P!$A$4:$I$18,SOL_4P!$A$4:$I$18,RW_2P!$A$4:$I$18,RW2_4P!$A$4:$I$18,FLAP_4P!$A$4:$I$18,TUBE_4P!$A$4:$I$18),4,0),0))</f>
        <v>27</v>
      </c>
      <c r="L63" s="4" t="n">
        <f aca="false">IF($A63="","",K63*D63)</f>
        <v>162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46538.7546296296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B</v>
      </c>
      <c r="O63" s="52" t="str">
        <f aca="false">IF(B63="","", IF(IFERROR(ISNUMBER(SEARCH(B63, VLOOKUP(E63, Machine_List!$B:$J, 9, 0))), FALSE()), "✅ Machine OK", "❌ Sug: " &amp; IFERROR(INDEX(Machine_List!$B$20:$B$49, MATCH("*"&amp;B63&amp;"*", Machine_List!$J$20:$J$49,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IF($A64="","",IFERROR(INDEX(Machine_List!$B$20:$B$49,MATCH("*"&amp;$B64&amp;"*",Machine_List!$J$20:$J$49,0)),"NO COMPATIBLE MACHINE"))</f>
        <v>EDM-MC-01</v>
      </c>
      <c r="F64" s="5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46092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IF($A64="","",IF($I64&lt;&gt;"",$I64,MAX(MAX(SPM_Plan!$M64,CARVING_Plan!$M64),IFERROR(LOOKUP(2,1/($E$3:INDIRECT("E"&amp;(ROW()-1))=$E64),$M$3:INDIRECT("M"&amp;(ROW()-1))),MAX(SPM_Plan!$M64,CARVING_Plan!$M64)))))</f>
        <v>46531.8101851852</v>
      </c>
      <c r="K64" s="4" t="n">
        <f aca="false">IF($A64="","",IFERROR(VLOOKUP(B64,CHOOSE(MATCH(C64,Settings!$L$4:$L$10,0),OPR_2P!$A$4:$I$18,SEG_6P!$A$4:$I$18,SOL_4P!$A$4:$I$18,RW_2P!$A$4:$I$18,RW2_4P!$A$4:$I$18,FLAP_4P!$A$4:$I$18,TUBE_4P!$A$4:$I$18),4,0),0))</f>
        <v>6</v>
      </c>
      <c r="L64" s="4" t="n">
        <f aca="false">IF($A64="","",K64*D64)</f>
        <v>12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46532.3657407407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A</v>
      </c>
      <c r="O64" s="52" t="str">
        <f aca="false">IF(B64="","", IF(IFERROR(ISNUMBER(SEARCH(B64, VLOOKUP(E64, Machine_List!$B:$J, 9, 0))), FALSE()), "✅ Machine OK", "❌ Sug: " &amp; IFERROR(INDEX(Machine_List!$B$20:$B$49, MATCH("*"&amp;B64&amp;"*", Machine_List!$J$20:$J$49,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IF($A65="","",IFERROR(INDEX(Machine_List!$B$20:$B$49,MATCH("*"&amp;$B65&amp;"*",Machine_List!$J$20:$J$49,0)),"NO COMPATIBLE MACHINE"))</f>
        <v>EDM-MC-16</v>
      </c>
      <c r="F65" s="5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46105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IF($A65="","",IF($I65&lt;&gt;"",$I65,MAX(MAX(SPM_Plan!$M65,CARVING_Plan!$M65),IFERROR(LOOKUP(2,1/($E$3:INDIRECT("E"&amp;(ROW()-1))=$E65),$M$3:INDIRECT("M"&amp;(ROW()-1))),MAX(SPM_Plan!$M65,CARVING_Plan!$M65)))))</f>
        <v>46556.4398148148</v>
      </c>
      <c r="K65" s="4" t="n">
        <f aca="false">IF($A65="","",IFERROR(VLOOKUP(B65,CHOOSE(MATCH(C65,Settings!$L$4:$L$10,0),OPR_2P!$A$4:$I$18,SEG_6P!$A$4:$I$18,SOL_4P!$A$4:$I$18,RW_2P!$A$4:$I$18,RW2_4P!$A$4:$I$18,FLAP_4P!$A$4:$I$18,TUBE_4P!$A$4:$I$18),4,0),0))</f>
        <v>99</v>
      </c>
      <c r="L65" s="4" t="n">
        <f aca="false">IF($A65="","",K65*D65)</f>
        <v>396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46574.7731481481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B</v>
      </c>
      <c r="O65" s="52" t="str">
        <f aca="false">IF(B65="","", IF(IFERROR(ISNUMBER(SEARCH(B65, VLOOKUP(E65, Machine_List!$B:$J, 9, 0))), FALSE()), "✅ Machine OK", "❌ Sug: " &amp; IFERROR(INDEX(Machine_List!$B$20:$B$49, MATCH("*"&amp;B65&amp;"*", Machine_List!$J$20:$J$49,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IF($A66="","",IFERROR(INDEX(Machine_List!$B$20:$B$49,MATCH("*"&amp;$B66&amp;"*",Machine_List!$J$20:$J$49,0)),"NO COMPATIBLE MACHINE"))</f>
        <v>EDM-MC-09</v>
      </c>
      <c r="F66" s="5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46237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IF($A66="","",IF($I66&lt;&gt;"",$I66,MAX(MAX(SPM_Plan!$M66,CARVING_Plan!$M66),IFERROR(LOOKUP(2,1/($E$3:INDIRECT("E"&amp;(ROW()-1))=$E66),$M$3:INDIRECT("M"&amp;(ROW()-1))),MAX(SPM_Plan!$M66,CARVING_Plan!$M66)))))</f>
        <v>46566.4398148148</v>
      </c>
      <c r="K66" s="4" t="n">
        <f aca="false">IF($A66="","",IFERROR(VLOOKUP(B66,CHOOSE(MATCH(C66,Settings!$L$4:$L$10,0),OPR_2P!$A$4:$I$18,SEG_6P!$A$4:$I$18,SOL_4P!$A$4:$I$18,RW_2P!$A$4:$I$18,RW2_4P!$A$4:$I$18,FLAP_4P!$A$4:$I$18,TUBE_4P!$A$4:$I$18),4,0),0))</f>
        <v>63</v>
      </c>
      <c r="L66" s="4" t="n">
        <f aca="false">IF($A66="","",K66*D66)</f>
        <v>252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46578.1064814815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C</v>
      </c>
      <c r="O66" s="52" t="str">
        <f aca="false">IF(B66="","", IF(IFERROR(ISNUMBER(SEARCH(B66, VLOOKUP(E66, Machine_List!$B:$J, 9, 0))), FALSE()), "✅ Machine OK", "❌ Sug: " &amp; IFERROR(INDEX(Machine_List!$B$20:$B$49, MATCH("*"&amp;B66&amp;"*", Machine_List!$J$20:$J$49,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IF($A67="","",IFERROR(INDEX(Machine_List!$B$20:$B$49,MATCH("*"&amp;$B67&amp;"*",Machine_List!$J$20:$J$49,0)),"NO COMPATIBLE MACHINE"))</f>
        <v>EDM-MC-01</v>
      </c>
      <c r="F67" s="5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46092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IF($A67="","",IF($I67&lt;&gt;"",$I67,MAX(MAX(SPM_Plan!$M67,CARVING_Plan!$M67),IFERROR(LOOKUP(2,1/($E$3:INDIRECT("E"&amp;(ROW()-1))=$E67),$M$3:INDIRECT("M"&amp;(ROW()-1))),MAX(SPM_Plan!$M67,CARVING_Plan!$M67)))))</f>
        <v>46569.3101851852</v>
      </c>
      <c r="K67" s="4" t="n">
        <f aca="false">IF($A67="","",IFERROR(VLOOKUP(B67,CHOOSE(MATCH(C67,Settings!$L$4:$L$10,0),OPR_2P!$A$4:$I$18,SEG_6P!$A$4:$I$18,SOL_4P!$A$4:$I$18,RW_2P!$A$4:$I$18,RW2_4P!$A$4:$I$18,FLAP_4P!$A$4:$I$18,TUBE_4P!$A$4:$I$18),4,0),0))</f>
        <v>20</v>
      </c>
      <c r="L67" s="4" t="n">
        <f aca="false">IF($A67="","",K67*D67)</f>
        <v>40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46571.162037037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C</v>
      </c>
      <c r="O67" s="52" t="str">
        <f aca="false">IF(B67="","", IF(IFERROR(ISNUMBER(SEARCH(B67, VLOOKUP(E67, Machine_List!$B:$J, 9, 0))), FALSE()), "✅ Machine OK", "❌ Sug: " &amp; IFERROR(INDEX(Machine_List!$B$20:$B$49, MATCH("*"&amp;B67&amp;"*", Machine_List!$J$20:$J$49,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IF($A68="","",IFERROR(INDEX(Machine_List!$B$20:$B$49,MATCH("*"&amp;$B68&amp;"*",Machine_List!$J$20:$J$49,0)),"NO COMPATIBLE MACHINE"))</f>
        <v>EDM-MC-01</v>
      </c>
      <c r="F68" s="5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46092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IF($A68="","",IF($I68&lt;&gt;"",$I68,MAX(MAX(SPM_Plan!$M68,CARVING_Plan!$M68),IFERROR(LOOKUP(2,1/($E$3:INDIRECT("E"&amp;(ROW()-1))=$E68),$M$3:INDIRECT("M"&amp;(ROW()-1))),MAX(SPM_Plan!$M68,CARVING_Plan!$M68)))))</f>
        <v>46571.162037037</v>
      </c>
      <c r="K68" s="4" t="n">
        <f aca="false">IF($A68="","",IFERROR(VLOOKUP(B68,CHOOSE(MATCH(C68,Settings!$L$4:$L$10,0),OPR_2P!$A$4:$I$18,SEG_6P!$A$4:$I$18,SOL_4P!$A$4:$I$18,RW_2P!$A$4:$I$18,RW2_4P!$A$4:$I$18,FLAP_4P!$A$4:$I$18,TUBE_4P!$A$4:$I$18),4,0),0))</f>
        <v>19</v>
      </c>
      <c r="L68" s="4" t="n">
        <f aca="false">IF($A68="","",K68*D68)</f>
        <v>38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46572.9212962963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2" t="str">
        <f aca="false">IF(B68="","", IF(IFERROR(ISNUMBER(SEARCH(B68, VLOOKUP(E68, Machine_List!$B:$J, 9, 0))), FALSE()), "✅ Machine OK", "❌ Sug: " &amp; IFERROR(INDEX(Machine_List!$B$20:$B$49, MATCH("*"&amp;B68&amp;"*", Machine_List!$J$20:$J$49,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IF($A69="","",IFERROR(INDEX(Machine_List!$B$20:$B$49,MATCH("*"&amp;$B69&amp;"*",Machine_List!$J$20:$J$49,0)),"NO COMPATIBLE MACHINE"))</f>
        <v>EDM-MC-16</v>
      </c>
      <c r="F69" s="5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46105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IF($A69="","",IF($I69&lt;&gt;"",$I69,MAX(MAX(SPM_Plan!$M69,CARVING_Plan!$M69),IFERROR(LOOKUP(2,1/($E$3:INDIRECT("E"&amp;(ROW()-1))=$E69),$M$3:INDIRECT("M"&amp;(ROW()-1))),MAX(SPM_Plan!$M69,CARVING_Plan!$M69)))))</f>
        <v>46580.1435185185</v>
      </c>
      <c r="K69" s="4" t="n">
        <f aca="false">IF($A69="","",IFERROR(VLOOKUP(B69,CHOOSE(MATCH(C69,Settings!$L$4:$L$10,0),OPR_2P!$A$4:$I$18,SEG_6P!$A$4:$I$18,SOL_4P!$A$4:$I$18,RW_2P!$A$4:$I$18,RW2_4P!$A$4:$I$18,FLAP_4P!$A$4:$I$18,TUBE_4P!$A$4:$I$18),4,0),0))</f>
        <v>92</v>
      </c>
      <c r="L69" s="4" t="n">
        <f aca="false">IF($A69="","",K69*D69)</f>
        <v>184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46588.662037037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2" t="str">
        <f aca="false">IF(B69="","", IF(IFERROR(ISNUMBER(SEARCH(B69, VLOOKUP(E69, Machine_List!$B:$J, 9, 0))), FALSE()), "✅ Machine OK", "❌ Sug: " &amp; IFERROR(INDEX(Machine_List!$B$20:$B$49, MATCH("*"&amp;B69&amp;"*", Machine_List!$J$20:$J$49,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IF($A70="","",IFERROR(INDEX(Machine_List!$B$20:$B$49,MATCH("*"&amp;$B70&amp;"*",Machine_List!$J$20:$J$49,0)),"NO COMPATIBLE MACHINE"))</f>
        <v>EDM-MC-16</v>
      </c>
      <c r="F70" s="5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46105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IF($A70="","",IF($I70&lt;&gt;"",$I70,MAX(MAX(SPM_Plan!$M70,CARVING_Plan!$M70),IFERROR(LOOKUP(2,1/($E$3:INDIRECT("E"&amp;(ROW()-1))=$E70),$M$3:INDIRECT("M"&amp;(ROW()-1))),MAX(SPM_Plan!$M70,CARVING_Plan!$M70)))))</f>
        <v>46598.4768518519</v>
      </c>
      <c r="K70" s="4" t="n">
        <f aca="false">IF($A70="","",IFERROR(VLOOKUP(B70,CHOOSE(MATCH(C70,Settings!$L$4:$L$10,0),OPR_2P!$A$4:$I$18,SEG_6P!$A$4:$I$18,SOL_4P!$A$4:$I$18,RW_2P!$A$4:$I$18,RW2_4P!$A$4:$I$18,FLAP_4P!$A$4:$I$18,TUBE_4P!$A$4:$I$18),4,0),0))</f>
        <v>49</v>
      </c>
      <c r="L70" s="4" t="n">
        <f aca="false">IF($A70="","",K70*D70)</f>
        <v>196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46607.5509259259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2" t="str">
        <f aca="false">IF(B70="","", IF(IFERROR(ISNUMBER(SEARCH(B70, VLOOKUP(E70, Machine_List!$B:$J, 9, 0))), FALSE()), "✅ Machine OK", "❌ Sug: " &amp; IFERROR(INDEX(Machine_List!$B$20:$B$49, MATCH("*"&amp;B70&amp;"*", Machine_List!$J$20:$J$49,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IF($A71="","",IFERROR(INDEX(Machine_List!$B$20:$B$49,MATCH("*"&amp;$B71&amp;"*",Machine_List!$J$20:$J$49,0)),"NO COMPATIBLE MACHINE"))</f>
        <v>EDM-MC-01</v>
      </c>
      <c r="F71" s="5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46092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IF($A71="","",IF($I71&lt;&gt;"",$I71,MAX(MAX(SPM_Plan!$M71,CARVING_Plan!$M71),IFERROR(LOOKUP(2,1/($E$3:INDIRECT("E"&amp;(ROW()-1))=$E71),$M$3:INDIRECT("M"&amp;(ROW()-1))),MAX(SPM_Plan!$M71,CARVING_Plan!$M71)))))</f>
        <v>46600.8842592593</v>
      </c>
      <c r="K71" s="4" t="n">
        <f aca="false">IF($A71="","",IFERROR(VLOOKUP(B71,CHOOSE(MATCH(C71,Settings!$L$4:$L$10,0),OPR_2P!$A$4:$I$18,SEG_6P!$A$4:$I$18,SOL_4P!$A$4:$I$18,RW_2P!$A$4:$I$18,RW2_4P!$A$4:$I$18,FLAP_4P!$A$4:$I$18,TUBE_4P!$A$4:$I$18),4,0),0))</f>
        <v>11</v>
      </c>
      <c r="L71" s="4" t="n">
        <f aca="false">IF($A71="","",K71*D71)</f>
        <v>44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46602.9212962963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B</v>
      </c>
      <c r="O71" s="52" t="str">
        <f aca="false">IF(B71="","", IF(IFERROR(ISNUMBER(SEARCH(B71, VLOOKUP(E71, Machine_List!$B:$J, 9, 0))), FALSE()), "✅ Machine OK", "❌ Sug: " &amp; IFERROR(INDEX(Machine_List!$B$20:$B$49, MATCH("*"&amp;B71&amp;"*", Machine_List!$J$20:$J$49,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IF($A72="","",IFERROR(INDEX(Machine_List!$B$20:$B$49,MATCH("*"&amp;$B72&amp;"*",Machine_List!$J$20:$J$49,0)),"NO COMPATIBLE MACHINE"))</f>
        <v>EDM-MC-01</v>
      </c>
      <c r="F72" s="5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46092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IF($A72="","",IF($I72&lt;&gt;"",$I72,MAX(MAX(SPM_Plan!$M72,CARVING_Plan!$M72),IFERROR(LOOKUP(2,1/($E$3:INDIRECT("E"&amp;(ROW()-1))=$E72),$M$3:INDIRECT("M"&amp;(ROW()-1))),MAX(SPM_Plan!$M72,CARVING_Plan!$M72)))))</f>
        <v>46602.9212962963</v>
      </c>
      <c r="K72" s="4" t="n">
        <f aca="false">IF($A72="","",IFERROR(VLOOKUP(B72,CHOOSE(MATCH(C72,Settings!$L$4:$L$10,0),OPR_2P!$A$4:$I$18,SEG_6P!$A$4:$I$18,SOL_4P!$A$4:$I$18,RW_2P!$A$4:$I$18,RW2_4P!$A$4:$I$18,FLAP_4P!$A$4:$I$18,TUBE_4P!$A$4:$I$18),4,0),0))</f>
        <v>12</v>
      </c>
      <c r="L72" s="4" t="n">
        <f aca="false">IF($A72="","",K72*D72)</f>
        <v>24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46604.0324074074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2" t="str">
        <f aca="false">IF(B72="","", IF(IFERROR(ISNUMBER(SEARCH(B72, VLOOKUP(E72, Machine_List!$B:$J, 9, 0))), FALSE()), "✅ Machine OK", "❌ Sug: " &amp; IFERROR(INDEX(Machine_List!$B$20:$B$49, MATCH("*"&amp;B72&amp;"*", Machine_List!$J$20:$J$49,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IF($A73="","",IFERROR(INDEX(Machine_List!$B$20:$B$49,MATCH("*"&amp;$B73&amp;"*",Machine_List!$J$20:$J$49,0)),"NO COMPATIBLE MACHINE"))</f>
        <v>EDM-MC-01</v>
      </c>
      <c r="F73" s="5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46092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IF($A73="","",IF($I73&lt;&gt;"",$I73,MAX(MAX(SPM_Plan!$M73,CARVING_Plan!$M73),IFERROR(LOOKUP(2,1/($E$3:INDIRECT("E"&amp;(ROW()-1))=$E73),$M$3:INDIRECT("M"&amp;(ROW()-1))),MAX(SPM_Plan!$M73,CARVING_Plan!$M73)))))</f>
        <v>46608.0138888889</v>
      </c>
      <c r="K73" s="4" t="n">
        <f aca="false">IF($A73="","",IFERROR(VLOOKUP(B73,CHOOSE(MATCH(C73,Settings!$L$4:$L$10,0),OPR_2P!$A$4:$I$18,SEG_6P!$A$4:$I$18,SOL_4P!$A$4:$I$18,RW_2P!$A$4:$I$18,RW2_4P!$A$4:$I$18,FLAP_4P!$A$4:$I$18,TUBE_4P!$A$4:$I$18),4,0),0))</f>
        <v>20</v>
      </c>
      <c r="L73" s="4" t="n">
        <f aca="false">IF($A73="","",K73*D73)</f>
        <v>120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46613.5694444444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A</v>
      </c>
      <c r="O73" s="52" t="str">
        <f aca="false">IF(B73="","", IF(IFERROR(ISNUMBER(SEARCH(B73, VLOOKUP(E73, Machine_List!$B:$J, 9, 0))), FALSE()), "✅ Machine OK", "❌ Sug: " &amp; IFERROR(INDEX(Machine_List!$B$20:$B$49, MATCH("*"&amp;B73&amp;"*", Machine_List!$J$20:$J$49,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IF($A74="","",IFERROR(INDEX(Machine_List!$B$20:$B$49,MATCH("*"&amp;$B74&amp;"*",Machine_List!$J$20:$J$49,0)),"NO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IF($A74="","",IF($I74&lt;&gt;"",$I74,MAX(MAX(SPM_Plan!$M74,CARVING_Plan!$M74),IFERROR(LOOKUP(2,1/($E$3:INDIRECT("E"&amp;(ROW()-1))=$E74),$M$3:INDIRECT("M"&amp;(ROW()-1))),MAX(SPM_Plan!$M74,CARVING_Plan!$M74)))))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IF($A74="","",IFERROR(VLOOKUP(B74,CHOOSE(MATCH(C74,Settings!$L$4:$L$10,0),OPR_2P!$A$4:$I$18,SEG_6P!$A$4:$I$18,SOL_4P!$A$4:$I$18,RW_2P!$A$4:$I$18,RW2_4P!$A$4:$I$18,FLAP_4P!$A$4:$I$18,TUBE_4P!$A$4:$I$18),4,0),0))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IFERROR(INDEX(Machine_List!$B$20:$B$49, MATCH("*"&amp;B74&amp;"*", Machine_List!$J$20:$J$49,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IF($A75="","",IFERROR(INDEX(Machine_List!$B$20:$B$49,MATCH("*"&amp;$B75&amp;"*",Machine_List!$J$20:$J$49,0)),"NO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IF($A75="","",IF($I75&lt;&gt;"",$I75,MAX(MAX(SPM_Plan!$M75,CARVING_Plan!$M75),IFERROR(LOOKUP(2,1/($E$3:INDIRECT("E"&amp;(ROW()-1))=$E75),$M$3:INDIRECT("M"&amp;(ROW()-1))),MAX(SPM_Plan!$M75,CARVING_Plan!$M75)))))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IF($A75="","",IFERROR(VLOOKUP(B75,CHOOSE(MATCH(C75,Settings!$L$4:$L$10,0),OPR_2P!$A$4:$I$18,SEG_6P!$A$4:$I$18,SOL_4P!$A$4:$I$18,RW_2P!$A$4:$I$18,RW2_4P!$A$4:$I$18,FLAP_4P!$A$4:$I$18,TUBE_4P!$A$4:$I$18),4,0),0))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IFERROR(INDEX(Machine_List!$B$20:$B$49, MATCH("*"&amp;B75&amp;"*", Machine_List!$J$20:$J$49,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IF($A76="","",IFERROR(INDEX(Machine_List!$B$20:$B$49,MATCH("*"&amp;$B76&amp;"*",Machine_List!$J$20:$J$49,0)),"NO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IF($A76="","",IF($I76&lt;&gt;"",$I76,MAX(MAX(SPM_Plan!$M76,CARVING_Plan!$M76),IFERROR(LOOKUP(2,1/($E$3:INDIRECT("E"&amp;(ROW()-1))=$E76),$M$3:INDIRECT("M"&amp;(ROW()-1))),MAX(SPM_Plan!$M76,CARVING_Plan!$M76)))))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IF($A76="","",IFERROR(VLOOKUP(B76,CHOOSE(MATCH(C76,Settings!$L$4:$L$10,0),OPR_2P!$A$4:$I$18,SEG_6P!$A$4:$I$18,SOL_4P!$A$4:$I$18,RW_2P!$A$4:$I$18,RW2_4P!$A$4:$I$18,FLAP_4P!$A$4:$I$18,TUBE_4P!$A$4:$I$18),4,0),0))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IFERROR(INDEX(Machine_List!$B$20:$B$49, MATCH("*"&amp;B76&amp;"*", Machine_List!$J$20:$J$49,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IF($A77="","",IFERROR(INDEX(Machine_List!$B$20:$B$49,MATCH("*"&amp;$B77&amp;"*",Machine_List!$J$20:$J$49,0)),"NO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IF($A77="","",IF($I77&lt;&gt;"",$I77,MAX(MAX(SPM_Plan!$M77,CARVING_Plan!$M77),IFERROR(LOOKUP(2,1/($E$3:INDIRECT("E"&amp;(ROW()-1))=$E77),$M$3:INDIRECT("M"&amp;(ROW()-1))),MAX(SPM_Plan!$M77,CARVING_Plan!$M77)))))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IF($A77="","",IFERROR(VLOOKUP(B77,CHOOSE(MATCH(C77,Settings!$L$4:$L$10,0),OPR_2P!$A$4:$I$18,SEG_6P!$A$4:$I$18,SOL_4P!$A$4:$I$18,RW_2P!$A$4:$I$18,RW2_4P!$A$4:$I$18,FLAP_4P!$A$4:$I$18,TUBE_4P!$A$4:$I$18),4,0),0))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IFERROR(INDEX(Machine_List!$B$20:$B$49, MATCH("*"&amp;B77&amp;"*", Machine_List!$J$20:$J$49,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IF($A78="","",IFERROR(INDEX(Machine_List!$B$20:$B$49,MATCH("*"&amp;$B78&amp;"*",Machine_List!$J$20:$J$49,0)),"NO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IF($A78="","",IF($I78&lt;&gt;"",$I78,MAX(MAX(SPM_Plan!$M78,CARVING_Plan!$M78),IFERROR(LOOKUP(2,1/($E$3:INDIRECT("E"&amp;(ROW()-1))=$E78),$M$3:INDIRECT("M"&amp;(ROW()-1))),MAX(SPM_Plan!$M78,CARVING_Plan!$M78)))))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IF($A78="","",IFERROR(VLOOKUP(B78,CHOOSE(MATCH(C78,Settings!$L$4:$L$10,0),OPR_2P!$A$4:$I$18,SEG_6P!$A$4:$I$18,SOL_4P!$A$4:$I$18,RW_2P!$A$4:$I$18,RW2_4P!$A$4:$I$18,FLAP_4P!$A$4:$I$18,TUBE_4P!$A$4:$I$18),4,0),0))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IFERROR(INDEX(Machine_List!$B$20:$B$49, MATCH("*"&amp;B78&amp;"*", Machine_List!$J$20:$J$49,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IF($A79="","",IFERROR(INDEX(Machine_List!$B$20:$B$49,MATCH("*"&amp;$B79&amp;"*",Machine_List!$J$20:$J$49,0)),"NO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IF($A79="","",IF($I79&lt;&gt;"",$I79,MAX(MAX(SPM_Plan!$M79,CARVING_Plan!$M79),IFERROR(LOOKUP(2,1/($E$3:INDIRECT("E"&amp;(ROW()-1))=$E79),$M$3:INDIRECT("M"&amp;(ROW()-1))),MAX(SPM_Plan!$M79,CARVING_Plan!$M79)))))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IF($A79="","",IFERROR(VLOOKUP(B79,CHOOSE(MATCH(C79,Settings!$L$4:$L$10,0),OPR_2P!$A$4:$I$18,SEG_6P!$A$4:$I$18,SOL_4P!$A$4:$I$18,RW_2P!$A$4:$I$18,RW2_4P!$A$4:$I$18,FLAP_4P!$A$4:$I$18,TUBE_4P!$A$4:$I$18),4,0),0))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IFERROR(INDEX(Machine_List!$B$20:$B$49, MATCH("*"&amp;B79&amp;"*", Machine_List!$J$20:$J$49,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IF($A80="","",IFERROR(INDEX(Machine_List!$B$20:$B$49,MATCH("*"&amp;$B80&amp;"*",Machine_List!$J$20:$J$49,0)),"NO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IF($A80="","",IF($I80&lt;&gt;"",$I80,MAX(MAX(SPM_Plan!$M80,CARVING_Plan!$M80),IFERROR(LOOKUP(2,1/($E$3:INDIRECT("E"&amp;(ROW()-1))=$E80),$M$3:INDIRECT("M"&amp;(ROW()-1))),MAX(SPM_Plan!$M80,CARVING_Plan!$M80)))))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IF($A80="","",IFERROR(VLOOKUP(B80,CHOOSE(MATCH(C80,Settings!$L$4:$L$10,0),OPR_2P!$A$4:$I$18,SEG_6P!$A$4:$I$18,SOL_4P!$A$4:$I$18,RW_2P!$A$4:$I$18,RW2_4P!$A$4:$I$18,FLAP_4P!$A$4:$I$18,TUBE_4P!$A$4:$I$18),4,0),0))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IFERROR(INDEX(Machine_List!$B$20:$B$49, MATCH("*"&amp;B80&amp;"*", Machine_List!$J$20:$J$49,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IF($A81="","",IFERROR(INDEX(Machine_List!$B$20:$B$49,MATCH("*"&amp;$B81&amp;"*",Machine_List!$J$20:$J$49,0)),"NO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IF($A81="","",IF($I81&lt;&gt;"",$I81,MAX(MAX(SPM_Plan!$M81,CARVING_Plan!$M81),IFERROR(LOOKUP(2,1/($E$3:INDIRECT("E"&amp;(ROW()-1))=$E81),$M$3:INDIRECT("M"&amp;(ROW()-1))),MAX(SPM_Plan!$M81,CARVING_Plan!$M81)))))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IF($A81="","",IFERROR(VLOOKUP(B81,CHOOSE(MATCH(C81,Settings!$L$4:$L$10,0),OPR_2P!$A$4:$I$18,SEG_6P!$A$4:$I$18,SOL_4P!$A$4:$I$18,RW_2P!$A$4:$I$18,RW2_4P!$A$4:$I$18,FLAP_4P!$A$4:$I$18,TUBE_4P!$A$4:$I$18),4,0),0))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IFERROR(INDEX(Machine_List!$B$20:$B$49, MATCH("*"&amp;B81&amp;"*", Machine_List!$J$20:$J$49,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IF($A82="","",IFERROR(INDEX(Machine_List!$B$20:$B$49,MATCH("*"&amp;$B82&amp;"*",Machine_List!$J$20:$J$49,0)),"NO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IF($A82="","",IF($I82&lt;&gt;"",$I82,MAX(MAX(SPM_Plan!$M82,CARVING_Plan!$M82),IFERROR(LOOKUP(2,1/($E$3:INDIRECT("E"&amp;(ROW()-1))=$E82),$M$3:INDIRECT("M"&amp;(ROW()-1))),MAX(SPM_Plan!$M82,CARVING_Plan!$M82)))))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IF($A82="","",IFERROR(VLOOKUP(B82,CHOOSE(MATCH(C82,Settings!$L$4:$L$10,0),OPR_2P!$A$4:$I$18,SEG_6P!$A$4:$I$18,SOL_4P!$A$4:$I$18,RW_2P!$A$4:$I$18,RW2_4P!$A$4:$I$18,FLAP_4P!$A$4:$I$18,TUBE_4P!$A$4:$I$18),4,0),0))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IFERROR(INDEX(Machine_List!$B$20:$B$49, MATCH("*"&amp;B82&amp;"*", Machine_List!$J$20:$J$49,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IF($A83="","",IFERROR(INDEX(Machine_List!$B$20:$B$49,MATCH("*"&amp;$B83&amp;"*",Machine_List!$J$20:$J$49,0)),"NO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IF($A83="","",IF($I83&lt;&gt;"",$I83,MAX(MAX(SPM_Plan!$M83,CARVING_Plan!$M83),IFERROR(LOOKUP(2,1/($E$3:INDIRECT("E"&amp;(ROW()-1))=$E83),$M$3:INDIRECT("M"&amp;(ROW()-1))),MAX(SPM_Plan!$M83,CARVING_Plan!$M83)))))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IF($A83="","",IFERROR(VLOOKUP(B83,CHOOSE(MATCH(C83,Settings!$L$4:$L$10,0),OPR_2P!$A$4:$I$18,SEG_6P!$A$4:$I$18,SOL_4P!$A$4:$I$18,RW_2P!$A$4:$I$18,RW2_4P!$A$4:$I$18,FLAP_4P!$A$4:$I$18,TUBE_4P!$A$4:$I$18),4,0),0))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IFERROR(INDEX(Machine_List!$B$20:$B$49, MATCH("*"&amp;B83&amp;"*", Machine_List!$J$20:$J$49,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IF($A84="","",IFERROR(INDEX(Machine_List!$B$20:$B$49,MATCH("*"&amp;$B84&amp;"*",Machine_List!$J$20:$J$49,0)),"NO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IF($A84="","",IF($I84&lt;&gt;"",$I84,MAX(MAX(SPM_Plan!$M84,CARVING_Plan!$M84),IFERROR(LOOKUP(2,1/($E$3:INDIRECT("E"&amp;(ROW()-1))=$E84),$M$3:INDIRECT("M"&amp;(ROW()-1))),MAX(SPM_Plan!$M84,CARVING_Plan!$M84)))))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IF($A84="","",IFERROR(VLOOKUP(B84,CHOOSE(MATCH(C84,Settings!$L$4:$L$10,0),OPR_2P!$A$4:$I$18,SEG_6P!$A$4:$I$18,SOL_4P!$A$4:$I$18,RW_2P!$A$4:$I$18,RW2_4P!$A$4:$I$18,FLAP_4P!$A$4:$I$18,TUBE_4P!$A$4:$I$18),4,0),0))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IFERROR(INDEX(Machine_List!$B$20:$B$49, MATCH("*"&amp;B84&amp;"*", Machine_List!$J$20:$J$49,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IF($A85="","",IFERROR(INDEX(Machine_List!$B$20:$B$49,MATCH("*"&amp;$B85&amp;"*",Machine_List!$J$20:$J$49,0)),"NO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IF($A85="","",IF($I85&lt;&gt;"",$I85,MAX(MAX(SPM_Plan!$M85,CARVING_Plan!$M85),IFERROR(LOOKUP(2,1/($E$3:INDIRECT("E"&amp;(ROW()-1))=$E85),$M$3:INDIRECT("M"&amp;(ROW()-1))),MAX(SPM_Plan!$M85,CARVING_Plan!$M85)))))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IF($A85="","",IFERROR(VLOOKUP(B85,CHOOSE(MATCH(C85,Settings!$L$4:$L$10,0),OPR_2P!$A$4:$I$18,SEG_6P!$A$4:$I$18,SOL_4P!$A$4:$I$18,RW_2P!$A$4:$I$18,RW2_4P!$A$4:$I$18,FLAP_4P!$A$4:$I$18,TUBE_4P!$A$4:$I$18),4,0),0))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IFERROR(INDEX(Machine_List!$B$20:$B$49, MATCH("*"&amp;B85&amp;"*", Machine_List!$J$20:$J$49,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IF($A86="","",IFERROR(INDEX(Machine_List!$B$20:$B$49,MATCH("*"&amp;$B86&amp;"*",Machine_List!$J$20:$J$49,0)),"NO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IF($A86="","",IF($I86&lt;&gt;"",$I86,MAX(MAX(SPM_Plan!$M86,CARVING_Plan!$M86),IFERROR(LOOKUP(2,1/($E$3:INDIRECT("E"&amp;(ROW()-1))=$E86),$M$3:INDIRECT("M"&amp;(ROW()-1))),MAX(SPM_Plan!$M86,CARVING_Plan!$M86)))))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IF($A86="","",IFERROR(VLOOKUP(B86,CHOOSE(MATCH(C86,Settings!$L$4:$L$10,0),OPR_2P!$A$4:$I$18,SEG_6P!$A$4:$I$18,SOL_4P!$A$4:$I$18,RW_2P!$A$4:$I$18,RW2_4P!$A$4:$I$18,FLAP_4P!$A$4:$I$18,TUBE_4P!$A$4:$I$18),4,0),0))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IFERROR(INDEX(Machine_List!$B$20:$B$49, MATCH("*"&amp;B86&amp;"*", Machine_List!$J$20:$J$49,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IF($A87="","",IFERROR(INDEX(Machine_List!$B$20:$B$49,MATCH("*"&amp;$B87&amp;"*",Machine_List!$J$20:$J$49,0)),"NO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IF($A87="","",IF($I87&lt;&gt;"",$I87,MAX(MAX(SPM_Plan!$M87,CARVING_Plan!$M87),IFERROR(LOOKUP(2,1/($E$3:INDIRECT("E"&amp;(ROW()-1))=$E87),$M$3:INDIRECT("M"&amp;(ROW()-1))),MAX(SPM_Plan!$M87,CARVING_Plan!$M87)))))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IF($A87="","",IFERROR(VLOOKUP(B87,CHOOSE(MATCH(C87,Settings!$L$4:$L$10,0),OPR_2P!$A$4:$I$18,SEG_6P!$A$4:$I$18,SOL_4P!$A$4:$I$18,RW_2P!$A$4:$I$18,RW2_4P!$A$4:$I$18,FLAP_4P!$A$4:$I$18,TUBE_4P!$A$4:$I$18),4,0),0))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IFERROR(INDEX(Machine_List!$B$20:$B$49, MATCH("*"&amp;B87&amp;"*", Machine_List!$J$20:$J$49,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IF($A88="","",IFERROR(INDEX(Machine_List!$B$20:$B$49,MATCH("*"&amp;$B88&amp;"*",Machine_List!$J$20:$J$49,0)),"NO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IF($A88="","",IF($I88&lt;&gt;"",$I88,MAX(MAX(SPM_Plan!$M88,CARVING_Plan!$M88),IFERROR(LOOKUP(2,1/($E$3:INDIRECT("E"&amp;(ROW()-1))=$E88),$M$3:INDIRECT("M"&amp;(ROW()-1))),MAX(SPM_Plan!$M88,CARVING_Plan!$M88)))))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IF($A88="","",IFERROR(VLOOKUP(B88,CHOOSE(MATCH(C88,Settings!$L$4:$L$10,0),OPR_2P!$A$4:$I$18,SEG_6P!$A$4:$I$18,SOL_4P!$A$4:$I$18,RW_2P!$A$4:$I$18,RW2_4P!$A$4:$I$18,FLAP_4P!$A$4:$I$18,TUBE_4P!$A$4:$I$18),4,0),0))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IFERROR(INDEX(Machine_List!$B$20:$B$49, MATCH("*"&amp;B88&amp;"*", Machine_List!$J$20:$J$49,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IF($A89="","",IFERROR(INDEX(Machine_List!$B$20:$B$49,MATCH("*"&amp;$B89&amp;"*",Machine_List!$J$20:$J$49,0)),"NO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IF($A89="","",IF($I89&lt;&gt;"",$I89,MAX(MAX(SPM_Plan!$M89,CARVING_Plan!$M89),IFERROR(LOOKUP(2,1/($E$3:INDIRECT("E"&amp;(ROW()-1))=$E89),$M$3:INDIRECT("M"&amp;(ROW()-1))),MAX(SPM_Plan!$M89,CARVING_Plan!$M89)))))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IF($A89="","",IFERROR(VLOOKUP(B89,CHOOSE(MATCH(C89,Settings!$L$4:$L$10,0),OPR_2P!$A$4:$I$18,SEG_6P!$A$4:$I$18,SOL_4P!$A$4:$I$18,RW_2P!$A$4:$I$18,RW2_4P!$A$4:$I$18,FLAP_4P!$A$4:$I$18,TUBE_4P!$A$4:$I$18),4,0),0))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IFERROR(INDEX(Machine_List!$B$20:$B$49, MATCH("*"&amp;B89&amp;"*", Machine_List!$J$20:$J$49,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IF($A90="","",IFERROR(INDEX(Machine_List!$B$20:$B$49,MATCH("*"&amp;$B90&amp;"*",Machine_List!$J$20:$J$49,0)),"NO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IF($A90="","",IF($I90&lt;&gt;"",$I90,MAX(MAX(SPM_Plan!$M90,CARVING_Plan!$M90),IFERROR(LOOKUP(2,1/($E$3:INDIRECT("E"&amp;(ROW()-1))=$E90),$M$3:INDIRECT("M"&amp;(ROW()-1))),MAX(SPM_Plan!$M90,CARVING_Plan!$M90)))))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IF($A90="","",IFERROR(VLOOKUP(B90,CHOOSE(MATCH(C90,Settings!$L$4:$L$10,0),OPR_2P!$A$4:$I$18,SEG_6P!$A$4:$I$18,SOL_4P!$A$4:$I$18,RW_2P!$A$4:$I$18,RW2_4P!$A$4:$I$18,FLAP_4P!$A$4:$I$18,TUBE_4P!$A$4:$I$18),4,0),0))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IFERROR(INDEX(Machine_List!$B$20:$B$49, MATCH("*"&amp;B90&amp;"*", Machine_List!$J$20:$J$49,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IF($A91="","",IFERROR(INDEX(Machine_List!$B$20:$B$49,MATCH("*"&amp;$B91&amp;"*",Machine_List!$J$20:$J$49,0)),"NO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IF($A91="","",IF($I91&lt;&gt;"",$I91,MAX(MAX(SPM_Plan!$M91,CARVING_Plan!$M91),IFERROR(LOOKUP(2,1/($E$3:INDIRECT("E"&amp;(ROW()-1))=$E91),$M$3:INDIRECT("M"&amp;(ROW()-1))),MAX(SPM_Plan!$M91,CARVING_Plan!$M91)))))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IF($A91="","",IFERROR(VLOOKUP(B91,CHOOSE(MATCH(C91,Settings!$L$4:$L$10,0),OPR_2P!$A$4:$I$18,SEG_6P!$A$4:$I$18,SOL_4P!$A$4:$I$18,RW_2P!$A$4:$I$18,RW2_4P!$A$4:$I$18,FLAP_4P!$A$4:$I$18,TUBE_4P!$A$4:$I$18),4,0),0))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IFERROR(INDEX(Machine_List!$B$20:$B$49, MATCH("*"&amp;B91&amp;"*", Machine_List!$J$20:$J$49,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IF($A92="","",IFERROR(INDEX(Machine_List!$B$20:$B$49,MATCH("*"&amp;$B92&amp;"*",Machine_List!$J$20:$J$49,0)),"NO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IF($A92="","",IF($I92&lt;&gt;"",$I92,MAX(MAX(SPM_Plan!$M92,CARVING_Plan!$M92),IFERROR(LOOKUP(2,1/($E$3:INDIRECT("E"&amp;(ROW()-1))=$E92),$M$3:INDIRECT("M"&amp;(ROW()-1))),MAX(SPM_Plan!$M92,CARVING_Plan!$M92)))))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IF($A92="","",IFERROR(VLOOKUP(B92,CHOOSE(MATCH(C92,Settings!$L$4:$L$10,0),OPR_2P!$A$4:$I$18,SEG_6P!$A$4:$I$18,SOL_4P!$A$4:$I$18,RW_2P!$A$4:$I$18,RW2_4P!$A$4:$I$18,FLAP_4P!$A$4:$I$18,TUBE_4P!$A$4:$I$18),4,0),0))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IFERROR(INDEX(Machine_List!$B$20:$B$49, MATCH("*"&amp;B92&amp;"*", Machine_List!$J$20:$J$49,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IF($A93="","",IFERROR(INDEX(Machine_List!$B$20:$B$49,MATCH("*"&amp;$B93&amp;"*",Machine_List!$J$20:$J$49,0)),"NO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IF($A93="","",IF($I93&lt;&gt;"",$I93,MAX(MAX(SPM_Plan!$M93,CARVING_Plan!$M93),IFERROR(LOOKUP(2,1/($E$3:INDIRECT("E"&amp;(ROW()-1))=$E93),$M$3:INDIRECT("M"&amp;(ROW()-1))),MAX(SPM_Plan!$M93,CARVING_Plan!$M93)))))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IF($A93="","",IFERROR(VLOOKUP(B93,CHOOSE(MATCH(C93,Settings!$L$4:$L$10,0),OPR_2P!$A$4:$I$18,SEG_6P!$A$4:$I$18,SOL_4P!$A$4:$I$18,RW_2P!$A$4:$I$18,RW2_4P!$A$4:$I$18,FLAP_4P!$A$4:$I$18,TUBE_4P!$A$4:$I$18),4,0),0))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IFERROR(INDEX(Machine_List!$B$20:$B$49, MATCH("*"&amp;B93&amp;"*", Machine_List!$J$20:$J$49,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IF($A94="","",IFERROR(INDEX(Machine_List!$B$20:$B$49,MATCH("*"&amp;$B94&amp;"*",Machine_List!$J$20:$J$49,0)),"NO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IF($A94="","",IF($I94&lt;&gt;"",$I94,MAX(MAX(SPM_Plan!$M94,CARVING_Plan!$M94),IFERROR(LOOKUP(2,1/($E$3:INDIRECT("E"&amp;(ROW()-1))=$E94),$M$3:INDIRECT("M"&amp;(ROW()-1))),MAX(SPM_Plan!$M94,CARVING_Plan!$M94)))))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IF($A94="","",IFERROR(VLOOKUP(B94,CHOOSE(MATCH(C94,Settings!$L$4:$L$10,0),OPR_2P!$A$4:$I$18,SEG_6P!$A$4:$I$18,SOL_4P!$A$4:$I$18,RW_2P!$A$4:$I$18,RW2_4P!$A$4:$I$18,FLAP_4P!$A$4:$I$18,TUBE_4P!$A$4:$I$18),4,0),0))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IFERROR(INDEX(Machine_List!$B$20:$B$49, MATCH("*"&amp;B94&amp;"*", Machine_List!$J$20:$J$49,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IF($A95="","",IFERROR(INDEX(Machine_List!$B$20:$B$49,MATCH("*"&amp;$B95&amp;"*",Machine_List!$J$20:$J$49,0)),"NO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IF($A95="","",IF($I95&lt;&gt;"",$I95,MAX(MAX(SPM_Plan!$M95,CARVING_Plan!$M95),IFERROR(LOOKUP(2,1/($E$3:INDIRECT("E"&amp;(ROW()-1))=$E95),$M$3:INDIRECT("M"&amp;(ROW()-1))),MAX(SPM_Plan!$M95,CARVING_Plan!$M95)))))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IF($A95="","",IFERROR(VLOOKUP(B95,CHOOSE(MATCH(C95,Settings!$L$4:$L$10,0),OPR_2P!$A$4:$I$18,SEG_6P!$A$4:$I$18,SOL_4P!$A$4:$I$18,RW_2P!$A$4:$I$18,RW2_4P!$A$4:$I$18,FLAP_4P!$A$4:$I$18,TUBE_4P!$A$4:$I$18),4,0),0))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IFERROR(INDEX(Machine_List!$B$20:$B$49, MATCH("*"&amp;B95&amp;"*", Machine_List!$J$20:$J$49,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IF($A96="","",IFERROR(INDEX(Machine_List!$B$20:$B$49,MATCH("*"&amp;$B96&amp;"*",Machine_List!$J$20:$J$49,0)),"NO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IF($A96="","",IF($I96&lt;&gt;"",$I96,MAX(MAX(SPM_Plan!$M96,CARVING_Plan!$M96),IFERROR(LOOKUP(2,1/($E$3:INDIRECT("E"&amp;(ROW()-1))=$E96),$M$3:INDIRECT("M"&amp;(ROW()-1))),MAX(SPM_Plan!$M96,CARVING_Plan!$M96)))))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IF($A96="","",IFERROR(VLOOKUP(B96,CHOOSE(MATCH(C96,Settings!$L$4:$L$10,0),OPR_2P!$A$4:$I$18,SEG_6P!$A$4:$I$18,SOL_4P!$A$4:$I$18,RW_2P!$A$4:$I$18,RW2_4P!$A$4:$I$18,FLAP_4P!$A$4:$I$18,TUBE_4P!$A$4:$I$18),4,0),0))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IFERROR(INDEX(Machine_List!$B$20:$B$49, MATCH("*"&amp;B96&amp;"*", Machine_List!$J$20:$J$49,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IF($A97="","",IFERROR(INDEX(Machine_List!$B$20:$B$49,MATCH("*"&amp;$B97&amp;"*",Machine_List!$J$20:$J$49,0)),"NO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IF($A97="","",IF($I97&lt;&gt;"",$I97,MAX(MAX(SPM_Plan!$M97,CARVING_Plan!$M97),IFERROR(LOOKUP(2,1/($E$3:INDIRECT("E"&amp;(ROW()-1))=$E97),$M$3:INDIRECT("M"&amp;(ROW()-1))),MAX(SPM_Plan!$M97,CARVING_Plan!$M97)))))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IF($A97="","",IFERROR(VLOOKUP(B97,CHOOSE(MATCH(C97,Settings!$L$4:$L$10,0),OPR_2P!$A$4:$I$18,SEG_6P!$A$4:$I$18,SOL_4P!$A$4:$I$18,RW_2P!$A$4:$I$18,RW2_4P!$A$4:$I$18,FLAP_4P!$A$4:$I$18,TUBE_4P!$A$4:$I$18),4,0),0))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IFERROR(INDEX(Machine_List!$B$20:$B$49, MATCH("*"&amp;B97&amp;"*", Machine_List!$J$20:$J$49,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IF($A98="","",IFERROR(INDEX(Machine_List!$B$20:$B$49,MATCH("*"&amp;$B98&amp;"*",Machine_List!$J$20:$J$49,0)),"NO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IF($A98="","",IF($I98&lt;&gt;"",$I98,MAX(MAX(SPM_Plan!$M98,CARVING_Plan!$M98),IFERROR(LOOKUP(2,1/($E$3:INDIRECT("E"&amp;(ROW()-1))=$E98),$M$3:INDIRECT("M"&amp;(ROW()-1))),MAX(SPM_Plan!$M98,CARVING_Plan!$M98)))))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IF($A98="","",IFERROR(VLOOKUP(B98,CHOOSE(MATCH(C98,Settings!$L$4:$L$10,0),OPR_2P!$A$4:$I$18,SEG_6P!$A$4:$I$18,SOL_4P!$A$4:$I$18,RW_2P!$A$4:$I$18,RW2_4P!$A$4:$I$18,FLAP_4P!$A$4:$I$18,TUBE_4P!$A$4:$I$18),4,0),0))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IFERROR(INDEX(Machine_List!$B$20:$B$49, MATCH("*"&amp;B98&amp;"*", Machine_List!$J$20:$J$49,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IF($A99="","",IFERROR(INDEX(Machine_List!$B$20:$B$49,MATCH("*"&amp;$B99&amp;"*",Machine_List!$J$20:$J$49,0)),"NO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IF($A99="","",IF($I99&lt;&gt;"",$I99,MAX(MAX(SPM_Plan!$M99,CARVING_Plan!$M99),IFERROR(LOOKUP(2,1/($E$3:INDIRECT("E"&amp;(ROW()-1))=$E99),$M$3:INDIRECT("M"&amp;(ROW()-1))),MAX(SPM_Plan!$M99,CARVING_Plan!$M99)))))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IF($A99="","",IFERROR(VLOOKUP(B99,CHOOSE(MATCH(C99,Settings!$L$4:$L$10,0),OPR_2P!$A$4:$I$18,SEG_6P!$A$4:$I$18,SOL_4P!$A$4:$I$18,RW_2P!$A$4:$I$18,RW2_4P!$A$4:$I$18,FLAP_4P!$A$4:$I$18,TUBE_4P!$A$4:$I$18),4,0),0))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IFERROR(INDEX(Machine_List!$B$20:$B$49, MATCH("*"&amp;B99&amp;"*", Machine_List!$J$20:$J$49,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IF($A100="","",IFERROR(INDEX(Machine_List!$B$20:$B$49,MATCH("*"&amp;$B100&amp;"*",Machine_List!$J$20:$J$49,0)),"NO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IF($A100="","",IF($I100&lt;&gt;"",$I100,MAX(MAX(SPM_Plan!$M100,CARVING_Plan!$M100),IFERROR(LOOKUP(2,1/($E$3:INDIRECT("E"&amp;(ROW()-1))=$E100),$M$3:INDIRECT("M"&amp;(ROW()-1))),MAX(SPM_Plan!$M100,CARVING_Plan!$M100)))))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IF($A100="","",IFERROR(VLOOKUP(B100,CHOOSE(MATCH(C100,Settings!$L$4:$L$10,0),OPR_2P!$A$4:$I$18,SEG_6P!$A$4:$I$18,SOL_4P!$A$4:$I$18,RW_2P!$A$4:$I$18,RW2_4P!$A$4:$I$18,FLAP_4P!$A$4:$I$18,TUBE_4P!$A$4:$I$18),4,0),0))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IFERROR(INDEX(Machine_List!$B$20:$B$49, MATCH("*"&amp;B100&amp;"*", Machine_List!$J$20:$J$49,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IF($A101="","",IFERROR(INDEX(Machine_List!$B$20:$B$49,MATCH("*"&amp;$B101&amp;"*",Machine_List!$J$20:$J$49,0)),"NO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IF($A101="","",IF($I101&lt;&gt;"",$I101,MAX(MAX(SPM_Plan!$M101,CARVING_Plan!$M101),IFERROR(LOOKUP(2,1/($E$3:INDIRECT("E"&amp;(ROW()-1))=$E101),$M$3:INDIRECT("M"&amp;(ROW()-1))),MAX(SPM_Plan!$M101,CARVING_Plan!$M101)))))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IF($A101="","",IFERROR(VLOOKUP(B101,CHOOSE(MATCH(C101,Settings!$L$4:$L$10,0),OPR_2P!$A$4:$I$18,SEG_6P!$A$4:$I$18,SOL_4P!$A$4:$I$18,RW_2P!$A$4:$I$18,RW2_4P!$A$4:$I$18,FLAP_4P!$A$4:$I$18,TUBE_4P!$A$4:$I$18),4,0),0))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IF($A102="","",IFERROR(INDEX(Machine_List!$B$20:$B$49,MATCH("*"&amp;$B102&amp;"*",Machine_List!$J$20:$J$49,0)),"NO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IF($A102="","",IF($I102&lt;&gt;"",$I102,MAX(MAX(SPM_Plan!$M102,CARVING_Plan!$M102),IFERROR(LOOKUP(2,1/($E$3:INDIRECT("E"&amp;(ROW()-1))=$E102),$M$3:INDIRECT("M"&amp;(ROW()-1))),MAX(SPM_Plan!$M102,CARVING_Plan!$M102)))))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IF($A102="","",IFERROR(VLOOKUP(B102,CHOOSE(MATCH(C102,Settings!$L$4:$L$10,0),OPR_2P!$A$4:$I$18,SEG_6P!$A$4:$I$18,SOL_4P!$A$4:$I$18,RW_2P!$A$4:$I$18,RW2_4P!$A$4:$I$18,FLAP_4P!$A$4:$I$18,TUBE_4P!$A$4:$I$18),4,0),0))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IF($A103="","",IFERROR(INDEX(Machine_List!$B$20:$B$49,MATCH("*"&amp;$B103&amp;"*",Machine_List!$J$20:$J$49,0)),"NO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IF($A103="","",IF($I103&lt;&gt;"",$I103,MAX(MAX(SPM_Plan!$M103,CARVING_Plan!$M103),IFERROR(LOOKUP(2,1/($E$3:INDIRECT("E"&amp;(ROW()-1))=$E103),$M$3:INDIRECT("M"&amp;(ROW()-1))),MAX(SPM_Plan!$M103,CARVING_Plan!$M103)))))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IF($A103="","",IFERROR(VLOOKUP(B103,CHOOSE(MATCH(C103,Settings!$L$4:$L$10,0),OPR_2P!$A$4:$I$18,SEG_6P!$A$4:$I$18,SOL_4P!$A$4:$I$18,RW_2P!$A$4:$I$18,RW2_4P!$A$4:$I$18,FLAP_4P!$A$4:$I$18,TUBE_4P!$A$4:$I$18),4,0),0))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11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C17" activeCellId="0" sqref="CC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5.44"/>
    <col collapsed="false" customWidth="true" hidden="false" outlineLevel="0" max="6" min="6" style="28" width="14.33"/>
    <col collapsed="false" customWidth="true" hidden="false" outlineLevel="0" max="7" min="7" style="1" width="13.22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88"/>
    <col collapsed="false" customWidth="true" hidden="false" outlineLevel="0" max="77" min="77" style="1" width="8.88"/>
    <col collapsed="false" customWidth="true" hidden="false" outlineLevel="0" max="78" min="78" style="1" width="8.22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44"/>
    <col collapsed="false" customWidth="true" hidden="false" outlineLevel="0" max="82" min="82" style="1" width="8.22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253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278</v>
      </c>
      <c r="BY3" s="45" t="n">
        <v>884</v>
      </c>
      <c r="BZ3" s="45" t="n">
        <v>836</v>
      </c>
      <c r="CA3" s="45" t="n">
        <v>1238</v>
      </c>
      <c r="CB3" s="45" t="n">
        <v>916</v>
      </c>
      <c r="CC3" s="45" t="n">
        <v>1236</v>
      </c>
      <c r="CD3" s="45" t="n">
        <v>500</v>
      </c>
      <c r="CE3" s="45" t="n">
        <v>730</v>
      </c>
      <c r="CF3" s="45" t="n">
        <v>784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IF($A4="","",IFERROR(INDEX(Machine_List!$B$50:$B$63,MATCH("*"&amp;$B4&amp;"*",Machine_List!$J$50:$J$63,0)),"NO COMPATIBLE MACHINE"))</f>
        <v>ENG-MC-01</v>
      </c>
      <c r="F4" s="49" t="str">
        <f aca="false">IF($E4="","",IFERROR(VLOOKUP($E4,Machine_List!$B:$G,6,0),""))</f>
        <v>General Workman</v>
      </c>
      <c r="G4" s="50" t="n">
        <f aca="false">IF($E4="","",IFERROR(VLOOKUP($E4,Machine_List!$B:$C,2,0),""))</f>
        <v>46090</v>
      </c>
      <c r="H4" s="48" t="n">
        <f aca="false">IF($E4="","",IFERROR(VLOOKUP($E4,Machine_List!$B:$D,3,0),""))</f>
        <v>6</v>
      </c>
      <c r="I4" s="45"/>
      <c r="J4" s="51" t="n">
        <f aca="true">IF($A4="","",IF($I4&lt;&gt;"",$I4,MAX(EDM_Plan!$M4,IFERROR(LOOKUP(2,1/($E$3:INDIRECT("E"&amp;(ROW()-1))=$E4),$M$3:INDIRECT("M"&amp;(ROW()-1))),EDM_Plan!$M4))))</f>
        <v>46122.6435185185</v>
      </c>
      <c r="K4" s="48" t="n">
        <f aca="false">IF($A4="","",IFERROR(VLOOKUP(B4,CHOOSE(MATCH(C4,Settings!$L$4:$L$10,0),OPR_2P!$A$4:$I$18,SEG_6P!$A$4:$I$18,SOL_4P!$A$4:$I$18,RW_2P!$A$4:$I$18,RW2_4P!$A$4:$I$18,FLAP_4P!$A$4:$I$18,TUBE_4P!$A$4:$I$18),5,0),0))</f>
        <v>26</v>
      </c>
      <c r="L4" s="48" t="n">
        <f aca="false">IF($A4="","",K4*D4)</f>
        <v>52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46125.0509259259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9072</v>
      </c>
      <c r="BY4" s="45" t="n">
        <v>9374.4</v>
      </c>
      <c r="BZ4" s="45" t="n">
        <v>9072</v>
      </c>
      <c r="CA4" s="45" t="n">
        <v>9374.4</v>
      </c>
      <c r="CB4" s="45" t="n">
        <v>9374.4</v>
      </c>
      <c r="CC4" s="45" t="n">
        <v>9072</v>
      </c>
      <c r="CD4" s="45" t="n">
        <v>9374.4</v>
      </c>
      <c r="CE4" s="45" t="n">
        <v>9072</v>
      </c>
      <c r="CF4" s="45" t="n">
        <v>9374.4</v>
      </c>
      <c r="CG4" s="45" t="n">
        <v>9374.4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IF($A5="","",IFERROR(INDEX(Machine_List!$B$50:$B$63,MATCH("*"&amp;$B5&amp;"*",Machine_List!$J$50:$J$63,0)),"NO COMPATIBLE MACHINE"))</f>
        <v>ENG-MC-03</v>
      </c>
      <c r="F5" s="54" t="str">
        <f aca="false">IF($E5="","",IFERROR(VLOOKUP($E5,Machine_List!$B:$G,6,0),""))</f>
        <v>General Workman</v>
      </c>
      <c r="G5" s="55" t="n">
        <f aca="false">IF($E5="","",IFERROR(VLOOKUP($E5,Machine_List!$B:$C,2,0),""))</f>
        <v>46433</v>
      </c>
      <c r="H5" s="4" t="n">
        <f aca="false">IF($E5="","",IFERROR(VLOOKUP($E5,Machine_List!$B:$D,3,0),""))</f>
        <v>6</v>
      </c>
      <c r="I5" s="56"/>
      <c r="J5" s="57" t="n">
        <f aca="true">IF($A5="","",IF($I5&lt;&gt;"",$I5,MAX(EDM_Plan!$M5,IFERROR(LOOKUP(2,1/($E$3:INDIRECT("E"&amp;(ROW()-1))=$E5),$M$3:INDIRECT("M"&amp;(ROW()-1))),EDM_Plan!$M5))))</f>
        <v>46142.7361111111</v>
      </c>
      <c r="K5" s="4" t="n">
        <f aca="false">IF($A5="","",IFERROR(VLOOKUP(B5,CHOOSE(MATCH(C5,Settings!$L$4:$L$10,0),OPR_2P!$A$4:$I$18,SEG_6P!$A$4:$I$18,SOL_4P!$A$4:$I$18,RW_2P!$A$4:$I$18,RW2_4P!$A$4:$I$18,FLAP_4P!$A$4:$I$18,TUBE_4P!$A$4:$I$18),5,0),0))</f>
        <v>41</v>
      </c>
      <c r="L5" s="4" t="n">
        <f aca="false">IF($A5="","",K5*D5)</f>
        <v>164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46150.3287037037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A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IF($A6="","",IFERROR(INDEX(Machine_List!$B$50:$B$63,MATCH("*"&amp;$B6&amp;"*",Machine_List!$J$50:$J$63,0)),"NO COMPATIBLE MACHINE"))</f>
        <v>ENG-MC-01</v>
      </c>
      <c r="F6" s="54" t="str">
        <f aca="false">IF($E6="","",IFERROR(VLOOKUP($E6,Machine_List!$B:$G,6,0),""))</f>
        <v>General Workman</v>
      </c>
      <c r="G6" s="55" t="n">
        <f aca="false">IF($E6="","",IFERROR(VLOOKUP($E6,Machine_List!$B:$C,2,0),""))</f>
        <v>46090</v>
      </c>
      <c r="H6" s="4" t="n">
        <f aca="false">IF($E6="","",IFERROR(VLOOKUP($E6,Machine_List!$B:$D,3,0),""))</f>
        <v>6</v>
      </c>
      <c r="I6" s="56"/>
      <c r="J6" s="57" t="n">
        <f aca="true">IF($A6="","",IF($I6&lt;&gt;"",$I6,MAX(EDM_Plan!$M6,IFERROR(LOOKUP(2,1/($E$3:INDIRECT("E"&amp;(ROW()-1))=$E6),$M$3:INDIRECT("M"&amp;(ROW()-1))),EDM_Plan!$M6))))</f>
        <v>46137.087962963</v>
      </c>
      <c r="K6" s="4" t="n">
        <f aca="false">IF($A6="","",IFERROR(VLOOKUP(B6,CHOOSE(MATCH(C6,Settings!$L$4:$L$10,0),OPR_2P!$A$4:$I$18,SEG_6P!$A$4:$I$18,SOL_4P!$A$4:$I$18,RW_2P!$A$4:$I$18,RW2_4P!$A$4:$I$18,FLAP_4P!$A$4:$I$18,TUBE_4P!$A$4:$I$18),5,0),0))</f>
        <v>48</v>
      </c>
      <c r="L6" s="4" t="n">
        <f aca="false">IF($A6="","",K6*D6)</f>
        <v>96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46141.5324074074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IF($A7="","",IFERROR(INDEX(Machine_List!$B$50:$B$63,MATCH("*"&amp;$B7&amp;"*",Machine_List!$J$50:$J$63,0)),"NO COMPATIBLE MACHINE"))</f>
        <v>ENG-MC-01</v>
      </c>
      <c r="F7" s="54" t="str">
        <f aca="false">IF($E7="","",IFERROR(VLOOKUP($E7,Machine_List!$B:$G,6,0),""))</f>
        <v>General Workman</v>
      </c>
      <c r="G7" s="55" t="n">
        <f aca="false">IF($E7="","",IFERROR(VLOOKUP($E7,Machine_List!$B:$C,2,0),""))</f>
        <v>46090</v>
      </c>
      <c r="H7" s="4" t="n">
        <f aca="false">IF($E7="","",IFERROR(VLOOKUP($E7,Machine_List!$B:$D,3,0),""))</f>
        <v>6</v>
      </c>
      <c r="I7" s="56"/>
      <c r="J7" s="57" t="n">
        <f aca="true">IF($A7="","",IF($I7&lt;&gt;"",$I7,MAX(EDM_Plan!$M7,IFERROR(LOOKUP(2,1/($E$3:INDIRECT("E"&amp;(ROW()-1))=$E7),$M$3:INDIRECT("M"&amp;(ROW()-1))),EDM_Plan!$M7))))</f>
        <v>46151.5324074074</v>
      </c>
      <c r="K7" s="4" t="n">
        <f aca="false">IF($A7="","",IFERROR(VLOOKUP(B7,CHOOSE(MATCH(C7,Settings!$L$4:$L$10,0),OPR_2P!$A$4:$I$18,SEG_6P!$A$4:$I$18,SOL_4P!$A$4:$I$18,RW_2P!$A$4:$I$18,RW2_4P!$A$4:$I$18,FLAP_4P!$A$4:$I$18,TUBE_4P!$A$4:$I$18),5,0),0))</f>
        <v>35</v>
      </c>
      <c r="L7" s="4" t="n">
        <f aca="false">IF($A7="","",K7*D7)</f>
        <v>210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46161.2546296296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C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IF($A8="","",IFERROR(INDEX(Machine_List!$B$50:$B$63,MATCH("*"&amp;$B8&amp;"*",Machine_List!$J$50:$J$63,0)),"NO COMPATIBLE MACHINE"))</f>
        <v>ENG-MC-01</v>
      </c>
      <c r="F8" s="54" t="str">
        <f aca="false">IF($E8="","",IFERROR(VLOOKUP($E8,Machine_List!$B:$G,6,0),""))</f>
        <v>General Workman</v>
      </c>
      <c r="G8" s="55" t="n">
        <f aca="false">IF($E8="","",IFERROR(VLOOKUP($E8,Machine_List!$B:$C,2,0),""))</f>
        <v>46090</v>
      </c>
      <c r="H8" s="4" t="n">
        <f aca="false">IF($E8="","",IFERROR(VLOOKUP($E8,Machine_List!$B:$D,3,0),""))</f>
        <v>6</v>
      </c>
      <c r="I8" s="56"/>
      <c r="J8" s="57" t="n">
        <f aca="true">IF($A8="","",IF($I8&lt;&gt;"",$I8,MAX(EDM_Plan!$M8,IFERROR(LOOKUP(2,1/($E$3:INDIRECT("E"&amp;(ROW()-1))=$E8),$M$3:INDIRECT("M"&amp;(ROW()-1))),EDM_Plan!$M8))))</f>
        <v>46171.2546296296</v>
      </c>
      <c r="K8" s="4" t="n">
        <f aca="false">IF($A8="","",IFERROR(VLOOKUP(B8,CHOOSE(MATCH(C8,Settings!$L$4:$L$10,0),OPR_2P!$A$4:$I$18,SEG_6P!$A$4:$I$18,SOL_4P!$A$4:$I$18,RW_2P!$A$4:$I$18,RW2_4P!$A$4:$I$18,FLAP_4P!$A$4:$I$18,TUBE_4P!$A$4:$I$18),5,0),0))</f>
        <v>42</v>
      </c>
      <c r="L8" s="4" t="n">
        <f aca="false">IF($A8="","",K8*D8)</f>
        <v>252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46182.9212962963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IF($A9="","",IFERROR(INDEX(Machine_List!$B$50:$B$63,MATCH("*"&amp;$B9&amp;"*",Machine_List!$J$50:$J$63,0)),"NO COMPATIBLE MACHINE"))</f>
        <v>ENG-MC-01</v>
      </c>
      <c r="F9" s="54" t="str">
        <f aca="false">IF($E9="","",IFERROR(VLOOKUP($E9,Machine_List!$B:$G,6,0),""))</f>
        <v>General Workman</v>
      </c>
      <c r="G9" s="55" t="n">
        <f aca="false">IF($E9="","",IFERROR(VLOOKUP($E9,Machine_List!$B:$C,2,0),""))</f>
        <v>46090</v>
      </c>
      <c r="H9" s="4" t="n">
        <f aca="false">IF($E9="","",IFERROR(VLOOKUP($E9,Machine_List!$B:$D,3,0),""))</f>
        <v>6</v>
      </c>
      <c r="I9" s="56"/>
      <c r="J9" s="57" t="n">
        <f aca="true">IF($A9="","",IF($I9&lt;&gt;"",$I9,MAX(EDM_Plan!$M9,IFERROR(LOOKUP(2,1/($E$3:INDIRECT("E"&amp;(ROW()-1))=$E9),$M$3:INDIRECT("M"&amp;(ROW()-1))),EDM_Plan!$M9))))</f>
        <v>46182.9212962963</v>
      </c>
      <c r="K9" s="4" t="n">
        <f aca="false">IF($A9="","",IFERROR(VLOOKUP(B9,CHOOSE(MATCH(C9,Settings!$L$4:$L$10,0),OPR_2P!$A$4:$I$18,SEG_6P!$A$4:$I$18,SOL_4P!$A$4:$I$18,RW_2P!$A$4:$I$18,RW2_4P!$A$4:$I$18,FLAP_4P!$A$4:$I$18,TUBE_4P!$A$4:$I$18),5,0),0))</f>
        <v>28</v>
      </c>
      <c r="L9" s="4" t="n">
        <f aca="false">IF($A9="","",K9*D9)</f>
        <v>56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46185.5138888889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A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IF($A10="","",IFERROR(INDEX(Machine_List!$B$50:$B$63,MATCH("*"&amp;$B10&amp;"*",Machine_List!$J$50:$J$63,0)),"NO COMPATIBLE MACHINE"))</f>
        <v>ENG-MC-12</v>
      </c>
      <c r="F10" s="5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46454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IF($A10="","",IF($I10&lt;&gt;"",$I10,MAX(EDM_Plan!$M10,IFERROR(LOOKUP(2,1/($E$3:INDIRECT("E"&amp;(ROW()-1))=$E10),$M$3:INDIRECT("M"&amp;(ROW()-1))),EDM_Plan!$M10))))</f>
        <v>46180.7916666667</v>
      </c>
      <c r="K10" s="4" t="n">
        <f aca="false">IF($A10="","",IFERROR(VLOOKUP(B10,CHOOSE(MATCH(C10,Settings!$L$4:$L$10,0),OPR_2P!$A$4:$I$18,SEG_6P!$A$4:$I$18,SOL_4P!$A$4:$I$18,RW_2P!$A$4:$I$18,RW2_4P!$A$4:$I$18,FLAP_4P!$A$4:$I$18,TUBE_4P!$A$4:$I$18),5,0),0))</f>
        <v>99</v>
      </c>
      <c r="L10" s="4" t="n">
        <f aca="false">IF($A10="","",K10*D10)</f>
        <v>198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46189.9583333333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C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IF($A11="","",IFERROR(INDEX(Machine_List!$B$50:$B$63,MATCH("*"&amp;$B11&amp;"*",Machine_List!$J$50:$J$63,0)),"NO COMPATIBLE MACHINE"))</f>
        <v>ENG-MC-01</v>
      </c>
      <c r="F11" s="5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46090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IF($A11="","",IF($I11&lt;&gt;"",$I11,MAX(EDM_Plan!$M11,IFERROR(LOOKUP(2,1/($E$3:INDIRECT("E"&amp;(ROW()-1))=$E11),$M$3:INDIRECT("M"&amp;(ROW()-1))),EDM_Plan!$M11))))</f>
        <v>46185.5138888889</v>
      </c>
      <c r="K11" s="4" t="n">
        <f aca="false">IF($A11="","",IFERROR(VLOOKUP(B11,CHOOSE(MATCH(C11,Settings!$L$4:$L$10,0),OPR_2P!$A$4:$I$18,SEG_6P!$A$4:$I$18,SOL_4P!$A$4:$I$18,RW_2P!$A$4:$I$18,RW2_4P!$A$4:$I$18,FLAP_4P!$A$4:$I$18,TUBE_4P!$A$4:$I$18),5,0),0))</f>
        <v>10</v>
      </c>
      <c r="L11" s="4" t="n">
        <f aca="false">IF($A11="","",K11*D11)</f>
        <v>20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46186.4398148148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A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IF($A12="","",IFERROR(INDEX(Machine_List!$B$50:$B$63,MATCH("*"&amp;$B12&amp;"*",Machine_List!$J$50:$J$63,0)),"NO COMPATIBLE MACHINE"))</f>
        <v>ENG-MC-01</v>
      </c>
      <c r="F12" s="5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46090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IF($A12="","",IF($I12&lt;&gt;"",$I12,MAX(EDM_Plan!$M12,IFERROR(LOOKUP(2,1/($E$3:INDIRECT("E"&amp;(ROW()-1))=$E12),$M$3:INDIRECT("M"&amp;(ROW()-1))),EDM_Plan!$M12))))</f>
        <v>46186.4398148148</v>
      </c>
      <c r="K12" s="4" t="n">
        <f aca="false">IF($A12="","",IFERROR(VLOOKUP(B12,CHOOSE(MATCH(C12,Settings!$L$4:$L$10,0),OPR_2P!$A$4:$I$18,SEG_6P!$A$4:$I$18,SOL_4P!$A$4:$I$18,RW_2P!$A$4:$I$18,RW2_4P!$A$4:$I$18,FLAP_4P!$A$4:$I$18,TUBE_4P!$A$4:$I$18),5,0),0))</f>
        <v>49</v>
      </c>
      <c r="L12" s="4" t="n">
        <f aca="false">IF($A12="","",K12*D12)</f>
        <v>98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46190.9768518519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C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IF($A13="","",IFERROR(INDEX(Machine_List!$B$50:$B$63,MATCH("*"&amp;$B13&amp;"*",Machine_List!$J$50:$J$63,0)),"NO COMPATIBLE MACHINE"))</f>
        <v>ENG-MC-01</v>
      </c>
      <c r="F13" s="5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46090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IF($A13="","",IF($I13&lt;&gt;"",$I13,MAX(EDM_Plan!$M13,IFERROR(LOOKUP(2,1/($E$3:INDIRECT("E"&amp;(ROW()-1))=$E13),$M$3:INDIRECT("M"&amp;(ROW()-1))),EDM_Plan!$M13))))</f>
        <v>46190.9768518519</v>
      </c>
      <c r="K13" s="4" t="n">
        <f aca="false">IF($A13="","",IFERROR(VLOOKUP(B13,CHOOSE(MATCH(C13,Settings!$L$4:$L$10,0),OPR_2P!$A$4:$I$18,SEG_6P!$A$4:$I$18,SOL_4P!$A$4:$I$18,RW_2P!$A$4:$I$18,RW2_4P!$A$4:$I$18,FLAP_4P!$A$4:$I$18,TUBE_4P!$A$4:$I$18),5,0),0))</f>
        <v>12</v>
      </c>
      <c r="L13" s="4" t="n">
        <f aca="false">IF($A13="","",K13*D13)</f>
        <v>24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46192.087962963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C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IF($A14="","",IFERROR(INDEX(Machine_List!$B$50:$B$63,MATCH("*"&amp;$B14&amp;"*",Machine_List!$J$50:$J$63,0)),"NO COMPATIBLE MACHINE"))</f>
        <v>ENG-MC-01</v>
      </c>
      <c r="F14" s="5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46090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IF($A14="","",IF($I14&lt;&gt;"",$I14,MAX(EDM_Plan!$M14,IFERROR(LOOKUP(2,1/($E$3:INDIRECT("E"&amp;(ROW()-1))=$E14),$M$3:INDIRECT("M"&amp;(ROW()-1))),EDM_Plan!$M14))))</f>
        <v>46192.087962963</v>
      </c>
      <c r="K14" s="4" t="n">
        <f aca="false">IF($A14="","",IFERROR(VLOOKUP(B14,CHOOSE(MATCH(C14,Settings!$L$4:$L$10,0),OPR_2P!$A$4:$I$18,SEG_6P!$A$4:$I$18,SOL_4P!$A$4:$I$18,RW_2P!$A$4:$I$18,RW2_4P!$A$4:$I$18,FLAP_4P!$A$4:$I$18,TUBE_4P!$A$4:$I$18),5,0),0))</f>
        <v>39</v>
      </c>
      <c r="L14" s="4" t="n">
        <f aca="false">IF($A14="","",K14*D14)</f>
        <v>78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46195.6990740741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B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IF($A15="","",IFERROR(INDEX(Machine_List!$B$50:$B$63,MATCH("*"&amp;$B15&amp;"*",Machine_List!$J$50:$J$63,0)),"NO COMPATIBLE MACHINE"))</f>
        <v>ENG-MC-01</v>
      </c>
      <c r="F15" s="5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46090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IF($A15="","",IF($I15&lt;&gt;"",$I15,MAX(EDM_Plan!$M15,IFERROR(LOOKUP(2,1/($E$3:INDIRECT("E"&amp;(ROW()-1))=$E15),$M$3:INDIRECT("M"&amp;(ROW()-1))),EDM_Plan!$M15))))</f>
        <v>46195.6990740741</v>
      </c>
      <c r="K15" s="4" t="n">
        <f aca="false">IF($A15="","",IFERROR(VLOOKUP(B15,CHOOSE(MATCH(C15,Settings!$L$4:$L$10,0),OPR_2P!$A$4:$I$18,SEG_6P!$A$4:$I$18,SOL_4P!$A$4:$I$18,RW_2P!$A$4:$I$18,RW2_4P!$A$4:$I$18,FLAP_4P!$A$4:$I$18,TUBE_4P!$A$4:$I$18),5,0),0))</f>
        <v>28</v>
      </c>
      <c r="L15" s="4" t="n">
        <f aca="false">IF($A15="","",K15*D15)</f>
        <v>168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46203.4768518519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A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IF($A16="","",IFERROR(INDEX(Machine_List!$B$50:$B$63,MATCH("*"&amp;$B16&amp;"*",Machine_List!$J$50:$J$63,0)),"NO COMPATIBLE MACHINE"))</f>
        <v>ENG-MC-01</v>
      </c>
      <c r="F16" s="5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46090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IF($A16="","",IF($I16&lt;&gt;"",$I16,MAX(EDM_Plan!$M16,IFERROR(LOOKUP(2,1/($E$3:INDIRECT("E"&amp;(ROW()-1))=$E16),$M$3:INDIRECT("M"&amp;(ROW()-1))),EDM_Plan!$M16))))</f>
        <v>46203.4768518519</v>
      </c>
      <c r="K16" s="4" t="n">
        <f aca="false">IF($A16="","",IFERROR(VLOOKUP(B16,CHOOSE(MATCH(C16,Settings!$L$4:$L$10,0),OPR_2P!$A$4:$I$18,SEG_6P!$A$4:$I$18,SOL_4P!$A$4:$I$18,RW_2P!$A$4:$I$18,RW2_4P!$A$4:$I$18,FLAP_4P!$A$4:$I$18,TUBE_4P!$A$4:$I$18),5,0),0))</f>
        <v>12</v>
      </c>
      <c r="L16" s="4" t="n">
        <f aca="false">IF($A16="","",K16*D16)</f>
        <v>24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46204.587962963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IF($A17="","",IFERROR(INDEX(Machine_List!$B$50:$B$63,MATCH("*"&amp;$B17&amp;"*",Machine_List!$J$50:$J$63,0)),"NO COMPATIBLE MACHINE"))</f>
        <v>ENG-MC-06</v>
      </c>
      <c r="F17" s="5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46074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IF($A17="","",IF($I17&lt;&gt;"",$I17,MAX(EDM_Plan!$M17,IFERROR(LOOKUP(2,1/($E$3:INDIRECT("E"&amp;(ROW()-1))=$E17),$M$3:INDIRECT("M"&amp;(ROW()-1))),EDM_Plan!$M17))))</f>
        <v>46231.5324074074</v>
      </c>
      <c r="K17" s="4" t="n">
        <f aca="false">IF($A17="","",IFERROR(VLOOKUP(B17,CHOOSE(MATCH(C17,Settings!$L$4:$L$10,0),OPR_2P!$A$4:$I$18,SEG_6P!$A$4:$I$18,SOL_4P!$A$4:$I$18,RW_2P!$A$4:$I$18,RW2_4P!$A$4:$I$18,FLAP_4P!$A$4:$I$18,TUBE_4P!$A$4:$I$18),5,0),0))</f>
        <v>57</v>
      </c>
      <c r="L17" s="4" t="n">
        <f aca="false">IF($A17="","",K17*D17)</f>
        <v>342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46247.3657407407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A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IF($A18="","",IFERROR(INDEX(Machine_List!$B$50:$B$63,MATCH("*"&amp;$B18&amp;"*",Machine_List!$J$50:$J$63,0)),"NO COMPATIBLE MACHINE"))</f>
        <v>ENG-MC-06</v>
      </c>
      <c r="F18" s="5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46074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IF($A18="","",IF($I18&lt;&gt;"",$I18,MAX(EDM_Plan!$M18,IFERROR(LOOKUP(2,1/($E$3:INDIRECT("E"&amp;(ROW()-1))=$E18),$M$3:INDIRECT("M"&amp;(ROW()-1))),EDM_Plan!$M18))))</f>
        <v>46247.3657407407</v>
      </c>
      <c r="K18" s="4" t="n">
        <f aca="false">IF($A18="","",IFERROR(VLOOKUP(B18,CHOOSE(MATCH(C18,Settings!$L$4:$L$10,0),OPR_2P!$A$4:$I$18,SEG_6P!$A$4:$I$18,SOL_4P!$A$4:$I$18,RW_2P!$A$4:$I$18,RW2_4P!$A$4:$I$18,FLAP_4P!$A$4:$I$18,TUBE_4P!$A$4:$I$18),5,0),0))</f>
        <v>64</v>
      </c>
      <c r="L18" s="4" t="n">
        <f aca="false">IF($A18="","",K18*D18)</f>
        <v>128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46253.2916666667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C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IF($A19="","",IFERROR(INDEX(Machine_List!$B$50:$B$63,MATCH("*"&amp;$B19&amp;"*",Machine_List!$J$50:$J$63,0)),"NO COMPATIBLE MACHINE"))</f>
        <v>ENG-MC-06</v>
      </c>
      <c r="F19" s="5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46074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IF($A19="","",IF($I19&lt;&gt;"",$I19,MAX(EDM_Plan!$M19,IFERROR(LOOKUP(2,1/($E$3:INDIRECT("E"&amp;(ROW()-1))=$E19),$M$3:INDIRECT("M"&amp;(ROW()-1))),EDM_Plan!$M19))))</f>
        <v>46253.2916666667</v>
      </c>
      <c r="K19" s="4" t="n">
        <f aca="false">IF($A19="","",IFERROR(VLOOKUP(B19,CHOOSE(MATCH(C19,Settings!$L$4:$L$10,0),OPR_2P!$A$4:$I$18,SEG_6P!$A$4:$I$18,SOL_4P!$A$4:$I$18,RW_2P!$A$4:$I$18,RW2_4P!$A$4:$I$18,FLAP_4P!$A$4:$I$18,TUBE_4P!$A$4:$I$18),5,0),0))</f>
        <v>66</v>
      </c>
      <c r="L19" s="4" t="n">
        <f aca="false">IF($A19="","",K19*D19)</f>
        <v>132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46259.4027777778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A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IF($A20="","",IFERROR(INDEX(Machine_List!$B$50:$B$63,MATCH("*"&amp;$B20&amp;"*",Machine_List!$J$50:$J$63,0)),"NO COMPATIBLE MACHINE"))</f>
        <v>ENG-MC-01</v>
      </c>
      <c r="F20" s="5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46090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IF($A20="","",IF($I20&lt;&gt;"",$I20,MAX(EDM_Plan!$M20,IFERROR(LOOKUP(2,1/($E$3:INDIRECT("E"&amp;(ROW()-1))=$E20),$M$3:INDIRECT("M"&amp;(ROW()-1))),EDM_Plan!$M20))))</f>
        <v>46237.8287037037</v>
      </c>
      <c r="K20" s="4" t="n">
        <f aca="false">IF($A20="","",IFERROR(VLOOKUP(B20,CHOOSE(MATCH(C20,Settings!$L$4:$L$10,0),OPR_2P!$A$4:$I$18,SEG_6P!$A$4:$I$18,SOL_4P!$A$4:$I$18,RW_2P!$A$4:$I$18,RW2_4P!$A$4:$I$18,FLAP_4P!$A$4:$I$18,TUBE_4P!$A$4:$I$18),5,0),0))</f>
        <v>32</v>
      </c>
      <c r="L20" s="4" t="n">
        <f aca="false">IF($A20="","",K20*D20)</f>
        <v>128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46243.7546296296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B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IF($A21="","",IFERROR(INDEX(Machine_List!$B$50:$B$63,MATCH("*"&amp;$B21&amp;"*",Machine_List!$J$50:$J$63,0)),"NO COMPATIBLE MACHINE"))</f>
        <v>ENG-MC-06</v>
      </c>
      <c r="F21" s="5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46074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IF($A21="","",IF($I21&lt;&gt;"",$I21,MAX(EDM_Plan!$M21,IFERROR(LOOKUP(2,1/($E$3:INDIRECT("E"&amp;(ROW()-1))=$E21),$M$3:INDIRECT("M"&amp;(ROW()-1))),EDM_Plan!$M21))))</f>
        <v>46270.6064814815</v>
      </c>
      <c r="K21" s="4" t="n">
        <f aca="false">IF($A21="","",IFERROR(VLOOKUP(B21,CHOOSE(MATCH(C21,Settings!$L$4:$L$10,0),OPR_2P!$A$4:$I$18,SEG_6P!$A$4:$I$18,SOL_4P!$A$4:$I$18,RW_2P!$A$4:$I$18,RW2_4P!$A$4:$I$18,FLAP_4P!$A$4:$I$18,TUBE_4P!$A$4:$I$18),5,0),0))</f>
        <v>120</v>
      </c>
      <c r="L21" s="4" t="n">
        <f aca="false">IF($A21="","",K21*D21)</f>
        <v>480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46292.8287037037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IF($A22="","",IFERROR(INDEX(Machine_List!$B$50:$B$63,MATCH("*"&amp;$B22&amp;"*",Machine_List!$J$50:$J$63,0)),"NO COMPATIBLE MACHINE"))</f>
        <v>ENG-MC-06</v>
      </c>
      <c r="F22" s="5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46074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IF($A22="","",IF($I22&lt;&gt;"",$I22,MAX(EDM_Plan!$M22,IFERROR(LOOKUP(2,1/($E$3:INDIRECT("E"&amp;(ROW()-1))=$E22),$M$3:INDIRECT("M"&amp;(ROW()-1))),EDM_Plan!$M22))))</f>
        <v>46292.8287037037</v>
      </c>
      <c r="K22" s="4" t="n">
        <f aca="false">IF($A22="","",IFERROR(VLOOKUP(B22,CHOOSE(MATCH(C22,Settings!$L$4:$L$10,0),OPR_2P!$A$4:$I$18,SEG_6P!$A$4:$I$18,SOL_4P!$A$4:$I$18,RW_2P!$A$4:$I$18,RW2_4P!$A$4:$I$18,FLAP_4P!$A$4:$I$18,TUBE_4P!$A$4:$I$18),5,0),0))</f>
        <v>64</v>
      </c>
      <c r="L22" s="4" t="n">
        <f aca="false">IF($A22="","",K22*D22)</f>
        <v>128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46298.7546296296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B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IF($A23="","",IFERROR(INDEX(Machine_List!$B$50:$B$63,MATCH("*"&amp;$B23&amp;"*",Machine_List!$J$50:$J$63,0)),"NO COMPATIBLE MACHINE"))</f>
        <v>ENG-MC-01</v>
      </c>
      <c r="F23" s="5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46090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IF($A23="","",IF($I23&lt;&gt;"",$I23,MAX(EDM_Plan!$M23,IFERROR(LOOKUP(2,1/($E$3:INDIRECT("E"&amp;(ROW()-1))=$E23),$M$3:INDIRECT("M"&amp;(ROW()-1))),EDM_Plan!$M23))))</f>
        <v>46264.6805555556</v>
      </c>
      <c r="K23" s="4" t="n">
        <f aca="false">IF($A23="","",IFERROR(VLOOKUP(B23,CHOOSE(MATCH(C23,Settings!$L$4:$L$10,0),OPR_2P!$A$4:$I$18,SEG_6P!$A$4:$I$18,SOL_4P!$A$4:$I$18,RW_2P!$A$4:$I$18,RW2_4P!$A$4:$I$18,FLAP_4P!$A$4:$I$18,TUBE_4P!$A$4:$I$18),5,0),0))</f>
        <v>5</v>
      </c>
      <c r="L23" s="4" t="n">
        <f aca="false">IF($A23="","",K23*D23)</f>
        <v>30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46266.0694444444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C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IF($A24="","",IFERROR(INDEX(Machine_List!$B$50:$B$63,MATCH("*"&amp;$B24&amp;"*",Machine_List!$J$50:$J$63,0)),"NO COMPATIBLE MACHINE"))</f>
        <v>ENG-MC-06</v>
      </c>
      <c r="F24" s="5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46074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IF($A24="","",IF($I24&lt;&gt;"",$I24,MAX(EDM_Plan!$M24,IFERROR(LOOKUP(2,1/($E$3:INDIRECT("E"&amp;(ROW()-1))=$E24),$M$3:INDIRECT("M"&amp;(ROW()-1))),EDM_Plan!$M24))))</f>
        <v>46298.7546296296</v>
      </c>
      <c r="K24" s="4" t="n">
        <f aca="false">IF($A24="","",IFERROR(VLOOKUP(B24,CHOOSE(MATCH(C24,Settings!$L$4:$L$10,0),OPR_2P!$A$4:$I$18,SEG_6P!$A$4:$I$18,SOL_4P!$A$4:$I$18,RW_2P!$A$4:$I$18,RW2_4P!$A$4:$I$18,FLAP_4P!$A$4:$I$18,TUBE_4P!$A$4:$I$18),5,0),0))</f>
        <v>94</v>
      </c>
      <c r="L24" s="4" t="n">
        <f aca="false">IF($A24="","",K24*D24)</f>
        <v>188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46307.4583333333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A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IF($A25="","",IFERROR(INDEX(Machine_List!$B$50:$B$63,MATCH("*"&amp;$B25&amp;"*",Machine_List!$J$50:$J$63,0)),"NO COMPATIBLE MACHINE"))</f>
        <v>ENG-MC-06</v>
      </c>
      <c r="F25" s="5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46074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IF($A25="","",IF($I25&lt;&gt;"",$I25,MAX(EDM_Plan!$M25,IFERROR(LOOKUP(2,1/($E$3:INDIRECT("E"&amp;(ROW()-1))=$E25),$M$3:INDIRECT("M"&amp;(ROW()-1))),EDM_Plan!$M25))))</f>
        <v>46307.4583333333</v>
      </c>
      <c r="K25" s="4" t="n">
        <f aca="false">IF($A25="","",IFERROR(VLOOKUP(B25,CHOOSE(MATCH(C25,Settings!$L$4:$L$10,0),OPR_2P!$A$4:$I$18,SEG_6P!$A$4:$I$18,SOL_4P!$A$4:$I$18,RW_2P!$A$4:$I$18,RW2_4P!$A$4:$I$18,FLAP_4P!$A$4:$I$18,TUBE_4P!$A$4:$I$18),5,0),0))</f>
        <v>49</v>
      </c>
      <c r="L25" s="4" t="n">
        <f aca="false">IF($A25="","",K25*D25)</f>
        <v>98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46311.9953703704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IF($A26="","",IFERROR(INDEX(Machine_List!$B$50:$B$63,MATCH("*"&amp;$B26&amp;"*",Machine_List!$J$50:$J$63,0)),"NO COMPATIBLE MACHINE"))</f>
        <v>ENG-MC-01</v>
      </c>
      <c r="F26" s="5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46090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IF($A26="","",IF($I26&lt;&gt;"",$I26,MAX(EDM_Plan!$M26,IFERROR(LOOKUP(2,1/($E$3:INDIRECT("E"&amp;(ROW()-1))=$E26),$M$3:INDIRECT("M"&amp;(ROW()-1))),EDM_Plan!$M26))))</f>
        <v>46280.1435185185</v>
      </c>
      <c r="K26" s="4" t="n">
        <f aca="false">IF($A26="","",IFERROR(VLOOKUP(B26,CHOOSE(MATCH(C26,Settings!$L$4:$L$10,0),OPR_2P!$A$4:$I$18,SEG_6P!$A$4:$I$18,SOL_4P!$A$4:$I$18,RW_2P!$A$4:$I$18,RW2_4P!$A$4:$I$18,FLAP_4P!$A$4:$I$18,TUBE_4P!$A$4:$I$18),5,0),0))</f>
        <v>10</v>
      </c>
      <c r="L26" s="4" t="n">
        <f aca="false">IF($A26="","",K26*D26)</f>
        <v>20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46281.0694444444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C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IF($A27="","",IFERROR(INDEX(Machine_List!$B$50:$B$63,MATCH("*"&amp;$B27&amp;"*",Machine_List!$J$50:$J$63,0)),"NO COMPATIBLE MACHINE"))</f>
        <v>ENG-MC-06</v>
      </c>
      <c r="F27" s="5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46074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IF($A27="","",IF($I27&lt;&gt;"",$I27,MAX(EDM_Plan!$M27,IFERROR(LOOKUP(2,1/($E$3:INDIRECT("E"&amp;(ROW()-1))=$E27),$M$3:INDIRECT("M"&amp;(ROW()-1))),EDM_Plan!$M27))))</f>
        <v>46311.9953703704</v>
      </c>
      <c r="K27" s="4" t="n">
        <f aca="false">IF($A27="","",IFERROR(VLOOKUP(B27,CHOOSE(MATCH(C27,Settings!$L$4:$L$10,0),OPR_2P!$A$4:$I$18,SEG_6P!$A$4:$I$18,SOL_4P!$A$4:$I$18,RW_2P!$A$4:$I$18,RW2_4P!$A$4:$I$18,FLAP_4P!$A$4:$I$18,TUBE_4P!$A$4:$I$18),5,0),0))</f>
        <v>87</v>
      </c>
      <c r="L27" s="4" t="n">
        <f aca="false">IF($A27="","",K27*D27)</f>
        <v>348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46328.1064814815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C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IF($A28="","",IFERROR(INDEX(Machine_List!$B$50:$B$63,MATCH("*"&amp;$B28&amp;"*",Machine_List!$J$50:$J$63,0)),"NO COMPATIBLE MACHINE"))</f>
        <v>ENG-MC-03</v>
      </c>
      <c r="F28" s="5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46433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IF($A28="","",IF($I28&lt;&gt;"",$I28,MAX(EDM_Plan!$M28,IFERROR(LOOKUP(2,1/($E$3:INDIRECT("E"&amp;(ROW()-1))=$E28),$M$3:INDIRECT("M"&amp;(ROW()-1))),EDM_Plan!$M28))))</f>
        <v>46304.7731481481</v>
      </c>
      <c r="K28" s="4" t="n">
        <f aca="false">IF($A28="","",IFERROR(VLOOKUP(B28,CHOOSE(MATCH(C28,Settings!$L$4:$L$10,0),OPR_2P!$A$4:$I$18,SEG_6P!$A$4:$I$18,SOL_4P!$A$4:$I$18,RW_2P!$A$4:$I$18,RW2_4P!$A$4:$I$18,FLAP_4P!$A$4:$I$18,TUBE_4P!$A$4:$I$18),5,0),0))</f>
        <v>64</v>
      </c>
      <c r="L28" s="4" t="n">
        <f aca="false">IF($A28="","",K28*D28)</f>
        <v>128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46310.6990740741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B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IF($A29="","",IFERROR(INDEX(Machine_List!$B$50:$B$63,MATCH("*"&amp;$B29&amp;"*",Machine_List!$J$50:$J$63,0)),"NO COMPATIBLE MACHINE"))</f>
        <v>ENG-MC-03</v>
      </c>
      <c r="F29" s="5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46433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IF($A29="","",IF($I29&lt;&gt;"",$I29,MAX(EDM_Plan!$M29,IFERROR(LOOKUP(2,1/($E$3:INDIRECT("E"&amp;(ROW()-1))=$E29),$M$3:INDIRECT("M"&amp;(ROW()-1))),EDM_Plan!$M29))))</f>
        <v>46310.6990740741</v>
      </c>
      <c r="K29" s="4" t="n">
        <f aca="false">IF($A29="","",IFERROR(VLOOKUP(B29,CHOOSE(MATCH(C29,Settings!$L$4:$L$10,0),OPR_2P!$A$4:$I$18,SEG_6P!$A$4:$I$18,SOL_4P!$A$4:$I$18,RW_2P!$A$4:$I$18,RW2_4P!$A$4:$I$18,FLAP_4P!$A$4:$I$18,TUBE_4P!$A$4:$I$18),5,0),0))</f>
        <v>64</v>
      </c>
      <c r="L29" s="4" t="n">
        <f aca="false">IF($A29="","",K29*D29)</f>
        <v>128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46316.625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IF($A30="","",IFERROR(INDEX(Machine_List!$B$50:$B$63,MATCH("*"&amp;$B30&amp;"*",Machine_List!$J$50:$J$63,0)),"NO COMPATIBLE MACHINE"))</f>
        <v>ENG-MC-01</v>
      </c>
      <c r="F30" s="5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46090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IF($A30="","",IF($I30&lt;&gt;"",$I30,MAX(EDM_Plan!$M30,IFERROR(LOOKUP(2,1/($E$3:INDIRECT("E"&amp;(ROW()-1))=$E30),$M$3:INDIRECT("M"&amp;(ROW()-1))),EDM_Plan!$M30))))</f>
        <v>46306.2546296296</v>
      </c>
      <c r="K30" s="4" t="n">
        <f aca="false">IF($A30="","",IFERROR(VLOOKUP(B30,CHOOSE(MATCH(C30,Settings!$L$4:$L$10,0),OPR_2P!$A$4:$I$18,SEG_6P!$A$4:$I$18,SOL_4P!$A$4:$I$18,RW_2P!$A$4:$I$18,RW2_4P!$A$4:$I$18,FLAP_4P!$A$4:$I$18,TUBE_4P!$A$4:$I$18),5,0),0))</f>
        <v>10</v>
      </c>
      <c r="L30" s="4" t="n">
        <f aca="false">IF($A30="","",K30*D30)</f>
        <v>20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46307.1805555556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IF($A31="","",IFERROR(INDEX(Machine_List!$B$50:$B$63,MATCH("*"&amp;$B31&amp;"*",Machine_List!$J$50:$J$63,0)),"NO COMPATIBLE MACHINE"))</f>
        <v>ENG-MC-06</v>
      </c>
      <c r="F31" s="5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46074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IF($A31="","",IF($I31&lt;&gt;"",$I31,MAX(EDM_Plan!$M31,IFERROR(LOOKUP(2,1/($E$3:INDIRECT("E"&amp;(ROW()-1))=$E31),$M$3:INDIRECT("M"&amp;(ROW()-1))),EDM_Plan!$M31))))</f>
        <v>46328.1064814815</v>
      </c>
      <c r="K31" s="4" t="n">
        <f aca="false">IF($A31="","",IFERROR(VLOOKUP(B31,CHOOSE(MATCH(C31,Settings!$L$4:$L$10,0),OPR_2P!$A$4:$I$18,SEG_6P!$A$4:$I$18,SOL_4P!$A$4:$I$18,RW_2P!$A$4:$I$18,RW2_4P!$A$4:$I$18,FLAP_4P!$A$4:$I$18,TUBE_4P!$A$4:$I$18),5,0),0))</f>
        <v>64</v>
      </c>
      <c r="L31" s="4" t="n">
        <f aca="false">IF($A31="","",K31*D31)</f>
        <v>128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46334.0324074074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C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IF($A32="","",IFERROR(INDEX(Machine_List!$B$50:$B$63,MATCH("*"&amp;$B32&amp;"*",Machine_List!$J$50:$J$63,0)),"NO COMPATIBLE MACHINE"))</f>
        <v>ENG-MC-01</v>
      </c>
      <c r="F32" s="5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46090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IF($A32="","",IF($I32&lt;&gt;"",$I32,MAX(EDM_Plan!$M32,IFERROR(LOOKUP(2,1/($E$3:INDIRECT("E"&amp;(ROW()-1))=$E32),$M$3:INDIRECT("M"&amp;(ROW()-1))),EDM_Plan!$M32))))</f>
        <v>46328.1990740741</v>
      </c>
      <c r="K32" s="4" t="n">
        <f aca="false">IF($A32="","",IFERROR(VLOOKUP(B32,CHOOSE(MATCH(C32,Settings!$L$4:$L$10,0),OPR_2P!$A$4:$I$18,SEG_6P!$A$4:$I$18,SOL_4P!$A$4:$I$18,RW_2P!$A$4:$I$18,RW2_4P!$A$4:$I$18,FLAP_4P!$A$4:$I$18,TUBE_4P!$A$4:$I$18),5,0),0))</f>
        <v>35</v>
      </c>
      <c r="L32" s="4" t="n">
        <f aca="false">IF($A32="","",K32*D32)</f>
        <v>210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46337.9212962963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IF($A33="","",IFERROR(INDEX(Machine_List!$B$50:$B$63,MATCH("*"&amp;$B33&amp;"*",Machine_List!$J$50:$J$63,0)),"NO COMPATIBLE MACHINE"))</f>
        <v>ENG-MC-01</v>
      </c>
      <c r="F33" s="5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46090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IF($A33="","",IF($I33&lt;&gt;"",$I33,MAX(EDM_Plan!$M33,IFERROR(LOOKUP(2,1/($E$3:INDIRECT("E"&amp;(ROW()-1))=$E33),$M$3:INDIRECT("M"&amp;(ROW()-1))),EDM_Plan!$M33))))</f>
        <v>46337.9212962963</v>
      </c>
      <c r="K33" s="4" t="n">
        <f aca="false">IF($A33="","",IFERROR(VLOOKUP(B33,CHOOSE(MATCH(C33,Settings!$L$4:$L$10,0),OPR_2P!$A$4:$I$18,SEG_6P!$A$4:$I$18,SOL_4P!$A$4:$I$18,RW_2P!$A$4:$I$18,RW2_4P!$A$4:$I$18,FLAP_4P!$A$4:$I$18,TUBE_4P!$A$4:$I$18),5,0),0))</f>
        <v>6</v>
      </c>
      <c r="L33" s="4" t="n">
        <f aca="false">IF($A33="","",K33*D33)</f>
        <v>12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46338.4768518519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IF($A34="","",IFERROR(INDEX(Machine_List!$B$50:$B$63,MATCH("*"&amp;$B34&amp;"*",Machine_List!$J$50:$J$63,0)),"NO COMPATIBLE MACHINE"))</f>
        <v>ENG-MC-06</v>
      </c>
      <c r="F34" s="5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46074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IF($A34="","",IF($I34&lt;&gt;"",$I34,MAX(EDM_Plan!$M34,IFERROR(LOOKUP(2,1/($E$3:INDIRECT("E"&amp;(ROW()-1))=$E34),$M$3:INDIRECT("M"&amp;(ROW()-1))),EDM_Plan!$M34))))</f>
        <v>46336.9953703704</v>
      </c>
      <c r="K34" s="4" t="n">
        <f aca="false">IF($A34="","",IFERROR(VLOOKUP(B34,CHOOSE(MATCH(C34,Settings!$L$4:$L$10,0),OPR_2P!$A$4:$I$18,SEG_6P!$A$4:$I$18,SOL_4P!$A$4:$I$18,RW_2P!$A$4:$I$18,RW2_4P!$A$4:$I$18,FLAP_4P!$A$4:$I$18,TUBE_4P!$A$4:$I$18),5,0),0))</f>
        <v>94</v>
      </c>
      <c r="L34" s="4" t="n">
        <f aca="false">IF($A34="","",K34*D34)</f>
        <v>188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46345.6990740741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IF($A35="","",IFERROR(INDEX(Machine_List!$B$50:$B$63,MATCH("*"&amp;$B35&amp;"*",Machine_List!$J$50:$J$63,0)),"NO COMPATIBLE MACHINE"))</f>
        <v>ENG-MC-01</v>
      </c>
      <c r="F35" s="5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46090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IF($A35="","",IF($I35&lt;&gt;"",$I35,MAX(EDM_Plan!$M35,IFERROR(LOOKUP(2,1/($E$3:INDIRECT("E"&amp;(ROW()-1))=$E35),$M$3:INDIRECT("M"&amp;(ROW()-1))),EDM_Plan!$M35))))</f>
        <v>46338.4768518519</v>
      </c>
      <c r="K35" s="4" t="n">
        <f aca="false">IF($A35="","",IFERROR(VLOOKUP(B35,CHOOSE(MATCH(C35,Settings!$L$4:$L$10,0),OPR_2P!$A$4:$I$18,SEG_6P!$A$4:$I$18,SOL_4P!$A$4:$I$18,RW_2P!$A$4:$I$18,RW2_4P!$A$4:$I$18,FLAP_4P!$A$4:$I$18,TUBE_4P!$A$4:$I$18),5,0),0))</f>
        <v>39</v>
      </c>
      <c r="L35" s="4" t="n">
        <f aca="false">IF($A35="","",K35*D35)</f>
        <v>78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46342.087962963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IF($A36="","",IFERROR(INDEX(Machine_List!$B$50:$B$63,MATCH("*"&amp;$B36&amp;"*",Machine_List!$J$50:$J$63,0)),"NO COMPATIBLE MACHINE"))</f>
        <v>ENG-MC-12</v>
      </c>
      <c r="F36" s="5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46454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IF($A36="","",IF($I36&lt;&gt;"",$I36,MAX(EDM_Plan!$M36,IFERROR(LOOKUP(2,1/($E$3:INDIRECT("E"&amp;(ROW()-1))=$E36),$M$3:INDIRECT("M"&amp;(ROW()-1))),EDM_Plan!$M36))))</f>
        <v>46351.5324074074</v>
      </c>
      <c r="K36" s="4" t="n">
        <f aca="false">IF($A36="","",IFERROR(VLOOKUP(B36,CHOOSE(MATCH(C36,Settings!$L$4:$L$10,0),OPR_2P!$A$4:$I$18,SEG_6P!$A$4:$I$18,SOL_4P!$A$4:$I$18,RW_2P!$A$4:$I$18,RW2_4P!$A$4:$I$18,FLAP_4P!$A$4:$I$18,TUBE_4P!$A$4:$I$18),5,0),0))</f>
        <v>106</v>
      </c>
      <c r="L36" s="4" t="n">
        <f aca="false">IF($A36="","",K36*D36)</f>
        <v>212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46361.3472222222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IF($A37="","",IFERROR(INDEX(Machine_List!$B$50:$B$63,MATCH("*"&amp;$B37&amp;"*",Machine_List!$J$50:$J$63,0)),"NO COMPATIBLE MACHINE"))</f>
        <v>ENG-MC-01</v>
      </c>
      <c r="F37" s="5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46090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IF($A37="","",IF($I37&lt;&gt;"",$I37,MAX(EDM_Plan!$M37,IFERROR(LOOKUP(2,1/($E$3:INDIRECT("E"&amp;(ROW()-1))=$E37),$M$3:INDIRECT("M"&amp;(ROW()-1))),EDM_Plan!$M37))))</f>
        <v>46347.2731481481</v>
      </c>
      <c r="K37" s="4" t="n">
        <f aca="false">IF($A37="","",IFERROR(VLOOKUP(B37,CHOOSE(MATCH(C37,Settings!$L$4:$L$10,0),OPR_2P!$A$4:$I$18,SEG_6P!$A$4:$I$18,SOL_4P!$A$4:$I$18,RW_2P!$A$4:$I$18,RW2_4P!$A$4:$I$18,FLAP_4P!$A$4:$I$18,TUBE_4P!$A$4:$I$18),5,0),0))</f>
        <v>10</v>
      </c>
      <c r="L37" s="4" t="n">
        <f aca="false">IF($A37="","",K37*D37)</f>
        <v>20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46348.1990740741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IF($A38="","",IFERROR(INDEX(Machine_List!$B$50:$B$63,MATCH("*"&amp;$B38&amp;"*",Machine_List!$J$50:$J$63,0)),"NO COMPATIBLE MACHINE"))</f>
        <v>ENG-MC-01</v>
      </c>
      <c r="F38" s="5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46090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IF($A38="","",IF($I38&lt;&gt;"",$I38,MAX(EDM_Plan!$M38,IFERROR(LOOKUP(2,1/($E$3:INDIRECT("E"&amp;(ROW()-1))=$E38),$M$3:INDIRECT("M"&amp;(ROW()-1))),EDM_Plan!$M38))))</f>
        <v>46352.7361111111</v>
      </c>
      <c r="K38" s="4" t="n">
        <f aca="false">IF($A38="","",IFERROR(VLOOKUP(B38,CHOOSE(MATCH(C38,Settings!$L$4:$L$10,0),OPR_2P!$A$4:$I$18,SEG_6P!$A$4:$I$18,SOL_4P!$A$4:$I$18,RW_2P!$A$4:$I$18,RW2_4P!$A$4:$I$18,FLAP_4P!$A$4:$I$18,TUBE_4P!$A$4:$I$18),5,0),0))</f>
        <v>26</v>
      </c>
      <c r="L38" s="4" t="n">
        <f aca="false">IF($A38="","",K38*D38)</f>
        <v>52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46355.1435185185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C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IF($A39="","",IFERROR(INDEX(Machine_List!$B$50:$B$63,MATCH("*"&amp;$B39&amp;"*",Machine_List!$J$50:$J$63,0)),"NO COMPATIBLE MACHINE"))</f>
        <v>ENG-MC-06</v>
      </c>
      <c r="F39" s="5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46074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IF($A39="","",IF($I39&lt;&gt;"",$I39,MAX(EDM_Plan!$M39,IFERROR(LOOKUP(2,1/($E$3:INDIRECT("E"&amp;(ROW()-1))=$E39),$M$3:INDIRECT("M"&amp;(ROW()-1))),EDM_Plan!$M39))))</f>
        <v>46378.1990740741</v>
      </c>
      <c r="K39" s="4" t="n">
        <f aca="false">IF($A39="","",IFERROR(VLOOKUP(B39,CHOOSE(MATCH(C39,Settings!$L$4:$L$10,0),OPR_2P!$A$4:$I$18,SEG_6P!$A$4:$I$18,SOL_4P!$A$4:$I$18,RW_2P!$A$4:$I$18,RW2_4P!$A$4:$I$18,FLAP_4P!$A$4:$I$18,TUBE_4P!$A$4:$I$18),5,0),0))</f>
        <v>89</v>
      </c>
      <c r="L39" s="4" t="n">
        <f aca="false">IF($A39="","",K39*D39)</f>
        <v>356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46394.6805555556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IF($A40="","",IFERROR(INDEX(Machine_List!$B$50:$B$63,MATCH("*"&amp;$B40&amp;"*",Machine_List!$J$50:$J$63,0)),"NO COMPATIBLE MACHINE"))</f>
        <v>ENG-MC-01</v>
      </c>
      <c r="F40" s="5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46090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IF($A40="","",IF($I40&lt;&gt;"",$I40,MAX(EDM_Plan!$M40,IFERROR(LOOKUP(2,1/($E$3:INDIRECT("E"&amp;(ROW()-1))=$E40),$M$3:INDIRECT("M"&amp;(ROW()-1))),EDM_Plan!$M40))))</f>
        <v>46372.8287037037</v>
      </c>
      <c r="K40" s="4" t="n">
        <f aca="false">IF($A40="","",IFERROR(VLOOKUP(B40,CHOOSE(MATCH(C40,Settings!$L$4:$L$10,0),OPR_2P!$A$4:$I$18,SEG_6P!$A$4:$I$18,SOL_4P!$A$4:$I$18,RW_2P!$A$4:$I$18,RW2_4P!$A$4:$I$18,FLAP_4P!$A$4:$I$18,TUBE_4P!$A$4:$I$18),5,0),0))</f>
        <v>28</v>
      </c>
      <c r="L40" s="4" t="n">
        <f aca="false">IF($A40="","",K40*D40)</f>
        <v>56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46375.4212962963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IF($A41="","",IFERROR(INDEX(Machine_List!$B$50:$B$63,MATCH("*"&amp;$B41&amp;"*",Machine_List!$J$50:$J$63,0)),"NO COMPATIBLE MACHINE"))</f>
        <v>ENG-MC-01</v>
      </c>
      <c r="F41" s="5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46090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IF($A41="","",IF($I41&lt;&gt;"",$I41,MAX(EDM_Plan!$M41,IFERROR(LOOKUP(2,1/($E$3:INDIRECT("E"&amp;(ROW()-1))=$E41),$M$3:INDIRECT("M"&amp;(ROW()-1))),EDM_Plan!$M41))))</f>
        <v>46379.3101851852</v>
      </c>
      <c r="K41" s="4" t="n">
        <f aca="false">IF($A41="","",IFERROR(VLOOKUP(B41,CHOOSE(MATCH(C41,Settings!$L$4:$L$10,0),OPR_2P!$A$4:$I$18,SEG_6P!$A$4:$I$18,SOL_4P!$A$4:$I$18,RW_2P!$A$4:$I$18,RW2_4P!$A$4:$I$18,FLAP_4P!$A$4:$I$18,TUBE_4P!$A$4:$I$18),5,0),0))</f>
        <v>52</v>
      </c>
      <c r="L41" s="4" t="n">
        <f aca="false">IF($A41="","",K41*D41)</f>
        <v>104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46384.125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IF($A42="","",IFERROR(INDEX(Machine_List!$B$50:$B$63,MATCH("*"&amp;$B42&amp;"*",Machine_List!$J$50:$J$63,0)),"NO COMPATIBLE MACHINE"))</f>
        <v>ENG-MC-06</v>
      </c>
      <c r="F42" s="5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46074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IF($A42="","",IF($I42&lt;&gt;"",$I42,MAX(EDM_Plan!$M42,IFERROR(LOOKUP(2,1/($E$3:INDIRECT("E"&amp;(ROW()-1))=$E42),$M$3:INDIRECT("M"&amp;(ROW()-1))),EDM_Plan!$M42))))</f>
        <v>46394.6805555556</v>
      </c>
      <c r="K42" s="4" t="n">
        <f aca="false">IF($A42="","",IFERROR(VLOOKUP(B42,CHOOSE(MATCH(C42,Settings!$L$4:$L$10,0),OPR_2P!$A$4:$I$18,SEG_6P!$A$4:$I$18,SOL_4P!$A$4:$I$18,RW_2P!$A$4:$I$18,RW2_4P!$A$4:$I$18,FLAP_4P!$A$4:$I$18,TUBE_4P!$A$4:$I$18),5,0),0))</f>
        <v>73</v>
      </c>
      <c r="L42" s="4" t="n">
        <f aca="false">IF($A42="","",K42*D42)</f>
        <v>146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46401.4398148148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IF($A43="","",IFERROR(INDEX(Machine_List!$B$50:$B$63,MATCH("*"&amp;$B43&amp;"*",Machine_List!$J$50:$J$63,0)),"NO COMPATIBLE MACHINE"))</f>
        <v>ENG-MC-01</v>
      </c>
      <c r="F43" s="5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46090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IF($A43="","",IF($I43&lt;&gt;"",$I43,MAX(EDM_Plan!$M43,IFERROR(LOOKUP(2,1/($E$3:INDIRECT("E"&amp;(ROW()-1))=$E43),$M$3:INDIRECT("M"&amp;(ROW()-1))),EDM_Plan!$M43))))</f>
        <v>46384.125</v>
      </c>
      <c r="K43" s="4" t="n">
        <f aca="false">IF($A43="","",IFERROR(VLOOKUP(B43,CHOOSE(MATCH(C43,Settings!$L$4:$L$10,0),OPR_2P!$A$4:$I$18,SEG_6P!$A$4:$I$18,SOL_4P!$A$4:$I$18,RW_2P!$A$4:$I$18,RW2_4P!$A$4:$I$18,FLAP_4P!$A$4:$I$18,TUBE_4P!$A$4:$I$18),5,0),0))</f>
        <v>6</v>
      </c>
      <c r="L43" s="4" t="n">
        <f aca="false">IF($A43="","",K43*D43)</f>
        <v>12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46384.6805555556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IF($A44="","",IFERROR(INDEX(Machine_List!$B$50:$B$63,MATCH("*"&amp;$B44&amp;"*",Machine_List!$J$50:$J$63,0)),"NO COMPATIBLE MACHINE"))</f>
        <v>ENG-MC-06</v>
      </c>
      <c r="F44" s="5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46074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IF($A44="","",IF($I44&lt;&gt;"",$I44,MAX(EDM_Plan!$M44,IFERROR(LOOKUP(2,1/($E$3:INDIRECT("E"&amp;(ROW()-1))=$E44),$M$3:INDIRECT("M"&amp;(ROW()-1))),EDM_Plan!$M44))))</f>
        <v>46401.4398148148</v>
      </c>
      <c r="K44" s="4" t="n">
        <f aca="false">IF($A44="","",IFERROR(VLOOKUP(B44,CHOOSE(MATCH(C44,Settings!$L$4:$L$10,0),OPR_2P!$A$4:$I$18,SEG_6P!$A$4:$I$18,SOL_4P!$A$4:$I$18,RW_2P!$A$4:$I$18,RW2_4P!$A$4:$I$18,FLAP_4P!$A$4:$I$18,TUBE_4P!$A$4:$I$18),5,0),0))</f>
        <v>81</v>
      </c>
      <c r="L44" s="4" t="n">
        <f aca="false">IF($A44="","",K44*D44)</f>
        <v>162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46408.9398148148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IF($A45="","",IFERROR(INDEX(Machine_List!$B$50:$B$63,MATCH("*"&amp;$B45&amp;"*",Machine_List!$J$50:$J$63,0)),"NO COMPATIBLE MACHINE"))</f>
        <v>ENG-MC-01</v>
      </c>
      <c r="F45" s="5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46090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IF($A45="","",IF($I45&lt;&gt;"",$I45,MAX(EDM_Plan!$M45,IFERROR(LOOKUP(2,1/($E$3:INDIRECT("E"&amp;(ROW()-1))=$E45),$M$3:INDIRECT("M"&amp;(ROW()-1))),EDM_Plan!$M45))))</f>
        <v>46398.0138888889</v>
      </c>
      <c r="K45" s="4" t="n">
        <f aca="false">IF($A45="","",IFERROR(VLOOKUP(B45,CHOOSE(MATCH(C45,Settings!$L$4:$L$10,0),OPR_2P!$A$4:$I$18,SEG_6P!$A$4:$I$18,SOL_4P!$A$4:$I$18,RW_2P!$A$4:$I$18,RW2_4P!$A$4:$I$18,FLAP_4P!$A$4:$I$18,TUBE_4P!$A$4:$I$18),5,0),0))</f>
        <v>28</v>
      </c>
      <c r="L45" s="4" t="n">
        <f aca="false">IF($A45="","",K45*D45)</f>
        <v>56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46400.6064814815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A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IF($A46="","",IFERROR(INDEX(Machine_List!$B$50:$B$63,MATCH("*"&amp;$B46&amp;"*",Machine_List!$J$50:$J$63,0)),"NO COMPATIBLE MACHINE"))</f>
        <v>ENG-MC-01</v>
      </c>
      <c r="F46" s="5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46090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IF($A46="","",IF($I46&lt;&gt;"",$I46,MAX(EDM_Plan!$M46,IFERROR(LOOKUP(2,1/($E$3:INDIRECT("E"&amp;(ROW()-1))=$E46),$M$3:INDIRECT("M"&amp;(ROW()-1))),EDM_Plan!$M46))))</f>
        <v>46400.6064814815</v>
      </c>
      <c r="K46" s="4" t="n">
        <f aca="false">IF($A46="","",IFERROR(VLOOKUP(B46,CHOOSE(MATCH(C46,Settings!$L$4:$L$10,0),OPR_2P!$A$4:$I$18,SEG_6P!$A$4:$I$18,SOL_4P!$A$4:$I$18,RW_2P!$A$4:$I$18,RW2_4P!$A$4:$I$18,FLAP_4P!$A$4:$I$18,TUBE_4P!$A$4:$I$18),5,0),0))</f>
        <v>10</v>
      </c>
      <c r="L46" s="4" t="n">
        <f aca="false">IF($A46="","",K46*D46)</f>
        <v>20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46401.5324074074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IF($A47="","",IFERROR(INDEX(Machine_List!$B$50:$B$63,MATCH("*"&amp;$B47&amp;"*",Machine_List!$J$50:$J$63,0)),"NO COMPATIBLE MACHINE"))</f>
        <v>ENG-MC-06</v>
      </c>
      <c r="F47" s="5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46074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IF($A47="","",IF($I47&lt;&gt;"",$I47,MAX(EDM_Plan!$M47,IFERROR(LOOKUP(2,1/($E$3:INDIRECT("E"&amp;(ROW()-1))=$E47),$M$3:INDIRECT("M"&amp;(ROW()-1))),EDM_Plan!$M47))))</f>
        <v>46424.7731481481</v>
      </c>
      <c r="K47" s="4" t="n">
        <f aca="false">IF($A47="","",IFERROR(VLOOKUP(B47,CHOOSE(MATCH(C47,Settings!$L$4:$L$10,0),OPR_2P!$A$4:$I$18,SEG_6P!$A$4:$I$18,SOL_4P!$A$4:$I$18,RW_2P!$A$4:$I$18,RW2_4P!$A$4:$I$18,FLAP_4P!$A$4:$I$18,TUBE_4P!$A$4:$I$18),5,0),0))</f>
        <v>66</v>
      </c>
      <c r="L47" s="4" t="n">
        <f aca="false">IF($A47="","",K47*D47)</f>
        <v>264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46436.9953703704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C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IF($A48="","",IFERROR(INDEX(Machine_List!$B$50:$B$63,MATCH("*"&amp;$B48&amp;"*",Machine_List!$J$50:$J$63,0)),"NO COMPATIBLE MACHINE"))</f>
        <v>ENG-MC-01</v>
      </c>
      <c r="F48" s="5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46090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IF($A48="","",IF($I48&lt;&gt;"",$I48,MAX(EDM_Plan!$M48,IFERROR(LOOKUP(2,1/($E$3:INDIRECT("E"&amp;(ROW()-1))=$E48),$M$3:INDIRECT("M"&amp;(ROW()-1))),EDM_Plan!$M48))))</f>
        <v>46416.0694444444</v>
      </c>
      <c r="K48" s="4" t="n">
        <f aca="false">IF($A48="","",IFERROR(VLOOKUP(B48,CHOOSE(MATCH(C48,Settings!$L$4:$L$10,0),OPR_2P!$A$4:$I$18,SEG_6P!$A$4:$I$18,SOL_4P!$A$4:$I$18,RW_2P!$A$4:$I$18,RW2_4P!$A$4:$I$18,FLAP_4P!$A$4:$I$18,TUBE_4P!$A$4:$I$18),5,0),0))</f>
        <v>6</v>
      </c>
      <c r="L48" s="4" t="n">
        <f aca="false">IF($A48="","",K48*D48)</f>
        <v>12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46416.625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B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IF($A49="","",IFERROR(INDEX(Machine_List!$B$50:$B$63,MATCH("*"&amp;$B49&amp;"*",Machine_List!$J$50:$J$63,0)),"NO COMPATIBLE MACHINE"))</f>
        <v>ENG-MC-01</v>
      </c>
      <c r="F49" s="5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46090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IF($A49="","",IF($I49&lt;&gt;"",$I49,MAX(EDM_Plan!$M49,IFERROR(LOOKUP(2,1/($E$3:INDIRECT("E"&amp;(ROW()-1))=$E49),$M$3:INDIRECT("M"&amp;(ROW()-1))),EDM_Plan!$M49))))</f>
        <v>46434.0324074074</v>
      </c>
      <c r="K49" s="4" t="n">
        <f aca="false">IF($A49="","",IFERROR(VLOOKUP(B49,CHOOSE(MATCH(C49,Settings!$L$4:$L$10,0),OPR_2P!$A$4:$I$18,SEG_6P!$A$4:$I$18,SOL_4P!$A$4:$I$18,RW_2P!$A$4:$I$18,RW2_4P!$A$4:$I$18,FLAP_4P!$A$4:$I$18,TUBE_4P!$A$4:$I$18),5,0),0))</f>
        <v>61</v>
      </c>
      <c r="L49" s="4" t="n">
        <f aca="false">IF($A49="","",K49*D49)</f>
        <v>244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46445.3287037037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A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IF($A50="","",IFERROR(INDEX(Machine_List!$B$50:$B$63,MATCH("*"&amp;$B50&amp;"*",Machine_List!$J$50:$J$63,0)),"NO COMPATIBLE MACHINE"))</f>
        <v>ENG-MC-01</v>
      </c>
      <c r="F50" s="5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46090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IF($A50="","",IF($I50&lt;&gt;"",$I50,MAX(EDM_Plan!$M50,IFERROR(LOOKUP(2,1/($E$3:INDIRECT("E"&amp;(ROW()-1))=$E50),$M$3:INDIRECT("M"&amp;(ROW()-1))),EDM_Plan!$M50))))</f>
        <v>46446.0694444444</v>
      </c>
      <c r="K50" s="4" t="n">
        <f aca="false">IF($A50="","",IFERROR(VLOOKUP(B50,CHOOSE(MATCH(C50,Settings!$L$4:$L$10,0),OPR_2P!$A$4:$I$18,SEG_6P!$A$4:$I$18,SOL_4P!$A$4:$I$18,RW_2P!$A$4:$I$18,RW2_4P!$A$4:$I$18,FLAP_4P!$A$4:$I$18,TUBE_4P!$A$4:$I$18),5,0),0))</f>
        <v>61</v>
      </c>
      <c r="L50" s="4" t="n">
        <f aca="false">IF($A50="","",K50*D50)</f>
        <v>244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46457.3657407407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A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IF($A51="","",IFERROR(INDEX(Machine_List!$B$50:$B$63,MATCH("*"&amp;$B51&amp;"*",Machine_List!$J$50:$J$63,0)),"NO COMPATIBLE MACHINE"))</f>
        <v>ENG-MC-01</v>
      </c>
      <c r="F51" s="5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46090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IF($A51="","",IF($I51&lt;&gt;"",$I51,MAX(EDM_Plan!$M51,IFERROR(LOOKUP(2,1/($E$3:INDIRECT("E"&amp;(ROW()-1))=$E51),$M$3:INDIRECT("M"&amp;(ROW()-1))),EDM_Plan!$M51))))</f>
        <v>46457.3657407407</v>
      </c>
      <c r="K51" s="4" t="n">
        <f aca="false">IF($A51="","",IFERROR(VLOOKUP(B51,CHOOSE(MATCH(C51,Settings!$L$4:$L$10,0),OPR_2P!$A$4:$I$18,SEG_6P!$A$4:$I$18,SOL_4P!$A$4:$I$18,RW_2P!$A$4:$I$18,RW2_4P!$A$4:$I$18,FLAP_4P!$A$4:$I$18,TUBE_4P!$A$4:$I$18),5,0),0))</f>
        <v>30</v>
      </c>
      <c r="L51" s="4" t="n">
        <f aca="false">IF($A51="","",K51*D51)</f>
        <v>120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46462.9212962963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B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IF($A52="","",IFERROR(INDEX(Machine_List!$B$50:$B$63,MATCH("*"&amp;$B52&amp;"*",Machine_List!$J$50:$J$63,0)),"NO COMPATIBLE MACHINE"))</f>
        <v>ENG-MC-01</v>
      </c>
      <c r="F52" s="5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46090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IF($A52="","",IF($I52&lt;&gt;"",$I52,MAX(EDM_Plan!$M52,IFERROR(LOOKUP(2,1/($E$3:INDIRECT("E"&amp;(ROW()-1))=$E52),$M$3:INDIRECT("M"&amp;(ROW()-1))),EDM_Plan!$M52))))</f>
        <v>46462.9212962963</v>
      </c>
      <c r="K52" s="4" t="n">
        <f aca="false">IF($A52="","",IFERROR(VLOOKUP(B52,CHOOSE(MATCH(C52,Settings!$L$4:$L$10,0),OPR_2P!$A$4:$I$18,SEG_6P!$A$4:$I$18,SOL_4P!$A$4:$I$18,RW_2P!$A$4:$I$18,RW2_4P!$A$4:$I$18,FLAP_4P!$A$4:$I$18,TUBE_4P!$A$4:$I$18),5,0),0))</f>
        <v>35</v>
      </c>
      <c r="L52" s="4" t="n">
        <f aca="false">IF($A52="","",K52*D52)</f>
        <v>70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46466.162037037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C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IF($A53="","",IFERROR(INDEX(Machine_List!$B$50:$B$63,MATCH("*"&amp;$B53&amp;"*",Machine_List!$J$50:$J$63,0)),"NO COMPATIBLE MACHINE"))</f>
        <v>ENG-MC-01</v>
      </c>
      <c r="F53" s="5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46090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IF($A53="","",IF($I53&lt;&gt;"",$I53,MAX(EDM_Plan!$M53,IFERROR(LOOKUP(2,1/($E$3:INDIRECT("E"&amp;(ROW()-1))=$E53),$M$3:INDIRECT("M"&amp;(ROW()-1))),EDM_Plan!$M53))))</f>
        <v>46466.162037037</v>
      </c>
      <c r="K53" s="4" t="n">
        <f aca="false">IF($A53="","",IFERROR(VLOOKUP(B53,CHOOSE(MATCH(C53,Settings!$L$4:$L$10,0),OPR_2P!$A$4:$I$18,SEG_6P!$A$4:$I$18,SOL_4P!$A$4:$I$18,RW_2P!$A$4:$I$18,RW2_4P!$A$4:$I$18,FLAP_4P!$A$4:$I$18,TUBE_4P!$A$4:$I$18),5,0),0))</f>
        <v>22</v>
      </c>
      <c r="L53" s="4" t="n">
        <f aca="false">IF($A53="","",K53*D53)</f>
        <v>88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46470.2361111111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C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IF($A54="","",IFERROR(INDEX(Machine_List!$B$50:$B$63,MATCH("*"&amp;$B54&amp;"*",Machine_List!$J$50:$J$63,0)),"NO COMPATIBLE MACHINE"))</f>
        <v>ENG-MC-01</v>
      </c>
      <c r="F54" s="5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46090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IF($A54="","",IF($I54&lt;&gt;"",$I54,MAX(EDM_Plan!$M54,IFERROR(LOOKUP(2,1/($E$3:INDIRECT("E"&amp;(ROW()-1))=$E54),$M$3:INDIRECT("M"&amp;(ROW()-1))),EDM_Plan!$M54))))</f>
        <v>46470.2361111111</v>
      </c>
      <c r="K54" s="4" t="n">
        <f aca="false">IF($A54="","",IFERROR(VLOOKUP(B54,CHOOSE(MATCH(C54,Settings!$L$4:$L$10,0),OPR_2P!$A$4:$I$18,SEG_6P!$A$4:$I$18,SOL_4P!$A$4:$I$18,RW_2P!$A$4:$I$18,RW2_4P!$A$4:$I$18,FLAP_4P!$A$4:$I$18,TUBE_4P!$A$4:$I$18),5,0),0))</f>
        <v>39</v>
      </c>
      <c r="L54" s="4" t="n">
        <f aca="false">IF($A54="","",K54*D54)</f>
        <v>78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46473.8472222222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B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IF($A55="","",IFERROR(INDEX(Machine_List!$B$50:$B$63,MATCH("*"&amp;$B55&amp;"*",Machine_List!$J$50:$J$63,0)),"NO COMPATIBLE MACHINE"))</f>
        <v>ENG-MC-01</v>
      </c>
      <c r="F55" s="5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46090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IF($A55="","",IF($I55&lt;&gt;"",$I55,MAX(EDM_Plan!$M55,IFERROR(LOOKUP(2,1/($E$3:INDIRECT("E"&amp;(ROW()-1))=$E55),$M$3:INDIRECT("M"&amp;(ROW()-1))),EDM_Plan!$M55))))</f>
        <v>46473.8472222222</v>
      </c>
      <c r="K55" s="4" t="n">
        <f aca="false">IF($A55="","",IFERROR(VLOOKUP(B55,CHOOSE(MATCH(C55,Settings!$L$4:$L$10,0),OPR_2P!$A$4:$I$18,SEG_6P!$A$4:$I$18,SOL_4P!$A$4:$I$18,RW_2P!$A$4:$I$18,RW2_4P!$A$4:$I$18,FLAP_4P!$A$4:$I$18,TUBE_4P!$A$4:$I$18),5,0),0))</f>
        <v>24</v>
      </c>
      <c r="L55" s="4" t="n">
        <f aca="false">IF($A55="","",K55*D55)</f>
        <v>48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46476.0694444444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C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IF($A56="","",IFERROR(INDEX(Machine_List!$B$50:$B$63,MATCH("*"&amp;$B56&amp;"*",Machine_List!$J$50:$J$63,0)),"NO COMPATIBLE MACHINE"))</f>
        <v>ENG-MC-01</v>
      </c>
      <c r="F56" s="5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46090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IF($A56="","",IF($I56&lt;&gt;"",$I56,MAX(EDM_Plan!$M56,IFERROR(LOOKUP(2,1/($E$3:INDIRECT("E"&amp;(ROW()-1))=$E56),$M$3:INDIRECT("M"&amp;(ROW()-1))),EDM_Plan!$M56))))</f>
        <v>46476.0694444444</v>
      </c>
      <c r="K56" s="4" t="n">
        <f aca="false">IF($A56="","",IFERROR(VLOOKUP(B56,CHOOSE(MATCH(C56,Settings!$L$4:$L$10,0),OPR_2P!$A$4:$I$18,SEG_6P!$A$4:$I$18,SOL_4P!$A$4:$I$18,RW_2P!$A$4:$I$18,RW2_4P!$A$4:$I$18,FLAP_4P!$A$4:$I$18,TUBE_4P!$A$4:$I$18),5,0),0))</f>
        <v>16</v>
      </c>
      <c r="L56" s="4" t="n">
        <f aca="false">IF($A56="","",K56*D56)</f>
        <v>32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46477.5509259259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A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IF($A57="","",IFERROR(INDEX(Machine_List!$B$50:$B$63,MATCH("*"&amp;$B57&amp;"*",Machine_List!$J$50:$J$63,0)),"NO COMPATIBLE MACHINE"))</f>
        <v>ENG-MC-01</v>
      </c>
      <c r="F57" s="5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46090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IF($A57="","",IF($I57&lt;&gt;"",$I57,MAX(EDM_Plan!$M57,IFERROR(LOOKUP(2,1/($E$3:INDIRECT("E"&amp;(ROW()-1))=$E57),$M$3:INDIRECT("M"&amp;(ROW()-1))),EDM_Plan!$M57))))</f>
        <v>46486.8101851852</v>
      </c>
      <c r="K57" s="4" t="n">
        <f aca="false">IF($A57="","",IFERROR(VLOOKUP(B57,CHOOSE(MATCH(C57,Settings!$L$4:$L$10,0),OPR_2P!$A$4:$I$18,SEG_6P!$A$4:$I$18,SOL_4P!$A$4:$I$18,RW_2P!$A$4:$I$18,RW2_4P!$A$4:$I$18,FLAP_4P!$A$4:$I$18,TUBE_4P!$A$4:$I$18),5,0),0))</f>
        <v>42</v>
      </c>
      <c r="L57" s="4" t="n">
        <f aca="false">IF($A57="","",K57*D57)</f>
        <v>252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46498.4768518519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IF($A58="","",IFERROR(INDEX(Machine_List!$B$50:$B$63,MATCH("*"&amp;$B58&amp;"*",Machine_List!$J$50:$J$63,0)),"NO COMPATIBLE MACHINE"))</f>
        <v>ENG-MC-01</v>
      </c>
      <c r="F58" s="5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46090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IF($A58="","",IF($I58&lt;&gt;"",$I58,MAX(EDM_Plan!$M58,IFERROR(LOOKUP(2,1/($E$3:INDIRECT("E"&amp;(ROW()-1))=$E58),$M$3:INDIRECT("M"&amp;(ROW()-1))),EDM_Plan!$M58))))</f>
        <v>46498.4768518519</v>
      </c>
      <c r="K58" s="4" t="n">
        <f aca="false">IF($A58="","",IFERROR(VLOOKUP(B58,CHOOSE(MATCH(C58,Settings!$L$4:$L$10,0),OPR_2P!$A$4:$I$18,SEG_6P!$A$4:$I$18,SOL_4P!$A$4:$I$18,RW_2P!$A$4:$I$18,RW2_4P!$A$4:$I$18,FLAP_4P!$A$4:$I$18,TUBE_4P!$A$4:$I$18),5,0),0))</f>
        <v>35</v>
      </c>
      <c r="L58" s="4" t="n">
        <f aca="false">IF($A58="","",K58*D58)</f>
        <v>70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46501.7175925926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B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IF($A59="","",IFERROR(INDEX(Machine_List!$B$50:$B$63,MATCH("*"&amp;$B59&amp;"*",Machine_List!$J$50:$J$63,0)),"NO COMPATIBLE MACHINE"))</f>
        <v>ENG-MC-06</v>
      </c>
      <c r="F59" s="5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46074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IF($A59="","",IF($I59&lt;&gt;"",$I59,MAX(EDM_Plan!$M59,IFERROR(LOOKUP(2,1/($E$3:INDIRECT("E"&amp;(ROW()-1))=$E59),$M$3:INDIRECT("M"&amp;(ROW()-1))),EDM_Plan!$M59))))</f>
        <v>46495.8842592593</v>
      </c>
      <c r="K59" s="4" t="n">
        <f aca="false">IF($A59="","",IFERROR(VLOOKUP(B59,CHOOSE(MATCH(C59,Settings!$L$4:$L$10,0),OPR_2P!$A$4:$I$18,SEG_6P!$A$4:$I$18,SOL_4P!$A$4:$I$18,RW_2P!$A$4:$I$18,RW2_4P!$A$4:$I$18,FLAP_4P!$A$4:$I$18,TUBE_4P!$A$4:$I$18),5,0),0))</f>
        <v>66</v>
      </c>
      <c r="L59" s="4" t="n">
        <f aca="false">IF($A59="","",K59*D59)</f>
        <v>132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46501.9953703704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IF($A60="","",IFERROR(INDEX(Machine_List!$B$50:$B$63,MATCH("*"&amp;$B60&amp;"*",Machine_List!$J$50:$J$63,0)),"NO COMPATIBLE MACHINE"))</f>
        <v>ENG-MC-06</v>
      </c>
      <c r="F60" s="5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46074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IF($A60="","",IF($I60&lt;&gt;"",$I60,MAX(EDM_Plan!$M60,IFERROR(LOOKUP(2,1/($E$3:INDIRECT("E"&amp;(ROW()-1))=$E60),$M$3:INDIRECT("M"&amp;(ROW()-1))),EDM_Plan!$M60))))</f>
        <v>46530.6990740741</v>
      </c>
      <c r="K60" s="4" t="n">
        <f aca="false">IF($A60="","",IFERROR(VLOOKUP(B60,CHOOSE(MATCH(C60,Settings!$L$4:$L$10,0),OPR_2P!$A$4:$I$18,SEG_6P!$A$4:$I$18,SOL_4P!$A$4:$I$18,RW_2P!$A$4:$I$18,RW2_4P!$A$4:$I$18,FLAP_4P!$A$4:$I$18,TUBE_4P!$A$4:$I$18),5,0),0))</f>
        <v>57</v>
      </c>
      <c r="L60" s="4" t="n">
        <f aca="false">IF($A60="","",K60*D60)</f>
        <v>342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46546.5324074074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IF($A61="","",IFERROR(INDEX(Machine_List!$B$50:$B$63,MATCH("*"&amp;$B61&amp;"*",Machine_List!$J$50:$J$63,0)),"NO COMPATIBLE MACHINE"))</f>
        <v>ENG-MC-06</v>
      </c>
      <c r="F61" s="5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46074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IF($A61="","",IF($I61&lt;&gt;"",$I61,MAX(EDM_Plan!$M61,IFERROR(LOOKUP(2,1/($E$3:INDIRECT("E"&amp;(ROW()-1))=$E61),$M$3:INDIRECT("M"&amp;(ROW()-1))),EDM_Plan!$M61))))</f>
        <v>46546.5324074074</v>
      </c>
      <c r="K61" s="4" t="n">
        <f aca="false">IF($A61="","",IFERROR(VLOOKUP(B61,CHOOSE(MATCH(C61,Settings!$L$4:$L$10,0),OPR_2P!$A$4:$I$18,SEG_6P!$A$4:$I$18,SOL_4P!$A$4:$I$18,RW_2P!$A$4:$I$18,RW2_4P!$A$4:$I$18,FLAP_4P!$A$4:$I$18,TUBE_4P!$A$4:$I$18),5,0),0))</f>
        <v>73</v>
      </c>
      <c r="L61" s="4" t="n">
        <f aca="false">IF($A61="","",K61*D61)</f>
        <v>146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46553.2916666667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C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IF($A62="","",IFERROR(INDEX(Machine_List!$B$50:$B$63,MATCH("*"&amp;$B62&amp;"*",Machine_List!$J$50:$J$63,0)),"NO COMPATIBLE MACHINE"))</f>
        <v>ENG-MC-01</v>
      </c>
      <c r="F62" s="5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46090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IF($A62="","",IF($I62&lt;&gt;"",$I62,MAX(EDM_Plan!$M62,IFERROR(LOOKUP(2,1/($E$3:INDIRECT("E"&amp;(ROW()-1))=$E62),$M$3:INDIRECT("M"&amp;(ROW()-1))),EDM_Plan!$M62))))</f>
        <v>46523.4768518519</v>
      </c>
      <c r="K62" s="4" t="n">
        <f aca="false">IF($A62="","",IFERROR(VLOOKUP(B62,CHOOSE(MATCH(C62,Settings!$L$4:$L$10,0),OPR_2P!$A$4:$I$18,SEG_6P!$A$4:$I$18,SOL_4P!$A$4:$I$18,RW_2P!$A$4:$I$18,RW2_4P!$A$4:$I$18,FLAP_4P!$A$4:$I$18,TUBE_4P!$A$4:$I$18),5,0),0))</f>
        <v>5</v>
      </c>
      <c r="L62" s="4" t="n">
        <f aca="false">IF($A62="","",K62*D62)</f>
        <v>30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46524.8657407407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B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IF($A63="","",IFERROR(INDEX(Machine_List!$B$50:$B$63,MATCH("*"&amp;$B63&amp;"*",Machine_List!$J$50:$J$63,0)),"NO COMPATIBLE MACHINE"))</f>
        <v>ENG-MC-01</v>
      </c>
      <c r="F63" s="5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46090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IF($A63="","",IF($I63&lt;&gt;"",$I63,MAX(EDM_Plan!$M63,IFERROR(LOOKUP(2,1/($E$3:INDIRECT("E"&amp;(ROW()-1))=$E63),$M$3:INDIRECT("M"&amp;(ROW()-1))),EDM_Plan!$M63))))</f>
        <v>46538.7546296296</v>
      </c>
      <c r="K63" s="4" t="n">
        <f aca="false">IF($A63="","",IFERROR(VLOOKUP(B63,CHOOSE(MATCH(C63,Settings!$L$4:$L$10,0),OPR_2P!$A$4:$I$18,SEG_6P!$A$4:$I$18,SOL_4P!$A$4:$I$18,RW_2P!$A$4:$I$18,RW2_4P!$A$4:$I$18,FLAP_4P!$A$4:$I$18,TUBE_4P!$A$4:$I$18),5,0),0))</f>
        <v>38</v>
      </c>
      <c r="L63" s="4" t="n">
        <f aca="false">IF($A63="","",K63*D63)</f>
        <v>228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46549.3101851852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IF($A64="","",IFERROR(INDEX(Machine_List!$B$50:$B$63,MATCH("*"&amp;$B64&amp;"*",Machine_List!$J$50:$J$63,0)),"NO COMPATIBLE MACHINE"))</f>
        <v>ENG-MC-01</v>
      </c>
      <c r="F64" s="5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46090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IF($A64="","",IF($I64&lt;&gt;"",$I64,MAX(EDM_Plan!$M64,IFERROR(LOOKUP(2,1/($E$3:INDIRECT("E"&amp;(ROW()-1))=$E64),$M$3:INDIRECT("M"&amp;(ROW()-1))),EDM_Plan!$M64))))</f>
        <v>46549.3101851852</v>
      </c>
      <c r="K64" s="4" t="n">
        <f aca="false">IF($A64="","",IFERROR(VLOOKUP(B64,CHOOSE(MATCH(C64,Settings!$L$4:$L$10,0),OPR_2P!$A$4:$I$18,SEG_6P!$A$4:$I$18,SOL_4P!$A$4:$I$18,RW_2P!$A$4:$I$18,RW2_4P!$A$4:$I$18,FLAP_4P!$A$4:$I$18,TUBE_4P!$A$4:$I$18),5,0),0))</f>
        <v>4</v>
      </c>
      <c r="L64" s="4" t="n">
        <f aca="false">IF($A64="","",K64*D64)</f>
        <v>8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46549.6805555556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IF($A65="","",IFERROR(INDEX(Machine_List!$B$50:$B$63,MATCH("*"&amp;$B65&amp;"*",Machine_List!$J$50:$J$63,0)),"NO COMPATIBLE MACHINE"))</f>
        <v>ENG-MC-12</v>
      </c>
      <c r="F65" s="5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46454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IF($A65="","",IF($I65&lt;&gt;"",$I65,MAX(EDM_Plan!$M65,IFERROR(LOOKUP(2,1/($E$3:INDIRECT("E"&amp;(ROW()-1))=$E65),$M$3:INDIRECT("M"&amp;(ROW()-1))),EDM_Plan!$M65))))</f>
        <v>46574.7731481481</v>
      </c>
      <c r="K65" s="4" t="n">
        <f aca="false">IF($A65="","",IFERROR(VLOOKUP(B65,CHOOSE(MATCH(C65,Settings!$L$4:$L$10,0),OPR_2P!$A$4:$I$18,SEG_6P!$A$4:$I$18,SOL_4P!$A$4:$I$18,RW_2P!$A$4:$I$18,RW2_4P!$A$4:$I$18,FLAP_4P!$A$4:$I$18,TUBE_4P!$A$4:$I$18),5,0),0))</f>
        <v>111</v>
      </c>
      <c r="L65" s="4" t="n">
        <f aca="false">IF($A65="","",K65*D65)</f>
        <v>444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46595.3287037037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A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IF($A66="","",IFERROR(INDEX(Machine_List!$B$50:$B$63,MATCH("*"&amp;$B66&amp;"*",Machine_List!$J$50:$J$63,0)),"NO COMPATIBLE MACHINE"))</f>
        <v>ENG-MC-03</v>
      </c>
      <c r="F66" s="5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46433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IF($A66="","",IF($I66&lt;&gt;"",$I66,MAX(EDM_Plan!$M66,IFERROR(LOOKUP(2,1/($E$3:INDIRECT("E"&amp;(ROW()-1))=$E66),$M$3:INDIRECT("M"&amp;(ROW()-1))),EDM_Plan!$M66))))</f>
        <v>46578.1064814815</v>
      </c>
      <c r="K66" s="4" t="n">
        <f aca="false">IF($A66="","",IFERROR(VLOOKUP(B66,CHOOSE(MATCH(C66,Settings!$L$4:$L$10,0),OPR_2P!$A$4:$I$18,SEG_6P!$A$4:$I$18,SOL_4P!$A$4:$I$18,RW_2P!$A$4:$I$18,RW2_4P!$A$4:$I$18,FLAP_4P!$A$4:$I$18,TUBE_4P!$A$4:$I$18),5,0),0))</f>
        <v>41</v>
      </c>
      <c r="L66" s="4" t="n">
        <f aca="false">IF($A66="","",K66*D66)</f>
        <v>164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46585.6990740741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B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IF($A67="","",IFERROR(INDEX(Machine_List!$B$50:$B$63,MATCH("*"&amp;$B67&amp;"*",Machine_List!$J$50:$J$63,0)),"NO COMPATIBLE MACHINE"))</f>
        <v>ENG-MC-01</v>
      </c>
      <c r="F67" s="5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46090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IF($A67="","",IF($I67&lt;&gt;"",$I67,MAX(EDM_Plan!$M67,IFERROR(LOOKUP(2,1/($E$3:INDIRECT("E"&amp;(ROW()-1))=$E67),$M$3:INDIRECT("M"&amp;(ROW()-1))),EDM_Plan!$M67))))</f>
        <v>46571.162037037</v>
      </c>
      <c r="K67" s="4" t="n">
        <f aca="false">IF($A67="","",IFERROR(VLOOKUP(B67,CHOOSE(MATCH(C67,Settings!$L$4:$L$10,0),OPR_2P!$A$4:$I$18,SEG_6P!$A$4:$I$18,SOL_4P!$A$4:$I$18,RW_2P!$A$4:$I$18,RW2_4P!$A$4:$I$18,FLAP_4P!$A$4:$I$18,TUBE_4P!$A$4:$I$18),5,0),0))</f>
        <v>27</v>
      </c>
      <c r="L67" s="4" t="n">
        <f aca="false">IF($A67="","",K67*D67)</f>
        <v>54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46573.662037037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B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IF($A68="","",IFERROR(INDEX(Machine_List!$B$50:$B$63,MATCH("*"&amp;$B68&amp;"*",Machine_List!$J$50:$J$63,0)),"NO COMPATIBLE MACHINE"))</f>
        <v>ENG-MC-01</v>
      </c>
      <c r="F68" s="5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46090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IF($A68="","",IF($I68&lt;&gt;"",$I68,MAX(EDM_Plan!$M68,IFERROR(LOOKUP(2,1/($E$3:INDIRECT("E"&amp;(ROW()-1))=$E68),$M$3:INDIRECT("M"&amp;(ROW()-1))),EDM_Plan!$M68))))</f>
        <v>46573.662037037</v>
      </c>
      <c r="K68" s="4" t="n">
        <f aca="false">IF($A68="","",IFERROR(VLOOKUP(B68,CHOOSE(MATCH(C68,Settings!$L$4:$L$10,0),OPR_2P!$A$4:$I$18,SEG_6P!$A$4:$I$18,SOL_4P!$A$4:$I$18,RW_2P!$A$4:$I$18,RW2_4P!$A$4:$I$18,FLAP_4P!$A$4:$I$18,TUBE_4P!$A$4:$I$18),5,0),0))</f>
        <v>22</v>
      </c>
      <c r="L68" s="4" t="n">
        <f aca="false">IF($A68="","",K68*D68)</f>
        <v>44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46575.6990740741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IF($A69="","",IFERROR(INDEX(Machine_List!$B$50:$B$63,MATCH("*"&amp;$B69&amp;"*",Machine_List!$J$50:$J$63,0)),"NO COMPATIBLE MACHINE"))</f>
        <v>ENG-MC-06</v>
      </c>
      <c r="F69" s="5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46074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IF($A69="","",IF($I69&lt;&gt;"",$I69,MAX(EDM_Plan!$M69,IFERROR(LOOKUP(2,1/($E$3:INDIRECT("E"&amp;(ROW()-1))=$E69),$M$3:INDIRECT("M"&amp;(ROW()-1))),EDM_Plan!$M69))))</f>
        <v>46588.662037037</v>
      </c>
      <c r="K69" s="4" t="n">
        <f aca="false">IF($A69="","",IFERROR(VLOOKUP(B69,CHOOSE(MATCH(C69,Settings!$L$4:$L$10,0),OPR_2P!$A$4:$I$18,SEG_6P!$A$4:$I$18,SOL_4P!$A$4:$I$18,RW_2P!$A$4:$I$18,RW2_4P!$A$4:$I$18,FLAP_4P!$A$4:$I$18,TUBE_4P!$A$4:$I$18),5,0),0))</f>
        <v>66</v>
      </c>
      <c r="L69" s="4" t="n">
        <f aca="false">IF($A69="","",K69*D69)</f>
        <v>132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46594.7731481481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IF($A70="","",IFERROR(INDEX(Machine_List!$B$50:$B$63,MATCH("*"&amp;$B70&amp;"*",Machine_List!$J$50:$J$63,0)),"NO COMPATIBLE MACHINE"))</f>
        <v>ENG-MC-06</v>
      </c>
      <c r="F70" s="5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46074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IF($A70="","",IF($I70&lt;&gt;"",$I70,MAX(EDM_Plan!$M70,IFERROR(LOOKUP(2,1/($E$3:INDIRECT("E"&amp;(ROW()-1))=$E70),$M$3:INDIRECT("M"&amp;(ROW()-1))),EDM_Plan!$M70))))</f>
        <v>46607.5509259259</v>
      </c>
      <c r="K70" s="4" t="n">
        <f aca="false">IF($A70="","",IFERROR(VLOOKUP(B70,CHOOSE(MATCH(C70,Settings!$L$4:$L$10,0),OPR_2P!$A$4:$I$18,SEG_6P!$A$4:$I$18,SOL_4P!$A$4:$I$18,RW_2P!$A$4:$I$18,RW2_4P!$A$4:$I$18,FLAP_4P!$A$4:$I$18,TUBE_4P!$A$4:$I$18),5,0),0))</f>
        <v>66</v>
      </c>
      <c r="L70" s="4" t="n">
        <f aca="false">IF($A70="","",K70*D70)</f>
        <v>264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46619.7731481481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B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IF($A71="","",IFERROR(INDEX(Machine_List!$B$50:$B$63,MATCH("*"&amp;$B71&amp;"*",Machine_List!$J$50:$J$63,0)),"NO COMPATIBLE MACHINE"))</f>
        <v>ENG-MC-01</v>
      </c>
      <c r="F71" s="5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46090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IF($A71="","",IF($I71&lt;&gt;"",$I71,MAX(EDM_Plan!$M71,IFERROR(LOOKUP(2,1/($E$3:INDIRECT("E"&amp;(ROW()-1))=$E71),$M$3:INDIRECT("M"&amp;(ROW()-1))),EDM_Plan!$M71))))</f>
        <v>46602.9212962963</v>
      </c>
      <c r="K71" s="4" t="n">
        <f aca="false">IF($A71="","",IFERROR(VLOOKUP(B71,CHOOSE(MATCH(C71,Settings!$L$4:$L$10,0),OPR_2P!$A$4:$I$18,SEG_6P!$A$4:$I$18,SOL_4P!$A$4:$I$18,RW_2P!$A$4:$I$18,RW2_4P!$A$4:$I$18,FLAP_4P!$A$4:$I$18,TUBE_4P!$A$4:$I$18),5,0),0))</f>
        <v>22</v>
      </c>
      <c r="L71" s="4" t="n">
        <f aca="false">IF($A71="","",K71*D71)</f>
        <v>88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46606.9953703704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IF($A72="","",IFERROR(INDEX(Machine_List!$B$50:$B$63,MATCH("*"&amp;$B72&amp;"*",Machine_List!$J$50:$J$63,0)),"NO COMPATIBLE MACHINE"))</f>
        <v>ENG-MC-01</v>
      </c>
      <c r="F72" s="5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46090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IF($A72="","",IF($I72&lt;&gt;"",$I72,MAX(EDM_Plan!$M72,IFERROR(LOOKUP(2,1/($E$3:INDIRECT("E"&amp;(ROW()-1))=$E72),$M$3:INDIRECT("M"&amp;(ROW()-1))),EDM_Plan!$M72))))</f>
        <v>46606.9953703704</v>
      </c>
      <c r="K72" s="4" t="n">
        <f aca="false">IF($A72="","",IFERROR(VLOOKUP(B72,CHOOSE(MATCH(C72,Settings!$L$4:$L$10,0),OPR_2P!$A$4:$I$18,SEG_6P!$A$4:$I$18,SOL_4P!$A$4:$I$18,RW_2P!$A$4:$I$18,RW2_4P!$A$4:$I$18,FLAP_4P!$A$4:$I$18,TUBE_4P!$A$4:$I$18),5,0),0))</f>
        <v>12</v>
      </c>
      <c r="L72" s="4" t="n">
        <f aca="false">IF($A72="","",K72*D72)</f>
        <v>24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46608.1064814815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C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IF($A73="","",IFERROR(INDEX(Machine_List!$B$50:$B$63,MATCH("*"&amp;$B73&amp;"*",Machine_List!$J$50:$J$63,0)),"NO COMPATIBLE MACHINE"))</f>
        <v>ENG-MC-01</v>
      </c>
      <c r="F73" s="5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46090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IF($A73="","",IF($I73&lt;&gt;"",$I73,MAX(EDM_Plan!$M73,IFERROR(LOOKUP(2,1/($E$3:INDIRECT("E"&amp;(ROW()-1))=$E73),$M$3:INDIRECT("M"&amp;(ROW()-1))),EDM_Plan!$M73))))</f>
        <v>46613.5694444444</v>
      </c>
      <c r="K73" s="4" t="n">
        <f aca="false">IF($A73="","",IFERROR(VLOOKUP(B73,CHOOSE(MATCH(C73,Settings!$L$4:$L$10,0),OPR_2P!$A$4:$I$18,SEG_6P!$A$4:$I$18,SOL_4P!$A$4:$I$18,RW_2P!$A$4:$I$18,RW2_4P!$A$4:$I$18,FLAP_4P!$A$4:$I$18,TUBE_4P!$A$4:$I$18),5,0),0))</f>
        <v>20</v>
      </c>
      <c r="L73" s="4" t="n">
        <f aca="false">IF($A73="","",K73*D73)</f>
        <v>120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46619.125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C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IF($A74="","",IFERROR(INDEX(Machine_List!$B$50:$B$63,MATCH("*"&amp;$B74&amp;"*",Machine_List!$J$50:$J$63,0)),"NO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IF($A74="","",IF($I74&lt;&gt;"",$I74,MAX(EDM_Plan!$M74,IFERROR(LOOKUP(2,1/($E$3:INDIRECT("E"&amp;(ROW()-1))=$E74),$M$3:INDIRECT("M"&amp;(ROW()-1))),EDM_Plan!$M74))))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IF($A74="","",IFERROR(VLOOKUP(B74,CHOOSE(MATCH(C74,Settings!$L$4:$L$10,0),OPR_2P!$A$4:$I$18,SEG_6P!$A$4:$I$18,SOL_4P!$A$4:$I$18,RW_2P!$A$4:$I$18,RW2_4P!$A$4:$I$18,FLAP_4P!$A$4:$I$18,TUBE_4P!$A$4:$I$18),5,0),0))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IF($A75="","",IFERROR(INDEX(Machine_List!$B$50:$B$63,MATCH("*"&amp;$B75&amp;"*",Machine_List!$J$50:$J$63,0)),"NO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IF($A75="","",IF($I75&lt;&gt;"",$I75,MAX(EDM_Plan!$M75,IFERROR(LOOKUP(2,1/($E$3:INDIRECT("E"&amp;(ROW()-1))=$E75),$M$3:INDIRECT("M"&amp;(ROW()-1))),EDM_Plan!$M75))))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IF($A75="","",IFERROR(VLOOKUP(B75,CHOOSE(MATCH(C75,Settings!$L$4:$L$10,0),OPR_2P!$A$4:$I$18,SEG_6P!$A$4:$I$18,SOL_4P!$A$4:$I$18,RW_2P!$A$4:$I$18,RW2_4P!$A$4:$I$18,FLAP_4P!$A$4:$I$18,TUBE_4P!$A$4:$I$18),5,0),0))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IF($A76="","",IFERROR(INDEX(Machine_List!$B$50:$B$63,MATCH("*"&amp;$B76&amp;"*",Machine_List!$J$50:$J$63,0)),"NO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IF($A76="","",IF($I76&lt;&gt;"",$I76,MAX(EDM_Plan!$M76,IFERROR(LOOKUP(2,1/($E$3:INDIRECT("E"&amp;(ROW()-1))=$E76),$M$3:INDIRECT("M"&amp;(ROW()-1))),EDM_Plan!$M76))))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IF($A76="","",IFERROR(VLOOKUP(B76,CHOOSE(MATCH(C76,Settings!$L$4:$L$10,0),OPR_2P!$A$4:$I$18,SEG_6P!$A$4:$I$18,SOL_4P!$A$4:$I$18,RW_2P!$A$4:$I$18,RW2_4P!$A$4:$I$18,FLAP_4P!$A$4:$I$18,TUBE_4P!$A$4:$I$18),5,0),0))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IF($A77="","",IFERROR(INDEX(Machine_List!$B$50:$B$63,MATCH("*"&amp;$B77&amp;"*",Machine_List!$J$50:$J$63,0)),"NO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IF($A77="","",IF($I77&lt;&gt;"",$I77,MAX(EDM_Plan!$M77,IFERROR(LOOKUP(2,1/($E$3:INDIRECT("E"&amp;(ROW()-1))=$E77),$M$3:INDIRECT("M"&amp;(ROW()-1))),EDM_Plan!$M77))))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IF($A77="","",IFERROR(VLOOKUP(B77,CHOOSE(MATCH(C77,Settings!$L$4:$L$10,0),OPR_2P!$A$4:$I$18,SEG_6P!$A$4:$I$18,SOL_4P!$A$4:$I$18,RW_2P!$A$4:$I$18,RW2_4P!$A$4:$I$18,FLAP_4P!$A$4:$I$18,TUBE_4P!$A$4:$I$18),5,0),0))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IF($A78="","",IFERROR(INDEX(Machine_List!$B$50:$B$63,MATCH("*"&amp;$B78&amp;"*",Machine_List!$J$50:$J$63,0)),"NO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IF($A78="","",IF($I78&lt;&gt;"",$I78,MAX(EDM_Plan!$M78,IFERROR(LOOKUP(2,1/($E$3:INDIRECT("E"&amp;(ROW()-1))=$E78),$M$3:INDIRECT("M"&amp;(ROW()-1))),EDM_Plan!$M78))))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IF($A78="","",IFERROR(VLOOKUP(B78,CHOOSE(MATCH(C78,Settings!$L$4:$L$10,0),OPR_2P!$A$4:$I$18,SEG_6P!$A$4:$I$18,SOL_4P!$A$4:$I$18,RW_2P!$A$4:$I$18,RW2_4P!$A$4:$I$18,FLAP_4P!$A$4:$I$18,TUBE_4P!$A$4:$I$18),5,0),0))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IF($A79="","",IFERROR(INDEX(Machine_List!$B$50:$B$63,MATCH("*"&amp;$B79&amp;"*",Machine_List!$J$50:$J$63,0)),"NO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IF($A79="","",IF($I79&lt;&gt;"",$I79,MAX(EDM_Plan!$M79,IFERROR(LOOKUP(2,1/($E$3:INDIRECT("E"&amp;(ROW()-1))=$E79),$M$3:INDIRECT("M"&amp;(ROW()-1))),EDM_Plan!$M79))))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IF($A79="","",IFERROR(VLOOKUP(B79,CHOOSE(MATCH(C79,Settings!$L$4:$L$10,0),OPR_2P!$A$4:$I$18,SEG_6P!$A$4:$I$18,SOL_4P!$A$4:$I$18,RW_2P!$A$4:$I$18,RW2_4P!$A$4:$I$18,FLAP_4P!$A$4:$I$18,TUBE_4P!$A$4:$I$18),5,0),0))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IF($A80="","",IFERROR(INDEX(Machine_List!$B$50:$B$63,MATCH("*"&amp;$B80&amp;"*",Machine_List!$J$50:$J$63,0)),"NO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IF($A80="","",IF($I80&lt;&gt;"",$I80,MAX(EDM_Plan!$M80,IFERROR(LOOKUP(2,1/($E$3:INDIRECT("E"&amp;(ROW()-1))=$E80),$M$3:INDIRECT("M"&amp;(ROW()-1))),EDM_Plan!$M80))))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IF($A80="","",IFERROR(VLOOKUP(B80,CHOOSE(MATCH(C80,Settings!$L$4:$L$10,0),OPR_2P!$A$4:$I$18,SEG_6P!$A$4:$I$18,SOL_4P!$A$4:$I$18,RW_2P!$A$4:$I$18,RW2_4P!$A$4:$I$18,FLAP_4P!$A$4:$I$18,TUBE_4P!$A$4:$I$18),5,0),0))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IF($A81="","",IFERROR(INDEX(Machine_List!$B$50:$B$63,MATCH("*"&amp;$B81&amp;"*",Machine_List!$J$50:$J$63,0)),"NO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IF($A81="","",IF($I81&lt;&gt;"",$I81,MAX(EDM_Plan!$M81,IFERROR(LOOKUP(2,1/($E$3:INDIRECT("E"&amp;(ROW()-1))=$E81),$M$3:INDIRECT("M"&amp;(ROW()-1))),EDM_Plan!$M81))))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IF($A81="","",IFERROR(VLOOKUP(B81,CHOOSE(MATCH(C81,Settings!$L$4:$L$10,0),OPR_2P!$A$4:$I$18,SEG_6P!$A$4:$I$18,SOL_4P!$A$4:$I$18,RW_2P!$A$4:$I$18,RW2_4P!$A$4:$I$18,FLAP_4P!$A$4:$I$18,TUBE_4P!$A$4:$I$18),5,0),0))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IF($A82="","",IFERROR(INDEX(Machine_List!$B$50:$B$63,MATCH("*"&amp;$B82&amp;"*",Machine_List!$J$50:$J$63,0)),"NO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IF($A82="","",IF($I82&lt;&gt;"",$I82,MAX(EDM_Plan!$M82,IFERROR(LOOKUP(2,1/($E$3:INDIRECT("E"&amp;(ROW()-1))=$E82),$M$3:INDIRECT("M"&amp;(ROW()-1))),EDM_Plan!$M82))))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IF($A82="","",IFERROR(VLOOKUP(B82,CHOOSE(MATCH(C82,Settings!$L$4:$L$10,0),OPR_2P!$A$4:$I$18,SEG_6P!$A$4:$I$18,SOL_4P!$A$4:$I$18,RW_2P!$A$4:$I$18,RW2_4P!$A$4:$I$18,FLAP_4P!$A$4:$I$18,TUBE_4P!$A$4:$I$18),5,0),0))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IF($A83="","",IFERROR(INDEX(Machine_List!$B$50:$B$63,MATCH("*"&amp;$B83&amp;"*",Machine_List!$J$50:$J$63,0)),"NO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IF($A83="","",IF($I83&lt;&gt;"",$I83,MAX(EDM_Plan!$M83,IFERROR(LOOKUP(2,1/($E$3:INDIRECT("E"&amp;(ROW()-1))=$E83),$M$3:INDIRECT("M"&amp;(ROW()-1))),EDM_Plan!$M83))))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IF($A83="","",IFERROR(VLOOKUP(B83,CHOOSE(MATCH(C83,Settings!$L$4:$L$10,0),OPR_2P!$A$4:$I$18,SEG_6P!$A$4:$I$18,SOL_4P!$A$4:$I$18,RW_2P!$A$4:$I$18,RW2_4P!$A$4:$I$18,FLAP_4P!$A$4:$I$18,TUBE_4P!$A$4:$I$18),5,0),0))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IF($A84="","",IFERROR(INDEX(Machine_List!$B$50:$B$63,MATCH("*"&amp;$B84&amp;"*",Machine_List!$J$50:$J$63,0)),"NO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IF($A84="","",IF($I84&lt;&gt;"",$I84,MAX(EDM_Plan!$M84,IFERROR(LOOKUP(2,1/($E$3:INDIRECT("E"&amp;(ROW()-1))=$E84),$M$3:INDIRECT("M"&amp;(ROW()-1))),EDM_Plan!$M84))))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IF($A84="","",IFERROR(VLOOKUP(B84,CHOOSE(MATCH(C84,Settings!$L$4:$L$10,0),OPR_2P!$A$4:$I$18,SEG_6P!$A$4:$I$18,SOL_4P!$A$4:$I$18,RW_2P!$A$4:$I$18,RW2_4P!$A$4:$I$18,FLAP_4P!$A$4:$I$18,TUBE_4P!$A$4:$I$18),5,0),0))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IF($A85="","",IFERROR(INDEX(Machine_List!$B$50:$B$63,MATCH("*"&amp;$B85&amp;"*",Machine_List!$J$50:$J$63,0)),"NO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IF($A85="","",IF($I85&lt;&gt;"",$I85,MAX(EDM_Plan!$M85,IFERROR(LOOKUP(2,1/($E$3:INDIRECT("E"&amp;(ROW()-1))=$E85),$M$3:INDIRECT("M"&amp;(ROW()-1))),EDM_Plan!$M85))))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IF($A85="","",IFERROR(VLOOKUP(B85,CHOOSE(MATCH(C85,Settings!$L$4:$L$10,0),OPR_2P!$A$4:$I$18,SEG_6P!$A$4:$I$18,SOL_4P!$A$4:$I$18,RW_2P!$A$4:$I$18,RW2_4P!$A$4:$I$18,FLAP_4P!$A$4:$I$18,TUBE_4P!$A$4:$I$18),5,0),0))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IF($A86="","",IFERROR(INDEX(Machine_List!$B$50:$B$63,MATCH("*"&amp;$B86&amp;"*",Machine_List!$J$50:$J$63,0)),"NO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IF($A86="","",IF($I86&lt;&gt;"",$I86,MAX(EDM_Plan!$M86,IFERROR(LOOKUP(2,1/($E$3:INDIRECT("E"&amp;(ROW()-1))=$E86),$M$3:INDIRECT("M"&amp;(ROW()-1))),EDM_Plan!$M86))))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IF($A86="","",IFERROR(VLOOKUP(B86,CHOOSE(MATCH(C86,Settings!$L$4:$L$10,0),OPR_2P!$A$4:$I$18,SEG_6P!$A$4:$I$18,SOL_4P!$A$4:$I$18,RW_2P!$A$4:$I$18,RW2_4P!$A$4:$I$18,FLAP_4P!$A$4:$I$18,TUBE_4P!$A$4:$I$18),5,0),0))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IF($A87="","",IFERROR(INDEX(Machine_List!$B$50:$B$63,MATCH("*"&amp;$B87&amp;"*",Machine_List!$J$50:$J$63,0)),"NO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IF($A87="","",IF($I87&lt;&gt;"",$I87,MAX(EDM_Plan!$M87,IFERROR(LOOKUP(2,1/($E$3:INDIRECT("E"&amp;(ROW()-1))=$E87),$M$3:INDIRECT("M"&amp;(ROW()-1))),EDM_Plan!$M87))))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IF($A87="","",IFERROR(VLOOKUP(B87,CHOOSE(MATCH(C87,Settings!$L$4:$L$10,0),OPR_2P!$A$4:$I$18,SEG_6P!$A$4:$I$18,SOL_4P!$A$4:$I$18,RW_2P!$A$4:$I$18,RW2_4P!$A$4:$I$18,FLAP_4P!$A$4:$I$18,TUBE_4P!$A$4:$I$18),5,0),0))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IF($A88="","",IFERROR(INDEX(Machine_List!$B$50:$B$63,MATCH("*"&amp;$B88&amp;"*",Machine_List!$J$50:$J$63,0)),"NO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IF($A88="","",IF($I88&lt;&gt;"",$I88,MAX(EDM_Plan!$M88,IFERROR(LOOKUP(2,1/($E$3:INDIRECT("E"&amp;(ROW()-1))=$E88),$M$3:INDIRECT("M"&amp;(ROW()-1))),EDM_Plan!$M88))))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IF($A88="","",IFERROR(VLOOKUP(B88,CHOOSE(MATCH(C88,Settings!$L$4:$L$10,0),OPR_2P!$A$4:$I$18,SEG_6P!$A$4:$I$18,SOL_4P!$A$4:$I$18,RW_2P!$A$4:$I$18,RW2_4P!$A$4:$I$18,FLAP_4P!$A$4:$I$18,TUBE_4P!$A$4:$I$18),5,0),0))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IF($A89="","",IFERROR(INDEX(Machine_List!$B$50:$B$63,MATCH("*"&amp;$B89&amp;"*",Machine_List!$J$50:$J$63,0)),"NO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IF($A89="","",IF($I89&lt;&gt;"",$I89,MAX(EDM_Plan!$M89,IFERROR(LOOKUP(2,1/($E$3:INDIRECT("E"&amp;(ROW()-1))=$E89),$M$3:INDIRECT("M"&amp;(ROW()-1))),EDM_Plan!$M89))))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IF($A89="","",IFERROR(VLOOKUP(B89,CHOOSE(MATCH(C89,Settings!$L$4:$L$10,0),OPR_2P!$A$4:$I$18,SEG_6P!$A$4:$I$18,SOL_4P!$A$4:$I$18,RW_2P!$A$4:$I$18,RW2_4P!$A$4:$I$18,FLAP_4P!$A$4:$I$18,TUBE_4P!$A$4:$I$18),5,0),0))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IF($A90="","",IFERROR(INDEX(Machine_List!$B$50:$B$63,MATCH("*"&amp;$B90&amp;"*",Machine_List!$J$50:$J$63,0)),"NO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IF($A90="","",IF($I90&lt;&gt;"",$I90,MAX(EDM_Plan!$M90,IFERROR(LOOKUP(2,1/($E$3:INDIRECT("E"&amp;(ROW()-1))=$E90),$M$3:INDIRECT("M"&amp;(ROW()-1))),EDM_Plan!$M90))))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IF($A90="","",IFERROR(VLOOKUP(B90,CHOOSE(MATCH(C90,Settings!$L$4:$L$10,0),OPR_2P!$A$4:$I$18,SEG_6P!$A$4:$I$18,SOL_4P!$A$4:$I$18,RW_2P!$A$4:$I$18,RW2_4P!$A$4:$I$18,FLAP_4P!$A$4:$I$18,TUBE_4P!$A$4:$I$18),5,0),0))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IF($A91="","",IFERROR(INDEX(Machine_List!$B$50:$B$63,MATCH("*"&amp;$B91&amp;"*",Machine_List!$J$50:$J$63,0)),"NO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IF($A91="","",IF($I91&lt;&gt;"",$I91,MAX(EDM_Plan!$M91,IFERROR(LOOKUP(2,1/($E$3:INDIRECT("E"&amp;(ROW()-1))=$E91),$M$3:INDIRECT("M"&amp;(ROW()-1))),EDM_Plan!$M91))))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IF($A91="","",IFERROR(VLOOKUP(B91,CHOOSE(MATCH(C91,Settings!$L$4:$L$10,0),OPR_2P!$A$4:$I$18,SEG_6P!$A$4:$I$18,SOL_4P!$A$4:$I$18,RW_2P!$A$4:$I$18,RW2_4P!$A$4:$I$18,FLAP_4P!$A$4:$I$18,TUBE_4P!$A$4:$I$18),5,0),0))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IF($A92="","",IFERROR(INDEX(Machine_List!$B$50:$B$63,MATCH("*"&amp;$B92&amp;"*",Machine_List!$J$50:$J$63,0)),"NO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IF($A92="","",IF($I92&lt;&gt;"",$I92,MAX(EDM_Plan!$M92,IFERROR(LOOKUP(2,1/($E$3:INDIRECT("E"&amp;(ROW()-1))=$E92),$M$3:INDIRECT("M"&amp;(ROW()-1))),EDM_Plan!$M92))))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IF($A92="","",IFERROR(VLOOKUP(B92,CHOOSE(MATCH(C92,Settings!$L$4:$L$10,0),OPR_2P!$A$4:$I$18,SEG_6P!$A$4:$I$18,SOL_4P!$A$4:$I$18,RW_2P!$A$4:$I$18,RW2_4P!$A$4:$I$18,FLAP_4P!$A$4:$I$18,TUBE_4P!$A$4:$I$18),5,0),0))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IF($A93="","",IFERROR(INDEX(Machine_List!$B$50:$B$63,MATCH("*"&amp;$B93&amp;"*",Machine_List!$J$50:$J$63,0)),"NO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IF($A93="","",IF($I93&lt;&gt;"",$I93,MAX(EDM_Plan!$M93,IFERROR(LOOKUP(2,1/($E$3:INDIRECT("E"&amp;(ROW()-1))=$E93),$M$3:INDIRECT("M"&amp;(ROW()-1))),EDM_Plan!$M93))))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IF($A93="","",IFERROR(VLOOKUP(B93,CHOOSE(MATCH(C93,Settings!$L$4:$L$10,0),OPR_2P!$A$4:$I$18,SEG_6P!$A$4:$I$18,SOL_4P!$A$4:$I$18,RW_2P!$A$4:$I$18,RW2_4P!$A$4:$I$18,FLAP_4P!$A$4:$I$18,TUBE_4P!$A$4:$I$18),5,0),0))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IF($A94="","",IFERROR(INDEX(Machine_List!$B$50:$B$63,MATCH("*"&amp;$B94&amp;"*",Machine_List!$J$50:$J$63,0)),"NO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IF($A94="","",IF($I94&lt;&gt;"",$I94,MAX(EDM_Plan!$M94,IFERROR(LOOKUP(2,1/($E$3:INDIRECT("E"&amp;(ROW()-1))=$E94),$M$3:INDIRECT("M"&amp;(ROW()-1))),EDM_Plan!$M94))))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IF($A94="","",IFERROR(VLOOKUP(B94,CHOOSE(MATCH(C94,Settings!$L$4:$L$10,0),OPR_2P!$A$4:$I$18,SEG_6P!$A$4:$I$18,SOL_4P!$A$4:$I$18,RW_2P!$A$4:$I$18,RW2_4P!$A$4:$I$18,FLAP_4P!$A$4:$I$18,TUBE_4P!$A$4:$I$18),5,0),0))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IF($A95="","",IFERROR(INDEX(Machine_List!$B$50:$B$63,MATCH("*"&amp;$B95&amp;"*",Machine_List!$J$50:$J$63,0)),"NO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IF($A95="","",IF($I95&lt;&gt;"",$I95,MAX(EDM_Plan!$M95,IFERROR(LOOKUP(2,1/($E$3:INDIRECT("E"&amp;(ROW()-1))=$E95),$M$3:INDIRECT("M"&amp;(ROW()-1))),EDM_Plan!$M95))))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IF($A95="","",IFERROR(VLOOKUP(B95,CHOOSE(MATCH(C95,Settings!$L$4:$L$10,0),OPR_2P!$A$4:$I$18,SEG_6P!$A$4:$I$18,SOL_4P!$A$4:$I$18,RW_2P!$A$4:$I$18,RW2_4P!$A$4:$I$18,FLAP_4P!$A$4:$I$18,TUBE_4P!$A$4:$I$18),5,0),0))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IF($A96="","",IFERROR(INDEX(Machine_List!$B$50:$B$63,MATCH("*"&amp;$B96&amp;"*",Machine_List!$J$50:$J$63,0)),"NO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IF($A96="","",IF($I96&lt;&gt;"",$I96,MAX(EDM_Plan!$M96,IFERROR(LOOKUP(2,1/($E$3:INDIRECT("E"&amp;(ROW()-1))=$E96),$M$3:INDIRECT("M"&amp;(ROW()-1))),EDM_Plan!$M96))))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IF($A96="","",IFERROR(VLOOKUP(B96,CHOOSE(MATCH(C96,Settings!$L$4:$L$10,0),OPR_2P!$A$4:$I$18,SEG_6P!$A$4:$I$18,SOL_4P!$A$4:$I$18,RW_2P!$A$4:$I$18,RW2_4P!$A$4:$I$18,FLAP_4P!$A$4:$I$18,TUBE_4P!$A$4:$I$18),5,0),0))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IF($A97="","",IFERROR(INDEX(Machine_List!$B$50:$B$63,MATCH("*"&amp;$B97&amp;"*",Machine_List!$J$50:$J$63,0)),"NO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IF($A97="","",IF($I97&lt;&gt;"",$I97,MAX(EDM_Plan!$M97,IFERROR(LOOKUP(2,1/($E$3:INDIRECT("E"&amp;(ROW()-1))=$E97),$M$3:INDIRECT("M"&amp;(ROW()-1))),EDM_Plan!$M97))))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IF($A97="","",IFERROR(VLOOKUP(B97,CHOOSE(MATCH(C97,Settings!$L$4:$L$10,0),OPR_2P!$A$4:$I$18,SEG_6P!$A$4:$I$18,SOL_4P!$A$4:$I$18,RW_2P!$A$4:$I$18,RW2_4P!$A$4:$I$18,FLAP_4P!$A$4:$I$18,TUBE_4P!$A$4:$I$18),5,0),0))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IF($A98="","",IFERROR(INDEX(Machine_List!$B$50:$B$63,MATCH("*"&amp;$B98&amp;"*",Machine_List!$J$50:$J$63,0)),"NO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IF($A98="","",IF($I98&lt;&gt;"",$I98,MAX(EDM_Plan!$M98,IFERROR(LOOKUP(2,1/($E$3:INDIRECT("E"&amp;(ROW()-1))=$E98),$M$3:INDIRECT("M"&amp;(ROW()-1))),EDM_Plan!$M98))))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IF($A98="","",IFERROR(VLOOKUP(B98,CHOOSE(MATCH(C98,Settings!$L$4:$L$10,0),OPR_2P!$A$4:$I$18,SEG_6P!$A$4:$I$18,SOL_4P!$A$4:$I$18,RW_2P!$A$4:$I$18,RW2_4P!$A$4:$I$18,FLAP_4P!$A$4:$I$18,TUBE_4P!$A$4:$I$18),5,0),0))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IF($A99="","",IFERROR(INDEX(Machine_List!$B$50:$B$63,MATCH("*"&amp;$B99&amp;"*",Machine_List!$J$50:$J$63,0)),"NO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IF($A99="","",IF($I99&lt;&gt;"",$I99,MAX(EDM_Plan!$M99,IFERROR(LOOKUP(2,1/($E$3:INDIRECT("E"&amp;(ROW()-1))=$E99),$M$3:INDIRECT("M"&amp;(ROW()-1))),EDM_Plan!$M99))))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IF($A99="","",IFERROR(VLOOKUP(B99,CHOOSE(MATCH(C99,Settings!$L$4:$L$10,0),OPR_2P!$A$4:$I$18,SEG_6P!$A$4:$I$18,SOL_4P!$A$4:$I$18,RW_2P!$A$4:$I$18,RW2_4P!$A$4:$I$18,FLAP_4P!$A$4:$I$18,TUBE_4P!$A$4:$I$18),5,0),0))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IF($A100="","",IFERROR(INDEX(Machine_List!$B$50:$B$63,MATCH("*"&amp;$B100&amp;"*",Machine_List!$J$50:$J$63,0)),"NO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IF($A100="","",IF($I100&lt;&gt;"",$I100,MAX(EDM_Plan!$M100,IFERROR(LOOKUP(2,1/($E$3:INDIRECT("E"&amp;(ROW()-1))=$E100),$M$3:INDIRECT("M"&amp;(ROW()-1))),EDM_Plan!$M100))))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IF($A100="","",IFERROR(VLOOKUP(B100,CHOOSE(MATCH(C100,Settings!$L$4:$L$10,0),OPR_2P!$A$4:$I$18,SEG_6P!$A$4:$I$18,SOL_4P!$A$4:$I$18,RW_2P!$A$4:$I$18,RW2_4P!$A$4:$I$18,FLAP_4P!$A$4:$I$18,TUBE_4P!$A$4:$I$18),5,0),0))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IF($A101="","",IFERROR(INDEX(Machine_List!$B$50:$B$63,MATCH("*"&amp;$B101&amp;"*",Machine_List!$J$50:$J$63,0)),"NO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IF($A101="","",IF($I101&lt;&gt;"",$I101,MAX(EDM_Plan!$M101,IFERROR(LOOKUP(2,1/($E$3:INDIRECT("E"&amp;(ROW()-1))=$E101),$M$3:INDIRECT("M"&amp;(ROW()-1))),EDM_Plan!$M101))))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IF($A101="","",IFERROR(VLOOKUP(B101,CHOOSE(MATCH(C101,Settings!$L$4:$L$10,0),OPR_2P!$A$4:$I$18,SEG_6P!$A$4:$I$18,SOL_4P!$A$4:$I$18,RW_2P!$A$4:$I$18,RW2_4P!$A$4:$I$18,FLAP_4P!$A$4:$I$18,TUBE_4P!$A$4:$I$18),5,0),0))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IF($A102="","",IFERROR(INDEX(Machine_List!$B$50:$B$63,MATCH("*"&amp;$B102&amp;"*",Machine_List!$J$50:$J$63,0)),"NO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IF($A102="","",IF($I102&lt;&gt;"",$I102,MAX(EDM_Plan!$M102,IFERROR(LOOKUP(2,1/($E$3:INDIRECT("E"&amp;(ROW()-1))=$E102),$M$3:INDIRECT("M"&amp;(ROW()-1))),EDM_Plan!$M102))))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IF($A102="","",IFERROR(VLOOKUP(B102,CHOOSE(MATCH(C102,Settings!$L$4:$L$10,0),OPR_2P!$A$4:$I$18,SEG_6P!$A$4:$I$18,SOL_4P!$A$4:$I$18,RW_2P!$A$4:$I$18,RW2_4P!$A$4:$I$18,FLAP_4P!$A$4:$I$18,TUBE_4P!$A$4:$I$18),5,0),0))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IF($A103="","",IFERROR(INDEX(Machine_List!$B$50:$B$63,MATCH("*"&amp;$B103&amp;"*",Machine_List!$J$50:$J$63,0)),"NO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IF($A103="","",IF($I103&lt;&gt;"",$I103,MAX(EDM_Plan!$M103,IFERROR(LOOKUP(2,1/($E$3:INDIRECT("E"&amp;(ROW()-1))=$E103),$M$3:INDIRECT("M"&amp;(ROW()-1))),EDM_Plan!$M103))))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IF($A103="","",IFERROR(VLOOKUP(B103,CHOOSE(MATCH(C103,Settings!$L$4:$L$10,0),OPR_2P!$A$4:$I$18,SEG_6P!$A$4:$I$18,SOL_4P!$A$4:$I$18,RW_2P!$A$4:$I$18,RW2_4P!$A$4:$I$18,FLAP_4P!$A$4:$I$18,TUBE_4P!$A$4:$I$18),5,0),0))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12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E18" activeCellId="0" sqref="C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4.33"/>
    <col collapsed="false" customWidth="true" hidden="false" outlineLevel="0" max="3" min="3" style="1" width="5.21"/>
    <col collapsed="false" customWidth="true" hidden="false" outlineLevel="0" max="4" min="4" style="1" width="5.11"/>
    <col collapsed="false" customWidth="true" hidden="false" outlineLevel="0" max="5" min="5" style="1" width="15.44"/>
    <col collapsed="false" customWidth="true" hidden="false" outlineLevel="0" max="6" min="6" style="28" width="14.33"/>
    <col collapsed="false" customWidth="true" hidden="false" outlineLevel="0" max="7" min="7" style="1" width="11.89"/>
    <col collapsed="false" customWidth="true" hidden="false" outlineLevel="0" max="8" min="8" style="1" width="6.56"/>
    <col collapsed="false" customWidth="true" hidden="false" outlineLevel="0" max="9" min="9" style="1" width="8"/>
    <col collapsed="false" customWidth="true" hidden="false" outlineLevel="0" max="10" min="10" style="1" width="16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6.44"/>
    <col collapsed="false" customWidth="true" hidden="false" outlineLevel="0" max="14" min="14" style="1" width="9.88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31.11"/>
    <col collapsed="false" customWidth="true" hidden="false" outlineLevel="0" max="77" min="77" style="1" width="8.88"/>
    <col collapsed="false" customWidth="true" hidden="false" outlineLevel="0" max="78" min="78" style="1" width="8.22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44"/>
    <col collapsed="false" customWidth="true" hidden="false" outlineLevel="0" max="82" min="82" style="1" width="8.22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254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122</v>
      </c>
      <c r="BY3" s="45" t="n">
        <v>882</v>
      </c>
      <c r="BZ3" s="45" t="n">
        <v>460</v>
      </c>
      <c r="CA3" s="45" t="n">
        <v>876</v>
      </c>
      <c r="CB3" s="45" t="n">
        <v>1354</v>
      </c>
      <c r="CC3" s="45" t="n">
        <v>980</v>
      </c>
      <c r="CD3" s="45" t="n">
        <v>932</v>
      </c>
      <c r="CE3" s="45" t="n">
        <v>512</v>
      </c>
      <c r="CF3" s="45" t="n">
        <v>1230</v>
      </c>
      <c r="CG3" s="45" t="n">
        <v>0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" t="str">
        <f aca="false">IF($A4="","",IFERROR(INDEX(Machine_List!$B$64:$B$71,MATCH("*"&amp;$B4&amp;"*",Machine_List!$J$64:$J$71,0)),"NO COMPATIBLE MACHINE"))</f>
        <v>VENT-MC-01</v>
      </c>
      <c r="F4" s="49" t="str">
        <f aca="false">IF($E4="","",IFERROR(VLOOKUP($E4,Machine_List!$B:$G,6,0),""))</f>
        <v>Contract Workman</v>
      </c>
      <c r="G4" s="50" t="n">
        <f aca="false">IF($E4="","",IFERROR(VLOOKUP($E4,Machine_List!$B:$C,2,0),""))</f>
        <v>46230</v>
      </c>
      <c r="H4" s="48" t="n">
        <f aca="false">IF($E4="","",IFERROR(VLOOKUP($E4,Machine_List!$B:$D,3,0),""))</f>
        <v>6</v>
      </c>
      <c r="I4" s="45"/>
      <c r="J4" s="51" t="n">
        <f aca="true">IF($A4="","",IF($I4&lt;&gt;"",$I4,MAX(ENG_Plan!$M4,IFERROR(LOOKUP(2,1/($E$3:INDIRECT("E"&amp;(ROW()-1))=$E4),$M$3:INDIRECT("M"&amp;(ROW()-1))),ENG_Plan!$M4))))</f>
        <v>46125.0509259259</v>
      </c>
      <c r="K4" s="48" t="n">
        <f aca="false">IF($A4="","",IFERROR(VLOOKUP(B4,CHOOSE(MATCH(C4,Settings!$L$4:$L$10,0),OPR_2P!$A$4:$I$18,SEG_6P!$A$4:$I$18,SOL_4P!$A$4:$I$18,RW_2P!$A$4:$I$18,RW2_4P!$A$4:$I$18,FLAP_4P!$A$4:$I$18,TUBE_4P!$A$4:$I$18),6,0),0))</f>
        <v>32</v>
      </c>
      <c r="L4" s="48" t="n">
        <f aca="false">IF($A4="","",K4*D4)</f>
        <v>64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46127.9080687831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S2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5184</v>
      </c>
      <c r="BY4" s="45" t="n">
        <v>5356.8</v>
      </c>
      <c r="BZ4" s="45" t="n">
        <v>5184</v>
      </c>
      <c r="CA4" s="45" t="n">
        <v>5356.8</v>
      </c>
      <c r="CB4" s="45" t="n">
        <v>5356.8</v>
      </c>
      <c r="CC4" s="45" t="n">
        <v>5184</v>
      </c>
      <c r="CD4" s="45" t="n">
        <v>5356.8</v>
      </c>
      <c r="CE4" s="45" t="n">
        <v>5184</v>
      </c>
      <c r="CF4" s="45" t="n">
        <v>5356.8</v>
      </c>
      <c r="CG4" s="45" t="n">
        <v>5356.8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" t="str">
        <f aca="false">IF($A5="","",IFERROR(INDEX(Machine_List!$B$64:$B$71,MATCH("*"&amp;$B5&amp;"*",Machine_List!$J$64:$J$71,0)),"NO COMPATIBLE MACHINE"))</f>
        <v>VENT-MC-04</v>
      </c>
      <c r="F5" s="54" t="str">
        <f aca="false">IF($E5="","",IFERROR(VLOOKUP($E5,Machine_List!$B:$G,6,0),""))</f>
        <v>Contract Workman</v>
      </c>
      <c r="G5" s="55" t="n">
        <f aca="false">IF($E5="","",IFERROR(VLOOKUP($E5,Machine_List!$B:$C,2,0),""))</f>
        <v>46255</v>
      </c>
      <c r="H5" s="4" t="n">
        <f aca="false">IF($E5="","",IFERROR(VLOOKUP($E5,Machine_List!$B:$D,3,0),""))</f>
        <v>6</v>
      </c>
      <c r="I5" s="56"/>
      <c r="J5" s="57" t="n">
        <f aca="true">IF($A5="","",IF($I5&lt;&gt;"",$I5,MAX(ENG_Plan!$M5,IFERROR(LOOKUP(2,1/($E$3:INDIRECT("E"&amp;(ROW()-1))=$E5),$M$3:INDIRECT("M"&amp;(ROW()-1))),ENG_Plan!$M5))))</f>
        <v>46150.3287037037</v>
      </c>
      <c r="K5" s="4" t="n">
        <f aca="false">IF($A5="","",IFERROR(VLOOKUP(B5,CHOOSE(MATCH(C5,Settings!$L$4:$L$10,0),OPR_2P!$A$4:$I$18,SEG_6P!$A$4:$I$18,SOL_4P!$A$4:$I$18,RW_2P!$A$4:$I$18,RW2_4P!$A$4:$I$18,FLAP_4P!$A$4:$I$18,TUBE_4P!$A$4:$I$18),6,0),0))</f>
        <v>37</v>
      </c>
      <c r="L5" s="4" t="n">
        <f aca="false">IF($A5="","",K5*D5)</f>
        <v>148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46156.9358465608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" t="str">
        <f aca="false">IF($A6="","",IFERROR(INDEX(Machine_List!$B$64:$B$71,MATCH("*"&amp;$B6&amp;"*",Machine_List!$J$64:$J$71,0)),"NO COMPATIBLE MACHINE"))</f>
        <v>VENT-MC-01</v>
      </c>
      <c r="F6" s="54" t="str">
        <f aca="false">IF($E6="","",IFERROR(VLOOKUP($E6,Machine_List!$B:$G,6,0),""))</f>
        <v>Contract Workman</v>
      </c>
      <c r="G6" s="55" t="n">
        <f aca="false">IF($E6="","",IFERROR(VLOOKUP($E6,Machine_List!$B:$C,2,0),""))</f>
        <v>46230</v>
      </c>
      <c r="H6" s="4" t="n">
        <f aca="false">IF($E6="","",IFERROR(VLOOKUP($E6,Machine_List!$B:$D,3,0),""))</f>
        <v>6</v>
      </c>
      <c r="I6" s="56"/>
      <c r="J6" s="57" t="n">
        <f aca="true">IF($A6="","",IF($I6&lt;&gt;"",$I6,MAX(ENG_Plan!$M6,IFERROR(LOOKUP(2,1/($E$3:INDIRECT("E"&amp;(ROW()-1))=$E6),$M$3:INDIRECT("M"&amp;(ROW()-1))),ENG_Plan!$M6))))</f>
        <v>46141.5324074074</v>
      </c>
      <c r="K6" s="4" t="n">
        <f aca="false">IF($A6="","",IFERROR(VLOOKUP(B6,CHOOSE(MATCH(C6,Settings!$L$4:$L$10,0),OPR_2P!$A$4:$I$18,SEG_6P!$A$4:$I$18,SOL_4P!$A$4:$I$18,RW_2P!$A$4:$I$18,RW2_4P!$A$4:$I$18,FLAP_4P!$A$4:$I$18,TUBE_4P!$A$4:$I$18),6,0),0))</f>
        <v>33</v>
      </c>
      <c r="L6" s="4" t="n">
        <f aca="false">IF($A6="","",K6*D6)</f>
        <v>66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46144.4788359788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S1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" t="str">
        <f aca="false">IF($A7="","",IFERROR(INDEX(Machine_List!$B$64:$B$71,MATCH("*"&amp;$B7&amp;"*",Machine_List!$J$64:$J$71,0)),"NO COMPATIBLE MACHINE"))</f>
        <v>VENT-MC-01</v>
      </c>
      <c r="F7" s="54" t="str">
        <f aca="false">IF($E7="","",IFERROR(VLOOKUP($E7,Machine_List!$B:$G,6,0),""))</f>
        <v>Contract Workman</v>
      </c>
      <c r="G7" s="55" t="n">
        <f aca="false">IF($E7="","",IFERROR(VLOOKUP($E7,Machine_List!$B:$C,2,0),""))</f>
        <v>46230</v>
      </c>
      <c r="H7" s="4" t="n">
        <f aca="false">IF($E7="","",IFERROR(VLOOKUP($E7,Machine_List!$B:$D,3,0),""))</f>
        <v>6</v>
      </c>
      <c r="I7" s="56"/>
      <c r="J7" s="57" t="n">
        <f aca="true">IF($A7="","",IF($I7&lt;&gt;"",$I7,MAX(ENG_Plan!$M7,IFERROR(LOOKUP(2,1/($E$3:INDIRECT("E"&amp;(ROW()-1))=$E7),$M$3:INDIRECT("M"&amp;(ROW()-1))),ENG_Plan!$M7))))</f>
        <v>46161.2546296296</v>
      </c>
      <c r="K7" s="4" t="n">
        <f aca="false">IF($A7="","",IFERROR(VLOOKUP(B7,CHOOSE(MATCH(C7,Settings!$L$4:$L$10,0),OPR_2P!$A$4:$I$18,SEG_6P!$A$4:$I$18,SOL_4P!$A$4:$I$18,RW_2P!$A$4:$I$18,RW2_4P!$A$4:$I$18,FLAP_4P!$A$4:$I$18,TUBE_4P!$A$4:$I$18),6,0),0))</f>
        <v>32</v>
      </c>
      <c r="L7" s="4" t="n">
        <f aca="false">IF($A7="","",K7*D7)</f>
        <v>192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46169.8260582011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S1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" t="str">
        <f aca="false">IF($A8="","",IFERROR(INDEX(Machine_List!$B$64:$B$71,MATCH("*"&amp;$B8&amp;"*",Machine_List!$J$64:$J$71,0)),"NO COMPATIBLE MACHINE"))</f>
        <v>VENT-MC-04</v>
      </c>
      <c r="F8" s="54" t="str">
        <f aca="false">IF($E8="","",IFERROR(VLOOKUP($E8,Machine_List!$B:$G,6,0),""))</f>
        <v>Contract Workman</v>
      </c>
      <c r="G8" s="55" t="n">
        <f aca="false">IF($E8="","",IFERROR(VLOOKUP($E8,Machine_List!$B:$C,2,0),""))</f>
        <v>46255</v>
      </c>
      <c r="H8" s="4" t="n">
        <f aca="false">IF($E8="","",IFERROR(VLOOKUP($E8,Machine_List!$B:$D,3,0),""))</f>
        <v>6</v>
      </c>
      <c r="I8" s="56"/>
      <c r="J8" s="57" t="n">
        <f aca="true">IF($A8="","",IF($I8&lt;&gt;"",$I8,MAX(ENG_Plan!$M8,IFERROR(LOOKUP(2,1/($E$3:INDIRECT("E"&amp;(ROW()-1))=$E8),$M$3:INDIRECT("M"&amp;(ROW()-1))),ENG_Plan!$M8))))</f>
        <v>46182.9212962963</v>
      </c>
      <c r="K8" s="4" t="n">
        <f aca="false">IF($A8="","",IFERROR(VLOOKUP(B8,CHOOSE(MATCH(C8,Settings!$L$4:$L$10,0),OPR_2P!$A$4:$I$18,SEG_6P!$A$4:$I$18,SOL_4P!$A$4:$I$18,RW_2P!$A$4:$I$18,RW2_4P!$A$4:$I$18,FLAP_4P!$A$4:$I$18,TUBE_4P!$A$4:$I$18),6,0),0))</f>
        <v>32</v>
      </c>
      <c r="L8" s="4" t="n">
        <f aca="false">IF($A8="","",K8*D8)</f>
        <v>192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46191.4927248677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S1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" t="str">
        <f aca="false">IF($A9="","",IFERROR(INDEX(Machine_List!$B$64:$B$71,MATCH("*"&amp;$B9&amp;"*",Machine_List!$J$64:$J$71,0)),"NO COMPATIBLE MACHINE"))</f>
        <v>VENT-MC-01</v>
      </c>
      <c r="F9" s="54" t="str">
        <f aca="false">IF($E9="","",IFERROR(VLOOKUP($E9,Machine_List!$B:$G,6,0),""))</f>
        <v>Contract Workman</v>
      </c>
      <c r="G9" s="55" t="n">
        <f aca="false">IF($E9="","",IFERROR(VLOOKUP($E9,Machine_List!$B:$C,2,0),""))</f>
        <v>46230</v>
      </c>
      <c r="H9" s="4" t="n">
        <f aca="false">IF($E9="","",IFERROR(VLOOKUP($E9,Machine_List!$B:$D,3,0),""))</f>
        <v>6</v>
      </c>
      <c r="I9" s="56"/>
      <c r="J9" s="57" t="n">
        <f aca="true">IF($A9="","",IF($I9&lt;&gt;"",$I9,MAX(ENG_Plan!$M9,IFERROR(LOOKUP(2,1/($E$3:INDIRECT("E"&amp;(ROW()-1))=$E9),$M$3:INDIRECT("M"&amp;(ROW()-1))),ENG_Plan!$M9))))</f>
        <v>46185.5138888889</v>
      </c>
      <c r="K9" s="4" t="n">
        <f aca="false">IF($A9="","",IFERROR(VLOOKUP(B9,CHOOSE(MATCH(C9,Settings!$L$4:$L$10,0),OPR_2P!$A$4:$I$18,SEG_6P!$A$4:$I$18,SOL_4P!$A$4:$I$18,RW_2P!$A$4:$I$18,RW2_4P!$A$4:$I$18,FLAP_4P!$A$4:$I$18,TUBE_4P!$A$4:$I$18),6,0),0))</f>
        <v>23</v>
      </c>
      <c r="L9" s="4" t="n">
        <f aca="false">IF($A9="","",K9*D9)</f>
        <v>46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46187.5674603175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S1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" t="str">
        <f aca="false">IF($A10="","",IFERROR(INDEX(Machine_List!$B$64:$B$71,MATCH("*"&amp;$B10&amp;"*",Machine_List!$J$64:$J$71,0)),"NO COMPATIBLE MACHINE"))</f>
        <v>VENT-MC-04</v>
      </c>
      <c r="F10" s="54" t="str">
        <f aca="false">IF($E10="","",IFERROR(VLOOKUP($E10,Machine_List!$B:$G,6,0),""))</f>
        <v>Contract Workman</v>
      </c>
      <c r="G10" s="55" t="n">
        <f aca="false">IF($E10="","",IFERROR(VLOOKUP($E10,Machine_List!$B:$C,2,0),""))</f>
        <v>46255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IF($A10="","",IF($I10&lt;&gt;"",$I10,MAX(ENG_Plan!$M10,IFERROR(LOOKUP(2,1/($E$3:INDIRECT("E"&amp;(ROW()-1))=$E10),$M$3:INDIRECT("M"&amp;(ROW()-1))),ENG_Plan!$M10))))</f>
        <v>46191.4927248677</v>
      </c>
      <c r="K10" s="4" t="n">
        <f aca="false">IF($A10="","",IFERROR(VLOOKUP(B10,CHOOSE(MATCH(C10,Settings!$L$4:$L$10,0),OPR_2P!$A$4:$I$18,SEG_6P!$A$4:$I$18,SOL_4P!$A$4:$I$18,RW_2P!$A$4:$I$18,RW2_4P!$A$4:$I$18,FLAP_4P!$A$4:$I$18,TUBE_4P!$A$4:$I$18),6,0),0))</f>
        <v>77</v>
      </c>
      <c r="L10" s="4" t="n">
        <f aca="false">IF($A10="","",K10*D10)</f>
        <v>154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46198.3677248677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S1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" t="str">
        <f aca="false">IF($A11="","",IFERROR(INDEX(Machine_List!$B$64:$B$71,MATCH("*"&amp;$B11&amp;"*",Machine_List!$J$64:$J$71,0)),"NO COMPATIBLE MACHINE"))</f>
        <v>VENT-MC-01</v>
      </c>
      <c r="F11" s="54" t="str">
        <f aca="false">IF($E11="","",IFERROR(VLOOKUP($E11,Machine_List!$B:$G,6,0),""))</f>
        <v>Contract Workman</v>
      </c>
      <c r="G11" s="55" t="n">
        <f aca="false">IF($E11="","",IFERROR(VLOOKUP($E11,Machine_List!$B:$C,2,0),""))</f>
        <v>46230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IF($A11="","",IF($I11&lt;&gt;"",$I11,MAX(ENG_Plan!$M11,IFERROR(LOOKUP(2,1/($E$3:INDIRECT("E"&amp;(ROW()-1))=$E11),$M$3:INDIRECT("M"&amp;(ROW()-1))),ENG_Plan!$M11))))</f>
        <v>46187.5674603175</v>
      </c>
      <c r="K11" s="4" t="n">
        <f aca="false">IF($A11="","",IFERROR(VLOOKUP(B11,CHOOSE(MATCH(C11,Settings!$L$4:$L$10,0),OPR_2P!$A$4:$I$18,SEG_6P!$A$4:$I$18,SOL_4P!$A$4:$I$18,RW_2P!$A$4:$I$18,RW2_4P!$A$4:$I$18,FLAP_4P!$A$4:$I$18,TUBE_4P!$A$4:$I$18),6,0),0))</f>
        <v>7</v>
      </c>
      <c r="L11" s="4" t="n">
        <f aca="false">IF($A11="","",K11*D11)</f>
        <v>14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46188.1924603175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S2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" t="str">
        <f aca="false">IF($A12="","",IFERROR(INDEX(Machine_List!$B$64:$B$71,MATCH("*"&amp;$B12&amp;"*",Machine_List!$J$64:$J$71,0)),"NO COMPATIBLE MACHINE"))</f>
        <v>VENT-MC-04</v>
      </c>
      <c r="F12" s="54" t="str">
        <f aca="false">IF($E12="","",IFERROR(VLOOKUP($E12,Machine_List!$B:$G,6,0),""))</f>
        <v>Contract Workman</v>
      </c>
      <c r="G12" s="55" t="n">
        <f aca="false">IF($E12="","",IFERROR(VLOOKUP($E12,Machine_List!$B:$C,2,0),""))</f>
        <v>46255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IF($A12="","",IF($I12&lt;&gt;"",$I12,MAX(ENG_Plan!$M12,IFERROR(LOOKUP(2,1/($E$3:INDIRECT("E"&amp;(ROW()-1))=$E12),$M$3:INDIRECT("M"&amp;(ROW()-1))),ENG_Plan!$M12))))</f>
        <v>46198.3677248677</v>
      </c>
      <c r="K12" s="4" t="n">
        <f aca="false">IF($A12="","",IFERROR(VLOOKUP(B12,CHOOSE(MATCH(C12,Settings!$L$4:$L$10,0),OPR_2P!$A$4:$I$18,SEG_6P!$A$4:$I$18,SOL_4P!$A$4:$I$18,RW_2P!$A$4:$I$18,RW2_4P!$A$4:$I$18,FLAP_4P!$A$4:$I$18,TUBE_4P!$A$4:$I$18),6,0),0))</f>
        <v>31</v>
      </c>
      <c r="L12" s="4" t="n">
        <f aca="false">IF($A12="","",K12*D12)</f>
        <v>62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46201.1355820106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S2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" t="str">
        <f aca="false">IF($A13="","",IFERROR(INDEX(Machine_List!$B$64:$B$71,MATCH("*"&amp;$B13&amp;"*",Machine_List!$J$64:$J$71,0)),"NO COMPATIBLE MACHINE"))</f>
        <v>VENT-MC-01</v>
      </c>
      <c r="F13" s="54" t="str">
        <f aca="false">IF($E13="","",IFERROR(VLOOKUP($E13,Machine_List!$B:$G,6,0),""))</f>
        <v>Contract Workman</v>
      </c>
      <c r="G13" s="55" t="n">
        <f aca="false">IF($E13="","",IFERROR(VLOOKUP($E13,Machine_List!$B:$C,2,0),""))</f>
        <v>46230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IF($A13="","",IF($I13&lt;&gt;"",$I13,MAX(ENG_Plan!$M13,IFERROR(LOOKUP(2,1/($E$3:INDIRECT("E"&amp;(ROW()-1))=$E13),$M$3:INDIRECT("M"&amp;(ROW()-1))),ENG_Plan!$M13))))</f>
        <v>46192.087962963</v>
      </c>
      <c r="K13" s="4" t="n">
        <f aca="false">IF($A13="","",IFERROR(VLOOKUP(B13,CHOOSE(MATCH(C13,Settings!$L$4:$L$10,0),OPR_2P!$A$4:$I$18,SEG_6P!$A$4:$I$18,SOL_4P!$A$4:$I$18,RW_2P!$A$4:$I$18,RW2_4P!$A$4:$I$18,FLAP_4P!$A$4:$I$18,TUBE_4P!$A$4:$I$18),6,0),0))</f>
        <v>16</v>
      </c>
      <c r="L13" s="4" t="n">
        <f aca="false">IF($A13="","",K13*D13)</f>
        <v>32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46193.5165343915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S1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" t="str">
        <f aca="false">IF($A14="","",IFERROR(INDEX(Machine_List!$B$64:$B$71,MATCH("*"&amp;$B14&amp;"*",Machine_List!$J$64:$J$71,0)),"NO COMPATIBLE MACHINE"))</f>
        <v>VENT-MC-01</v>
      </c>
      <c r="F14" s="54" t="str">
        <f aca="false">IF($E14="","",IFERROR(VLOOKUP($E14,Machine_List!$B:$G,6,0),""))</f>
        <v>Contract Workman</v>
      </c>
      <c r="G14" s="55" t="n">
        <f aca="false">IF($E14="","",IFERROR(VLOOKUP($E14,Machine_List!$B:$C,2,0),""))</f>
        <v>46230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IF($A14="","",IF($I14&lt;&gt;"",$I14,MAX(ENG_Plan!$M14,IFERROR(LOOKUP(2,1/($E$3:INDIRECT("E"&amp;(ROW()-1))=$E14),$M$3:INDIRECT("M"&amp;(ROW()-1))),ENG_Plan!$M14))))</f>
        <v>46195.6990740741</v>
      </c>
      <c r="K14" s="4" t="n">
        <f aca="false">IF($A14="","",IFERROR(VLOOKUP(B14,CHOOSE(MATCH(C14,Settings!$L$4:$L$10,0),OPR_2P!$A$4:$I$18,SEG_6P!$A$4:$I$18,SOL_4P!$A$4:$I$18,RW_2P!$A$4:$I$18,RW2_4P!$A$4:$I$18,FLAP_4P!$A$4:$I$18,TUBE_4P!$A$4:$I$18),6,0),0))</f>
        <v>23</v>
      </c>
      <c r="L14" s="4" t="n">
        <f aca="false">IF($A14="","",K14*D14)</f>
        <v>46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46197.7526455026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S1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" t="str">
        <f aca="false">IF($A15="","",IFERROR(INDEX(Machine_List!$B$64:$B$71,MATCH("*"&amp;$B15&amp;"*",Machine_List!$J$64:$J$71,0)),"NO COMPATIBLE MACHINE"))</f>
        <v>VENT-MC-01</v>
      </c>
      <c r="F15" s="54" t="str">
        <f aca="false">IF($E15="","",IFERROR(VLOOKUP($E15,Machine_List!$B:$G,6,0),""))</f>
        <v>Contract Workman</v>
      </c>
      <c r="G15" s="55" t="n">
        <f aca="false">IF($E15="","",IFERROR(VLOOKUP($E15,Machine_List!$B:$C,2,0),""))</f>
        <v>46230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IF($A15="","",IF($I15&lt;&gt;"",$I15,MAX(ENG_Plan!$M15,IFERROR(LOOKUP(2,1/($E$3:INDIRECT("E"&amp;(ROW()-1))=$E15),$M$3:INDIRECT("M"&amp;(ROW()-1))),ENG_Plan!$M15))))</f>
        <v>46203.4768518519</v>
      </c>
      <c r="K15" s="4" t="n">
        <f aca="false">IF($A15="","",IFERROR(VLOOKUP(B15,CHOOSE(MATCH(C15,Settings!$L$4:$L$10,0),OPR_2P!$A$4:$I$18,SEG_6P!$A$4:$I$18,SOL_4P!$A$4:$I$18,RW_2P!$A$4:$I$18,RW2_4P!$A$4:$I$18,FLAP_4P!$A$4:$I$18,TUBE_4P!$A$4:$I$18),6,0),0))</f>
        <v>19</v>
      </c>
      <c r="L15" s="4" t="n">
        <f aca="false">IF($A15="","",K15*D15)</f>
        <v>114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46208.5661375661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S1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" t="str">
        <f aca="false">IF($A16="","",IFERROR(INDEX(Machine_List!$B$64:$B$71,MATCH("*"&amp;$B16&amp;"*",Machine_List!$J$64:$J$71,0)),"NO COMPATIBLE MACHINE"))</f>
        <v>VENT-MC-01</v>
      </c>
      <c r="F16" s="54" t="str">
        <f aca="false">IF($E16="","",IFERROR(VLOOKUP($E16,Machine_List!$B:$G,6,0),""))</f>
        <v>Contract Workman</v>
      </c>
      <c r="G16" s="55" t="n">
        <f aca="false">IF($E16="","",IFERROR(VLOOKUP($E16,Machine_List!$B:$C,2,0),""))</f>
        <v>46230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IF($A16="","",IF($I16&lt;&gt;"",$I16,MAX(ENG_Plan!$M16,IFERROR(LOOKUP(2,1/($E$3:INDIRECT("E"&amp;(ROW()-1))=$E16),$M$3:INDIRECT("M"&amp;(ROW()-1))),ENG_Plan!$M16))))</f>
        <v>46208.5661375661</v>
      </c>
      <c r="K16" s="4" t="n">
        <f aca="false">IF($A16="","",IFERROR(VLOOKUP(B16,CHOOSE(MATCH(C16,Settings!$L$4:$L$10,0),OPR_2P!$A$4:$I$18,SEG_6P!$A$4:$I$18,SOL_4P!$A$4:$I$18,RW_2P!$A$4:$I$18,RW2_4P!$A$4:$I$18,FLAP_4P!$A$4:$I$18,TUBE_4P!$A$4:$I$18),6,0),0))</f>
        <v>16</v>
      </c>
      <c r="L16" s="4" t="n">
        <f aca="false">IF($A16="","",K16*D16)</f>
        <v>32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46209.9947089947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S2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" t="str">
        <f aca="false">IF($A17="","",IFERROR(INDEX(Machine_List!$B$64:$B$71,MATCH("*"&amp;$B17&amp;"*",Machine_List!$J$64:$J$71,0)),"NO COMPATIBLE MACHINE"))</f>
        <v>VENT-MC-04</v>
      </c>
      <c r="F17" s="54" t="str">
        <f aca="false">IF($E17="","",IFERROR(VLOOKUP($E17,Machine_List!$B:$G,6,0),""))</f>
        <v>Contract Workman</v>
      </c>
      <c r="G17" s="55" t="n">
        <f aca="false">IF($E17="","",IFERROR(VLOOKUP($E17,Machine_List!$B:$C,2,0),""))</f>
        <v>46255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IF($A17="","",IF($I17&lt;&gt;"",$I17,MAX(ENG_Plan!$M17,IFERROR(LOOKUP(2,1/($E$3:INDIRECT("E"&amp;(ROW()-1))=$E17),$M$3:INDIRECT("M"&amp;(ROW()-1))),ENG_Plan!$M17))))</f>
        <v>46247.3657407407</v>
      </c>
      <c r="K17" s="4" t="n">
        <f aca="false">IF($A17="","",IFERROR(VLOOKUP(B17,CHOOSE(MATCH(C17,Settings!$L$4:$L$10,0),OPR_2P!$A$4:$I$18,SEG_6P!$A$4:$I$18,SOL_4P!$A$4:$I$18,RW_2P!$A$4:$I$18,RW2_4P!$A$4:$I$18,FLAP_4P!$A$4:$I$18,TUBE_4P!$A$4:$I$18),6,0),0))</f>
        <v>53</v>
      </c>
      <c r="L17" s="4" t="n">
        <f aca="false">IF($A17="","",K17*D17)</f>
        <v>318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46261.830026455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S1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" t="str">
        <f aca="false">IF($A18="","",IFERROR(INDEX(Machine_List!$B$64:$B$71,MATCH("*"&amp;$B18&amp;"*",Machine_List!$J$64:$J$71,0)),"NO COMPATIBLE MACHINE"))</f>
        <v>VENT-MC-04</v>
      </c>
      <c r="F18" s="54" t="str">
        <f aca="false">IF($E18="","",IFERROR(VLOOKUP($E18,Machine_List!$B:$G,6,0),""))</f>
        <v>Contract Workman</v>
      </c>
      <c r="G18" s="55" t="n">
        <f aca="false">IF($E18="","",IFERROR(VLOOKUP($E18,Machine_List!$B:$C,2,0),""))</f>
        <v>46255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IF($A18="","",IF($I18&lt;&gt;"",$I18,MAX(ENG_Plan!$M18,IFERROR(LOOKUP(2,1/($E$3:INDIRECT("E"&amp;(ROW()-1))=$E18),$M$3:INDIRECT("M"&amp;(ROW()-1))),ENG_Plan!$M18))))</f>
        <v>46261.830026455</v>
      </c>
      <c r="K18" s="4" t="n">
        <f aca="false">IF($A18="","",IFERROR(VLOOKUP(B18,CHOOSE(MATCH(C18,Settings!$L$4:$L$10,0),OPR_2P!$A$4:$I$18,SEG_6P!$A$4:$I$18,SOL_4P!$A$4:$I$18,RW_2P!$A$4:$I$18,RW2_4P!$A$4:$I$18,FLAP_4P!$A$4:$I$18,TUBE_4P!$A$4:$I$18),6,0),0))</f>
        <v>48</v>
      </c>
      <c r="L18" s="4" t="n">
        <f aca="false">IF($A18="","",K18*D18)</f>
        <v>96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46266.1157407407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S2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" t="str">
        <f aca="false">IF($A19="","",IFERROR(INDEX(Machine_List!$B$64:$B$71,MATCH("*"&amp;$B19&amp;"*",Machine_List!$J$64:$J$71,0)),"NO COMPATIBLE MACHINE"))</f>
        <v>VENT-MC-04</v>
      </c>
      <c r="F19" s="54" t="str">
        <f aca="false">IF($E19="","",IFERROR(VLOOKUP($E19,Machine_List!$B:$G,6,0),""))</f>
        <v>Contract Workman</v>
      </c>
      <c r="G19" s="55" t="n">
        <f aca="false">IF($E19="","",IFERROR(VLOOKUP($E19,Machine_List!$B:$C,2,0),""))</f>
        <v>46255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IF($A19="","",IF($I19&lt;&gt;"",$I19,MAX(ENG_Plan!$M19,IFERROR(LOOKUP(2,1/($E$3:INDIRECT("E"&amp;(ROW()-1))=$E19),$M$3:INDIRECT("M"&amp;(ROW()-1))),ENG_Plan!$M19))))</f>
        <v>46266.1157407407</v>
      </c>
      <c r="K19" s="4" t="n">
        <f aca="false">IF($A19="","",IFERROR(VLOOKUP(B19,CHOOSE(MATCH(C19,Settings!$L$4:$L$10,0),OPR_2P!$A$4:$I$18,SEG_6P!$A$4:$I$18,SOL_4P!$A$4:$I$18,RW_2P!$A$4:$I$18,RW2_4P!$A$4:$I$18,FLAP_4P!$A$4:$I$18,TUBE_4P!$A$4:$I$18),6,0),0))</f>
        <v>57</v>
      </c>
      <c r="L19" s="4" t="n">
        <f aca="false">IF($A19="","",K19*D19)</f>
        <v>114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46271.205026455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S2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" t="str">
        <f aca="false">IF($A20="","",IFERROR(INDEX(Machine_List!$B$64:$B$71,MATCH("*"&amp;$B20&amp;"*",Machine_List!$J$64:$J$71,0)),"NO COMPATIBLE MACHINE"))</f>
        <v>VENT-MC-01</v>
      </c>
      <c r="F20" s="54" t="str">
        <f aca="false">IF($E20="","",IFERROR(VLOOKUP($E20,Machine_List!$B:$G,6,0),""))</f>
        <v>Contract Workman</v>
      </c>
      <c r="G20" s="55" t="n">
        <f aca="false">IF($E20="","",IFERROR(VLOOKUP($E20,Machine_List!$B:$C,2,0),""))</f>
        <v>46230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IF($A20="","",IF($I20&lt;&gt;"",$I20,MAX(ENG_Plan!$M20,IFERROR(LOOKUP(2,1/($E$3:INDIRECT("E"&amp;(ROW()-1))=$E20),$M$3:INDIRECT("M"&amp;(ROW()-1))),ENG_Plan!$M20))))</f>
        <v>46243.7546296296</v>
      </c>
      <c r="K20" s="4" t="n">
        <f aca="false">IF($A20="","",IFERROR(VLOOKUP(B20,CHOOSE(MATCH(C20,Settings!$L$4:$L$10,0),OPR_2P!$A$4:$I$18,SEG_6P!$A$4:$I$18,SOL_4P!$A$4:$I$18,RW_2P!$A$4:$I$18,RW2_4P!$A$4:$I$18,FLAP_4P!$A$4:$I$18,TUBE_4P!$A$4:$I$18),6,0),0))</f>
        <v>28</v>
      </c>
      <c r="L20" s="4" t="n">
        <f aca="false">IF($A20="","",K20*D20)</f>
        <v>112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46248.7546296296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" t="str">
        <f aca="false">IF($A21="","",IFERROR(INDEX(Machine_List!$B$64:$B$71,MATCH("*"&amp;$B21&amp;"*",Machine_List!$J$64:$J$71,0)),"NO COMPATIBLE MACHINE"))</f>
        <v>VENT-MC-04</v>
      </c>
      <c r="F21" s="54" t="str">
        <f aca="false">IF($E21="","",IFERROR(VLOOKUP($E21,Machine_List!$B:$G,6,0),""))</f>
        <v>Contract Workman</v>
      </c>
      <c r="G21" s="55" t="n">
        <f aca="false">IF($E21="","",IFERROR(VLOOKUP($E21,Machine_List!$B:$C,2,0),""))</f>
        <v>46255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IF($A21="","",IF($I21&lt;&gt;"",$I21,MAX(ENG_Plan!$M21,IFERROR(LOOKUP(2,1/($E$3:INDIRECT("E"&amp;(ROW()-1))=$E21),$M$3:INDIRECT("M"&amp;(ROW()-1))),ENG_Plan!$M21))))</f>
        <v>46292.8287037037</v>
      </c>
      <c r="K21" s="4" t="n">
        <f aca="false">IF($A21="","",IFERROR(VLOOKUP(B21,CHOOSE(MATCH(C21,Settings!$L$4:$L$10,0),OPR_2P!$A$4:$I$18,SEG_6P!$A$4:$I$18,SOL_4P!$A$4:$I$18,RW_2P!$A$4:$I$18,RW2_4P!$A$4:$I$18,FLAP_4P!$A$4:$I$18,TUBE_4P!$A$4:$I$18),6,0),0))</f>
        <v>75</v>
      </c>
      <c r="L21" s="4" t="n">
        <f aca="false">IF($A21="","",K21*D21)</f>
        <v>300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46306.2215608466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S2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" t="str">
        <f aca="false">IF($A22="","",IFERROR(INDEX(Machine_List!$B$64:$B$71,MATCH("*"&amp;$B22&amp;"*",Machine_List!$J$64:$J$71,0)),"NO COMPATIBLE MACHINE"))</f>
        <v>VENT-MC-04</v>
      </c>
      <c r="F22" s="54" t="str">
        <f aca="false">IF($E22="","",IFERROR(VLOOKUP($E22,Machine_List!$B:$G,6,0),""))</f>
        <v>Contract Workman</v>
      </c>
      <c r="G22" s="55" t="n">
        <f aca="false">IF($E22="","",IFERROR(VLOOKUP($E22,Machine_List!$B:$C,2,0),""))</f>
        <v>46255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IF($A22="","",IF($I22&lt;&gt;"",$I22,MAX(ENG_Plan!$M22,IFERROR(LOOKUP(2,1/($E$3:INDIRECT("E"&amp;(ROW()-1))=$E22),$M$3:INDIRECT("M"&amp;(ROW()-1))),ENG_Plan!$M22))))</f>
        <v>46306.2215608466</v>
      </c>
      <c r="K22" s="4" t="n">
        <f aca="false">IF($A22="","",IFERROR(VLOOKUP(B22,CHOOSE(MATCH(C22,Settings!$L$4:$L$10,0),OPR_2P!$A$4:$I$18,SEG_6P!$A$4:$I$18,SOL_4P!$A$4:$I$18,RW_2P!$A$4:$I$18,RW2_4P!$A$4:$I$18,FLAP_4P!$A$4:$I$18,TUBE_4P!$A$4:$I$18),6,0),0))</f>
        <v>48</v>
      </c>
      <c r="L22" s="4" t="n">
        <f aca="false">IF($A22="","",K22*D22)</f>
        <v>96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46310.5072751323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" t="str">
        <f aca="false">IF($A23="","",IFERROR(INDEX(Machine_List!$B$64:$B$71,MATCH("*"&amp;$B23&amp;"*",Machine_List!$J$64:$J$71,0)),"NO COMPATIBLE MACHINE"))</f>
        <v>VENT-MC-01</v>
      </c>
      <c r="F23" s="54" t="str">
        <f aca="false">IF($E23="","",IFERROR(VLOOKUP($E23,Machine_List!$B:$G,6,0),""))</f>
        <v>Contract Workman</v>
      </c>
      <c r="G23" s="55" t="n">
        <f aca="false">IF($E23="","",IFERROR(VLOOKUP($E23,Machine_List!$B:$C,2,0),""))</f>
        <v>46230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IF($A23="","",IF($I23&lt;&gt;"",$I23,MAX(ENG_Plan!$M23,IFERROR(LOOKUP(2,1/($E$3:INDIRECT("E"&amp;(ROW()-1))=$E23),$M$3:INDIRECT("M"&amp;(ROW()-1))),ENG_Plan!$M23))))</f>
        <v>46266.0694444444</v>
      </c>
      <c r="K23" s="4" t="n">
        <f aca="false">IF($A23="","",IFERROR(VLOOKUP(B23,CHOOSE(MATCH(C23,Settings!$L$4:$L$10,0),OPR_2P!$A$4:$I$18,SEG_6P!$A$4:$I$18,SOL_4P!$A$4:$I$18,RW_2P!$A$4:$I$18,RW2_4P!$A$4:$I$18,FLAP_4P!$A$4:$I$18,TUBE_4P!$A$4:$I$18),6,0),0))</f>
        <v>5</v>
      </c>
      <c r="L23" s="4" t="n">
        <f aca="false">IF($A23="","",K23*D23)</f>
        <v>30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46267.4087301587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S1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" t="str">
        <f aca="false">IF($A24="","",IFERROR(INDEX(Machine_List!$B$64:$B$71,MATCH("*"&amp;$B24&amp;"*",Machine_List!$J$64:$J$71,0)),"NO COMPATIBLE MACHINE"))</f>
        <v>VENT-MC-04</v>
      </c>
      <c r="F24" s="54" t="str">
        <f aca="false">IF($E24="","",IFERROR(VLOOKUP($E24,Machine_List!$B:$G,6,0),""))</f>
        <v>Contract Workman</v>
      </c>
      <c r="G24" s="55" t="n">
        <f aca="false">IF($E24="","",IFERROR(VLOOKUP($E24,Machine_List!$B:$C,2,0),""))</f>
        <v>46255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IF($A24="","",IF($I24&lt;&gt;"",$I24,MAX(ENG_Plan!$M24,IFERROR(LOOKUP(2,1/($E$3:INDIRECT("E"&amp;(ROW()-1))=$E24),$M$3:INDIRECT("M"&amp;(ROW()-1))),ENG_Plan!$M24))))</f>
        <v>46310.5072751323</v>
      </c>
      <c r="K24" s="4" t="n">
        <f aca="false">IF($A24="","",IFERROR(VLOOKUP(B24,CHOOSE(MATCH(C24,Settings!$L$4:$L$10,0),OPR_2P!$A$4:$I$18,SEG_6P!$A$4:$I$18,SOL_4P!$A$4:$I$18,RW_2P!$A$4:$I$18,RW2_4P!$A$4:$I$18,FLAP_4P!$A$4:$I$18,TUBE_4P!$A$4:$I$18),6,0),0))</f>
        <v>53</v>
      </c>
      <c r="L24" s="4" t="n">
        <f aca="false">IF($A24="","",K24*D24)</f>
        <v>106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46315.2394179894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S2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" t="str">
        <f aca="false">IF($A25="","",IFERROR(INDEX(Machine_List!$B$64:$B$71,MATCH("*"&amp;$B25&amp;"*",Machine_List!$J$64:$J$71,0)),"NO COMPATIBLE MACHINE"))</f>
        <v>VENT-MC-04</v>
      </c>
      <c r="F25" s="54" t="str">
        <f aca="false">IF($E25="","",IFERROR(VLOOKUP($E25,Machine_List!$B:$G,6,0),""))</f>
        <v>Contract Workman</v>
      </c>
      <c r="G25" s="55" t="n">
        <f aca="false">IF($E25="","",IFERROR(VLOOKUP($E25,Machine_List!$B:$C,2,0),""))</f>
        <v>46255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IF($A25="","",IF($I25&lt;&gt;"",$I25,MAX(ENG_Plan!$M25,IFERROR(LOOKUP(2,1/($E$3:INDIRECT("E"&amp;(ROW()-1))=$E25),$M$3:INDIRECT("M"&amp;(ROW()-1))),ENG_Plan!$M25))))</f>
        <v>46315.2394179894</v>
      </c>
      <c r="K25" s="4" t="n">
        <f aca="false">IF($A25="","",IFERROR(VLOOKUP(B25,CHOOSE(MATCH(C25,Settings!$L$4:$L$10,0),OPR_2P!$A$4:$I$18,SEG_6P!$A$4:$I$18,SOL_4P!$A$4:$I$18,RW_2P!$A$4:$I$18,RW2_4P!$A$4:$I$18,FLAP_4P!$A$4:$I$18,TUBE_4P!$A$4:$I$18),6,0),0))</f>
        <v>66</v>
      </c>
      <c r="L25" s="4" t="n">
        <f aca="false">IF($A25="","",K25*D25)</f>
        <v>132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46321.1322751323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S2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" t="str">
        <f aca="false">IF($A26="","",IFERROR(INDEX(Machine_List!$B$64:$B$71,MATCH("*"&amp;$B26&amp;"*",Machine_List!$J$64:$J$71,0)),"NO COMPATIBLE MACHINE"))</f>
        <v>VENT-MC-01</v>
      </c>
      <c r="F26" s="54" t="str">
        <f aca="false">IF($E26="","",IFERROR(VLOOKUP($E26,Machine_List!$B:$G,6,0),""))</f>
        <v>Contract Workman</v>
      </c>
      <c r="G26" s="55" t="n">
        <f aca="false">IF($E26="","",IFERROR(VLOOKUP($E26,Machine_List!$B:$C,2,0),""))</f>
        <v>46230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IF($A26="","",IF($I26&lt;&gt;"",$I26,MAX(ENG_Plan!$M26,IFERROR(LOOKUP(2,1/($E$3:INDIRECT("E"&amp;(ROW()-1))=$E26),$M$3:INDIRECT("M"&amp;(ROW()-1))),ENG_Plan!$M26))))</f>
        <v>46281.0694444444</v>
      </c>
      <c r="K26" s="4" t="n">
        <f aca="false">IF($A26="","",IFERROR(VLOOKUP(B26,CHOOSE(MATCH(C26,Settings!$L$4:$L$10,0),OPR_2P!$A$4:$I$18,SEG_6P!$A$4:$I$18,SOL_4P!$A$4:$I$18,RW_2P!$A$4:$I$18,RW2_4P!$A$4:$I$18,FLAP_4P!$A$4:$I$18,TUBE_4P!$A$4:$I$18),6,0),0))</f>
        <v>7</v>
      </c>
      <c r="L26" s="4" t="n">
        <f aca="false">IF($A26="","",K26*D26)</f>
        <v>14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46281.6944444444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S1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" t="str">
        <f aca="false">IF($A27="","",IFERROR(INDEX(Machine_List!$B$64:$B$71,MATCH("*"&amp;$B27&amp;"*",Machine_List!$J$64:$J$71,0)),"NO COMPATIBLE MACHINE"))</f>
        <v>VENT-MC-04</v>
      </c>
      <c r="F27" s="54" t="str">
        <f aca="false">IF($E27="","",IFERROR(VLOOKUP($E27,Machine_List!$B:$G,6,0),""))</f>
        <v>Contract Workman</v>
      </c>
      <c r="G27" s="55" t="n">
        <f aca="false">IF($E27="","",IFERROR(VLOOKUP($E27,Machine_List!$B:$C,2,0),""))</f>
        <v>46255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IF($A27="","",IF($I27&lt;&gt;"",$I27,MAX(ENG_Plan!$M27,IFERROR(LOOKUP(2,1/($E$3:INDIRECT("E"&amp;(ROW()-1))=$E27),$M$3:INDIRECT("M"&amp;(ROW()-1))),ENG_Plan!$M27))))</f>
        <v>46328.1064814815</v>
      </c>
      <c r="K27" s="4" t="n">
        <f aca="false">IF($A27="","",IFERROR(VLOOKUP(B27,CHOOSE(MATCH(C27,Settings!$L$4:$L$10,0),OPR_2P!$A$4:$I$18,SEG_6P!$A$4:$I$18,SOL_4P!$A$4:$I$18,RW_2P!$A$4:$I$18,RW2_4P!$A$4:$I$18,FLAP_4P!$A$4:$I$18,TUBE_4P!$A$4:$I$18),6,0),0))</f>
        <v>54</v>
      </c>
      <c r="L27" s="4" t="n">
        <f aca="false">IF($A27="","",K27*D27)</f>
        <v>216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46337.7493386243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S1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" t="str">
        <f aca="false">IF($A28="","",IFERROR(INDEX(Machine_List!$B$64:$B$71,MATCH("*"&amp;$B28&amp;"*",Machine_List!$J$64:$J$71,0)),"NO COMPATIBLE MACHINE"))</f>
        <v>VENT-MC-04</v>
      </c>
      <c r="F28" s="54" t="str">
        <f aca="false">IF($E28="","",IFERROR(VLOOKUP($E28,Machine_List!$B:$G,6,0),""))</f>
        <v>Contract Workman</v>
      </c>
      <c r="G28" s="55" t="n">
        <f aca="false">IF($E28="","",IFERROR(VLOOKUP($E28,Machine_List!$B:$C,2,0),""))</f>
        <v>46255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IF($A28="","",IF($I28&lt;&gt;"",$I28,MAX(ENG_Plan!$M28,IFERROR(LOOKUP(2,1/($E$3:INDIRECT("E"&amp;(ROW()-1))=$E28),$M$3:INDIRECT("M"&amp;(ROW()-1))),ENG_Plan!$M28))))</f>
        <v>46337.7493386243</v>
      </c>
      <c r="K28" s="4" t="n">
        <f aca="false">IF($A28="","",IFERROR(VLOOKUP(B28,CHOOSE(MATCH(C28,Settings!$L$4:$L$10,0),OPR_2P!$A$4:$I$18,SEG_6P!$A$4:$I$18,SOL_4P!$A$4:$I$18,RW_2P!$A$4:$I$18,RW2_4P!$A$4:$I$18,FLAP_4P!$A$4:$I$18,TUBE_4P!$A$4:$I$18),6,0),0))</f>
        <v>62</v>
      </c>
      <c r="L28" s="4" t="n">
        <f aca="false">IF($A28="","",K28*D28)</f>
        <v>124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46343.2850529101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" t="str">
        <f aca="false">IF($A29="","",IFERROR(INDEX(Machine_List!$B$64:$B$71,MATCH("*"&amp;$B29&amp;"*",Machine_List!$J$64:$J$71,0)),"NO COMPATIBLE MACHINE"))</f>
        <v>VENT-MC-04</v>
      </c>
      <c r="F29" s="54" t="str">
        <f aca="false">IF($E29="","",IFERROR(VLOOKUP($E29,Machine_List!$B:$G,6,0),""))</f>
        <v>Contract Workman</v>
      </c>
      <c r="G29" s="55" t="n">
        <f aca="false">IF($E29="","",IFERROR(VLOOKUP($E29,Machine_List!$B:$C,2,0),""))</f>
        <v>46255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IF($A29="","",IF($I29&lt;&gt;"",$I29,MAX(ENG_Plan!$M29,IFERROR(LOOKUP(2,1/($E$3:INDIRECT("E"&amp;(ROW()-1))=$E29),$M$3:INDIRECT("M"&amp;(ROW()-1))),ENG_Plan!$M29))))</f>
        <v>46343.2850529101</v>
      </c>
      <c r="K29" s="4" t="n">
        <f aca="false">IF($A29="","",IFERROR(VLOOKUP(B29,CHOOSE(MATCH(C29,Settings!$L$4:$L$10,0),OPR_2P!$A$4:$I$18,SEG_6P!$A$4:$I$18,SOL_4P!$A$4:$I$18,RW_2P!$A$4:$I$18,RW2_4P!$A$4:$I$18,FLAP_4P!$A$4:$I$18,TUBE_4P!$A$4:$I$18),6,0),0))</f>
        <v>62</v>
      </c>
      <c r="L29" s="4" t="n">
        <f aca="false">IF($A29="","",K29*D29)</f>
        <v>124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46348.8207671958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S1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" t="str">
        <f aca="false">IF($A30="","",IFERROR(INDEX(Machine_List!$B$64:$B$71,MATCH("*"&amp;$B30&amp;"*",Machine_List!$J$64:$J$71,0)),"NO COMPATIBLE MACHINE"))</f>
        <v>VENT-MC-01</v>
      </c>
      <c r="F30" s="54" t="str">
        <f aca="false">IF($E30="","",IFERROR(VLOOKUP($E30,Machine_List!$B:$G,6,0),""))</f>
        <v>Contract Workman</v>
      </c>
      <c r="G30" s="55" t="n">
        <f aca="false">IF($E30="","",IFERROR(VLOOKUP($E30,Machine_List!$B:$C,2,0),""))</f>
        <v>46230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IF($A30="","",IF($I30&lt;&gt;"",$I30,MAX(ENG_Plan!$M30,IFERROR(LOOKUP(2,1/($E$3:INDIRECT("E"&amp;(ROW()-1))=$E30),$M$3:INDIRECT("M"&amp;(ROW()-1))),ENG_Plan!$M30))))</f>
        <v>46307.1805555556</v>
      </c>
      <c r="K30" s="4" t="n">
        <f aca="false">IF($A30="","",IFERROR(VLOOKUP(B30,CHOOSE(MATCH(C30,Settings!$L$4:$L$10,0),OPR_2P!$A$4:$I$18,SEG_6P!$A$4:$I$18,SOL_4P!$A$4:$I$18,RW_2P!$A$4:$I$18,RW2_4P!$A$4:$I$18,FLAP_4P!$A$4:$I$18,TUBE_4P!$A$4:$I$18),6,0),0))</f>
        <v>7</v>
      </c>
      <c r="L30" s="4" t="n">
        <f aca="false">IF($A30="","",K30*D30)</f>
        <v>14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46307.8055555556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S1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" t="str">
        <f aca="false">IF($A31="","",IFERROR(INDEX(Machine_List!$B$64:$B$71,MATCH("*"&amp;$B31&amp;"*",Machine_List!$J$64:$J$71,0)),"NO COMPATIBLE MACHINE"))</f>
        <v>VENT-MC-04</v>
      </c>
      <c r="F31" s="54" t="str">
        <f aca="false">IF($E31="","",IFERROR(VLOOKUP($E31,Machine_List!$B:$G,6,0),""))</f>
        <v>Contract Workman</v>
      </c>
      <c r="G31" s="55" t="n">
        <f aca="false">IF($E31="","",IFERROR(VLOOKUP($E31,Machine_List!$B:$C,2,0),""))</f>
        <v>46255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IF($A31="","",IF($I31&lt;&gt;"",$I31,MAX(ENG_Plan!$M31,IFERROR(LOOKUP(2,1/($E$3:INDIRECT("E"&amp;(ROW()-1))=$E31),$M$3:INDIRECT("M"&amp;(ROW()-1))),ENG_Plan!$M31))))</f>
        <v>46348.8207671958</v>
      </c>
      <c r="K31" s="4" t="n">
        <f aca="false">IF($A31="","",IFERROR(VLOOKUP(B31,CHOOSE(MATCH(C31,Settings!$L$4:$L$10,0),OPR_2P!$A$4:$I$18,SEG_6P!$A$4:$I$18,SOL_4P!$A$4:$I$18,RW_2P!$A$4:$I$18,RW2_4P!$A$4:$I$18,FLAP_4P!$A$4:$I$18,TUBE_4P!$A$4:$I$18),6,0),0))</f>
        <v>48</v>
      </c>
      <c r="L31" s="4" t="n">
        <f aca="false">IF($A31="","",K31*D31)</f>
        <v>96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46353.1064814815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S2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" t="str">
        <f aca="false">IF($A32="","",IFERROR(INDEX(Machine_List!$B$64:$B$71,MATCH("*"&amp;$B32&amp;"*",Machine_List!$J$64:$J$71,0)),"NO COMPATIBLE MACHINE"))</f>
        <v>VENT-MC-01</v>
      </c>
      <c r="F32" s="54" t="str">
        <f aca="false">IF($E32="","",IFERROR(VLOOKUP($E32,Machine_List!$B:$G,6,0),""))</f>
        <v>Contract Workman</v>
      </c>
      <c r="G32" s="55" t="n">
        <f aca="false">IF($E32="","",IFERROR(VLOOKUP($E32,Machine_List!$B:$C,2,0),""))</f>
        <v>46230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IF($A32="","",IF($I32&lt;&gt;"",$I32,MAX(ENG_Plan!$M32,IFERROR(LOOKUP(2,1/($E$3:INDIRECT("E"&amp;(ROW()-1))=$E32),$M$3:INDIRECT("M"&amp;(ROW()-1))),ENG_Plan!$M32))))</f>
        <v>46337.9212962963</v>
      </c>
      <c r="K32" s="4" t="n">
        <f aca="false">IF($A32="","",IFERROR(VLOOKUP(B32,CHOOSE(MATCH(C32,Settings!$L$4:$L$10,0),OPR_2P!$A$4:$I$18,SEG_6P!$A$4:$I$18,SOL_4P!$A$4:$I$18,RW_2P!$A$4:$I$18,RW2_4P!$A$4:$I$18,FLAP_4P!$A$4:$I$18,TUBE_4P!$A$4:$I$18),6,0),0))</f>
        <v>32</v>
      </c>
      <c r="L32" s="4" t="n">
        <f aca="false">IF($A32="","",K32*D32)</f>
        <v>192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46346.4927248677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S1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" t="str">
        <f aca="false">IF($A33="","",IFERROR(INDEX(Machine_List!$B$64:$B$71,MATCH("*"&amp;$B33&amp;"*",Machine_List!$J$64:$J$71,0)),"NO COMPATIBLE MACHINE"))</f>
        <v>VENT-MC-01</v>
      </c>
      <c r="F33" s="54" t="str">
        <f aca="false">IF($E33="","",IFERROR(VLOOKUP($E33,Machine_List!$B:$G,6,0),""))</f>
        <v>Contract Workman</v>
      </c>
      <c r="G33" s="55" t="n">
        <f aca="false">IF($E33="","",IFERROR(VLOOKUP($E33,Machine_List!$B:$C,2,0),""))</f>
        <v>46230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IF($A33="","",IF($I33&lt;&gt;"",$I33,MAX(ENG_Plan!$M33,IFERROR(LOOKUP(2,1/($E$3:INDIRECT("E"&amp;(ROW()-1))=$E33),$M$3:INDIRECT("M"&amp;(ROW()-1))),ENG_Plan!$M33))))</f>
        <v>46346.4927248677</v>
      </c>
      <c r="K33" s="4" t="n">
        <f aca="false">IF($A33="","",IFERROR(VLOOKUP(B33,CHOOSE(MATCH(C33,Settings!$L$4:$L$10,0),OPR_2P!$A$4:$I$18,SEG_6P!$A$4:$I$18,SOL_4P!$A$4:$I$18,RW_2P!$A$4:$I$18,RW2_4P!$A$4:$I$18,FLAP_4P!$A$4:$I$18,TUBE_4P!$A$4:$I$18),6,0),0))</f>
        <v>2</v>
      </c>
      <c r="L33" s="4" t="n">
        <f aca="false">IF($A33="","",K33*D33)</f>
        <v>4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46346.6712962963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S1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" t="str">
        <f aca="false">IF($A34="","",IFERROR(INDEX(Machine_List!$B$64:$B$71,MATCH("*"&amp;$B34&amp;"*",Machine_List!$J$64:$J$71,0)),"NO COMPATIBLE MACHINE"))</f>
        <v>VENT-MC-04</v>
      </c>
      <c r="F34" s="54" t="str">
        <f aca="false">IF($E34="","",IFERROR(VLOOKUP($E34,Machine_List!$B:$G,6,0),""))</f>
        <v>Contract Workman</v>
      </c>
      <c r="G34" s="55" t="n">
        <f aca="false">IF($E34="","",IFERROR(VLOOKUP($E34,Machine_List!$B:$C,2,0),""))</f>
        <v>46255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IF($A34="","",IF($I34&lt;&gt;"",$I34,MAX(ENG_Plan!$M34,IFERROR(LOOKUP(2,1/($E$3:INDIRECT("E"&amp;(ROW()-1))=$E34),$M$3:INDIRECT("M"&amp;(ROW()-1))),ENG_Plan!$M34))))</f>
        <v>46353.1064814815</v>
      </c>
      <c r="K34" s="4" t="n">
        <f aca="false">IF($A34="","",IFERROR(VLOOKUP(B34,CHOOSE(MATCH(C34,Settings!$L$4:$L$10,0),OPR_2P!$A$4:$I$18,SEG_6P!$A$4:$I$18,SOL_4P!$A$4:$I$18,RW_2P!$A$4:$I$18,RW2_4P!$A$4:$I$18,FLAP_4P!$A$4:$I$18,TUBE_4P!$A$4:$I$18),6,0),0))</f>
        <v>53</v>
      </c>
      <c r="L34" s="4" t="n">
        <f aca="false">IF($A34="","",K34*D34)</f>
        <v>106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46357.8386243386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S2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" t="str">
        <f aca="false">IF($A35="","",IFERROR(INDEX(Machine_List!$B$64:$B$71,MATCH("*"&amp;$B35&amp;"*",Machine_List!$J$64:$J$71,0)),"NO COMPATIBLE MACHINE"))</f>
        <v>VENT-MC-01</v>
      </c>
      <c r="F35" s="54" t="str">
        <f aca="false">IF($E35="","",IFERROR(VLOOKUP($E35,Machine_List!$B:$G,6,0),""))</f>
        <v>Contract Workman</v>
      </c>
      <c r="G35" s="55" t="n">
        <f aca="false">IF($E35="","",IFERROR(VLOOKUP($E35,Machine_List!$B:$C,2,0),""))</f>
        <v>46230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IF($A35="","",IF($I35&lt;&gt;"",$I35,MAX(ENG_Plan!$M35,IFERROR(LOOKUP(2,1/($E$3:INDIRECT("E"&amp;(ROW()-1))=$E35),$M$3:INDIRECT("M"&amp;(ROW()-1))),ENG_Plan!$M35))))</f>
        <v>46346.6712962963</v>
      </c>
      <c r="K35" s="4" t="n">
        <f aca="false">IF($A35="","",IFERROR(VLOOKUP(B35,CHOOSE(MATCH(C35,Settings!$L$4:$L$10,0),OPR_2P!$A$4:$I$18,SEG_6P!$A$4:$I$18,SOL_4P!$A$4:$I$18,RW_2P!$A$4:$I$18,RW2_4P!$A$4:$I$18,FLAP_4P!$A$4:$I$18,TUBE_4P!$A$4:$I$18),6,0),0))</f>
        <v>23</v>
      </c>
      <c r="L35" s="4" t="n">
        <f aca="false">IF($A35="","",K35*D35)</f>
        <v>46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46348.7248677249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S1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" t="str">
        <f aca="false">IF($A36="","",IFERROR(INDEX(Machine_List!$B$64:$B$71,MATCH("*"&amp;$B36&amp;"*",Machine_List!$J$64:$J$71,0)),"NO COMPATIBLE MACHINE"))</f>
        <v>VENT-MC-04</v>
      </c>
      <c r="F36" s="54" t="str">
        <f aca="false">IF($E36="","",IFERROR(VLOOKUP($E36,Machine_List!$B:$G,6,0),""))</f>
        <v>Contract Workman</v>
      </c>
      <c r="G36" s="55" t="n">
        <f aca="false">IF($E36="","",IFERROR(VLOOKUP($E36,Machine_List!$B:$C,2,0),""))</f>
        <v>46255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IF($A36="","",IF($I36&lt;&gt;"",$I36,MAX(ENG_Plan!$M36,IFERROR(LOOKUP(2,1/($E$3:INDIRECT("E"&amp;(ROW()-1))=$E36),$M$3:INDIRECT("M"&amp;(ROW()-1))),ENG_Plan!$M36))))</f>
        <v>46361.3472222222</v>
      </c>
      <c r="K36" s="4" t="n">
        <f aca="false">IF($A36="","",IFERROR(VLOOKUP(B36,CHOOSE(MATCH(C36,Settings!$L$4:$L$10,0),OPR_2P!$A$4:$I$18,SEG_6P!$A$4:$I$18,SOL_4P!$A$4:$I$18,RW_2P!$A$4:$I$18,RW2_4P!$A$4:$I$18,FLAP_4P!$A$4:$I$18,TUBE_4P!$A$4:$I$18),6,0),0))</f>
        <v>90</v>
      </c>
      <c r="L36" s="4" t="n">
        <f aca="false">IF($A36="","",K36*D36)</f>
        <v>180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46369.3829365079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" t="str">
        <f aca="false">IF($A37="","",IFERROR(INDEX(Machine_List!$B$64:$B$71,MATCH("*"&amp;$B37&amp;"*",Machine_List!$J$64:$J$71,0)),"NO COMPATIBLE MACHINE"))</f>
        <v>VENT-MC-01</v>
      </c>
      <c r="F37" s="54" t="str">
        <f aca="false">IF($E37="","",IFERROR(VLOOKUP($E37,Machine_List!$B:$G,6,0),""))</f>
        <v>Contract Workman</v>
      </c>
      <c r="G37" s="55" t="n">
        <f aca="false">IF($E37="","",IFERROR(VLOOKUP($E37,Machine_List!$B:$C,2,0),""))</f>
        <v>46230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IF($A37="","",IF($I37&lt;&gt;"",$I37,MAX(ENG_Plan!$M37,IFERROR(LOOKUP(2,1/($E$3:INDIRECT("E"&amp;(ROW()-1))=$E37),$M$3:INDIRECT("M"&amp;(ROW()-1))),ENG_Plan!$M37))))</f>
        <v>46348.7248677249</v>
      </c>
      <c r="K37" s="4" t="n">
        <f aca="false">IF($A37="","",IFERROR(VLOOKUP(B37,CHOOSE(MATCH(C37,Settings!$L$4:$L$10,0),OPR_2P!$A$4:$I$18,SEG_6P!$A$4:$I$18,SOL_4P!$A$4:$I$18,RW_2P!$A$4:$I$18,RW2_4P!$A$4:$I$18,FLAP_4P!$A$4:$I$18,TUBE_4P!$A$4:$I$18),6,0),0))</f>
        <v>7</v>
      </c>
      <c r="L37" s="4" t="n">
        <f aca="false">IF($A37="","",K37*D37)</f>
        <v>14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46349.3498677249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S1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" t="str">
        <f aca="false">IF($A38="","",IFERROR(INDEX(Machine_List!$B$64:$B$71,MATCH("*"&amp;$B38&amp;"*",Machine_List!$J$64:$J$71,0)),"NO COMPATIBLE MACHINE"))</f>
        <v>VENT-MC-01</v>
      </c>
      <c r="F38" s="54" t="str">
        <f aca="false">IF($E38="","",IFERROR(VLOOKUP($E38,Machine_List!$B:$G,6,0),""))</f>
        <v>Contract Workman</v>
      </c>
      <c r="G38" s="55" t="n">
        <f aca="false">IF($E38="","",IFERROR(VLOOKUP($E38,Machine_List!$B:$C,2,0),""))</f>
        <v>46230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IF($A38="","",IF($I38&lt;&gt;"",$I38,MAX(ENG_Plan!$M38,IFERROR(LOOKUP(2,1/($E$3:INDIRECT("E"&amp;(ROW()-1))=$E38),$M$3:INDIRECT("M"&amp;(ROW()-1))),ENG_Plan!$M38))))</f>
        <v>46355.1435185185</v>
      </c>
      <c r="K38" s="4" t="n">
        <f aca="false">IF($A38="","",IFERROR(VLOOKUP(B38,CHOOSE(MATCH(C38,Settings!$L$4:$L$10,0),OPR_2P!$A$4:$I$18,SEG_6P!$A$4:$I$18,SOL_4P!$A$4:$I$18,RW_2P!$A$4:$I$18,RW2_4P!$A$4:$I$18,FLAP_4P!$A$4:$I$18,TUBE_4P!$A$4:$I$18),6,0),0))</f>
        <v>32</v>
      </c>
      <c r="L38" s="4" t="n">
        <f aca="false">IF($A38="","",K38*D38)</f>
        <v>64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46358.0006613757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S2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" t="str">
        <f aca="false">IF($A39="","",IFERROR(INDEX(Machine_List!$B$64:$B$71,MATCH("*"&amp;$B39&amp;"*",Machine_List!$J$64:$J$71,0)),"NO COMPATIBLE MACHINE"))</f>
        <v>VENT-MC-04</v>
      </c>
      <c r="F39" s="54" t="str">
        <f aca="false">IF($E39="","",IFERROR(VLOOKUP($E39,Machine_List!$B:$G,6,0),""))</f>
        <v>Contract Workman</v>
      </c>
      <c r="G39" s="55" t="n">
        <f aca="false">IF($E39="","",IFERROR(VLOOKUP($E39,Machine_List!$B:$C,2,0),""))</f>
        <v>46255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IF($A39="","",IF($I39&lt;&gt;"",$I39,MAX(ENG_Plan!$M39,IFERROR(LOOKUP(2,1/($E$3:INDIRECT("E"&amp;(ROW()-1))=$E39),$M$3:INDIRECT("M"&amp;(ROW()-1))),ENG_Plan!$M39))))</f>
        <v>46394.6805555556</v>
      </c>
      <c r="K39" s="4" t="n">
        <f aca="false">IF($A39="","",IFERROR(VLOOKUP(B39,CHOOSE(MATCH(C39,Settings!$L$4:$L$10,0),OPR_2P!$A$4:$I$18,SEG_6P!$A$4:$I$18,SOL_4P!$A$4:$I$18,RW_2P!$A$4:$I$18,RW2_4P!$A$4:$I$18,FLAP_4P!$A$4:$I$18,TUBE_4P!$A$4:$I$18),6,0),0))</f>
        <v>74</v>
      </c>
      <c r="L39" s="4" t="n">
        <f aca="false">IF($A39="","",K39*D39)</f>
        <v>296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46407.8948412698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S2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" t="str">
        <f aca="false">IF($A40="","",IFERROR(INDEX(Machine_List!$B$64:$B$71,MATCH("*"&amp;$B40&amp;"*",Machine_List!$J$64:$J$71,0)),"NO COMPATIBLE MACHINE"))</f>
        <v>VENT-MC-01</v>
      </c>
      <c r="F40" s="54" t="str">
        <f aca="false">IF($E40="","",IFERROR(VLOOKUP($E40,Machine_List!$B:$G,6,0),""))</f>
        <v>Contract Workman</v>
      </c>
      <c r="G40" s="55" t="n">
        <f aca="false">IF($E40="","",IFERROR(VLOOKUP($E40,Machine_List!$B:$C,2,0),""))</f>
        <v>46230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IF($A40="","",IF($I40&lt;&gt;"",$I40,MAX(ENG_Plan!$M40,IFERROR(LOOKUP(2,1/($E$3:INDIRECT("E"&amp;(ROW()-1))=$E40),$M$3:INDIRECT("M"&amp;(ROW()-1))),ENG_Plan!$M40))))</f>
        <v>46375.4212962963</v>
      </c>
      <c r="K40" s="4" t="n">
        <f aca="false">IF($A40="","",IFERROR(VLOOKUP(B40,CHOOSE(MATCH(C40,Settings!$L$4:$L$10,0),OPR_2P!$A$4:$I$18,SEG_6P!$A$4:$I$18,SOL_4P!$A$4:$I$18,RW_2P!$A$4:$I$18,RW2_4P!$A$4:$I$18,FLAP_4P!$A$4:$I$18,TUBE_4P!$A$4:$I$18),6,0),0))</f>
        <v>23</v>
      </c>
      <c r="L40" s="4" t="n">
        <f aca="false">IF($A40="","",K40*D40)</f>
        <v>46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46377.4748677249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S1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" t="str">
        <f aca="false">IF($A41="","",IFERROR(INDEX(Machine_List!$B$64:$B$71,MATCH("*"&amp;$B41&amp;"*",Machine_List!$J$64:$J$71,0)),"NO COMPATIBLE MACHINE"))</f>
        <v>VENT-MC-04</v>
      </c>
      <c r="F41" s="54" t="str">
        <f aca="false">IF($E41="","",IFERROR(VLOOKUP($E41,Machine_List!$B:$G,6,0),""))</f>
        <v>Contract Workman</v>
      </c>
      <c r="G41" s="55" t="n">
        <f aca="false">IF($E41="","",IFERROR(VLOOKUP($E41,Machine_List!$B:$C,2,0),""))</f>
        <v>46255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IF($A41="","",IF($I41&lt;&gt;"",$I41,MAX(ENG_Plan!$M41,IFERROR(LOOKUP(2,1/($E$3:INDIRECT("E"&amp;(ROW()-1))=$E41),$M$3:INDIRECT("M"&amp;(ROW()-1))),ENG_Plan!$M41))))</f>
        <v>46407.8948412698</v>
      </c>
      <c r="K41" s="4" t="n">
        <f aca="false">IF($A41="","",IFERROR(VLOOKUP(B41,CHOOSE(MATCH(C41,Settings!$L$4:$L$10,0),OPR_2P!$A$4:$I$18,SEG_6P!$A$4:$I$18,SOL_4P!$A$4:$I$18,RW_2P!$A$4:$I$18,RW2_4P!$A$4:$I$18,FLAP_4P!$A$4:$I$18,TUBE_4P!$A$4:$I$18),6,0),0))</f>
        <v>32</v>
      </c>
      <c r="L41" s="4" t="n">
        <f aca="false">IF($A41="","",K41*D41)</f>
        <v>64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46410.751984127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S1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" t="str">
        <f aca="false">IF($A42="","",IFERROR(INDEX(Machine_List!$B$64:$B$71,MATCH("*"&amp;$B42&amp;"*",Machine_List!$J$64:$J$71,0)),"NO COMPATIBLE MACHINE"))</f>
        <v>VENT-MC-04</v>
      </c>
      <c r="F42" s="54" t="str">
        <f aca="false">IF($E42="","",IFERROR(VLOOKUP($E42,Machine_List!$B:$G,6,0),""))</f>
        <v>Contract Workman</v>
      </c>
      <c r="G42" s="55" t="n">
        <f aca="false">IF($E42="","",IFERROR(VLOOKUP($E42,Machine_List!$B:$C,2,0),""))</f>
        <v>46255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IF($A42="","",IF($I42&lt;&gt;"",$I42,MAX(ENG_Plan!$M42,IFERROR(LOOKUP(2,1/($E$3:INDIRECT("E"&amp;(ROW()-1))=$E42),$M$3:INDIRECT("M"&amp;(ROW()-1))),ENG_Plan!$M42))))</f>
        <v>46410.751984127</v>
      </c>
      <c r="K42" s="4" t="n">
        <f aca="false">IF($A42="","",IFERROR(VLOOKUP(B42,CHOOSE(MATCH(C42,Settings!$L$4:$L$10,0),OPR_2P!$A$4:$I$18,SEG_6P!$A$4:$I$18,SOL_4P!$A$4:$I$18,RW_2P!$A$4:$I$18,RW2_4P!$A$4:$I$18,FLAP_4P!$A$4:$I$18,TUBE_4P!$A$4:$I$18),6,0),0))</f>
        <v>86</v>
      </c>
      <c r="L42" s="4" t="n">
        <f aca="false">IF($A42="","",K42*D42)</f>
        <v>172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46418.4305555556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S1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" t="str">
        <f aca="false">IF($A43="","",IFERROR(INDEX(Machine_List!$B$64:$B$71,MATCH("*"&amp;$B43&amp;"*",Machine_List!$J$64:$J$71,0)),"NO COMPATIBLE MACHINE"))</f>
        <v>VENT-MC-01</v>
      </c>
      <c r="F43" s="54" t="str">
        <f aca="false">IF($E43="","",IFERROR(VLOOKUP($E43,Machine_List!$B:$G,6,0),""))</f>
        <v>Contract Workman</v>
      </c>
      <c r="G43" s="55" t="n">
        <f aca="false">IF($E43="","",IFERROR(VLOOKUP($E43,Machine_List!$B:$C,2,0),""))</f>
        <v>46230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IF($A43="","",IF($I43&lt;&gt;"",$I43,MAX(ENG_Plan!$M43,IFERROR(LOOKUP(2,1/($E$3:INDIRECT("E"&amp;(ROW()-1))=$E43),$M$3:INDIRECT("M"&amp;(ROW()-1))),ENG_Plan!$M43))))</f>
        <v>46384.6805555556</v>
      </c>
      <c r="K43" s="4" t="n">
        <f aca="false">IF($A43="","",IFERROR(VLOOKUP(B43,CHOOSE(MATCH(C43,Settings!$L$4:$L$10,0),OPR_2P!$A$4:$I$18,SEG_6P!$A$4:$I$18,SOL_4P!$A$4:$I$18,RW_2P!$A$4:$I$18,RW2_4P!$A$4:$I$18,FLAP_4P!$A$4:$I$18,TUBE_4P!$A$4:$I$18),6,0),0))</f>
        <v>2</v>
      </c>
      <c r="L43" s="4" t="n">
        <f aca="false">IF($A43="","",K43*D43)</f>
        <v>4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46384.8591269841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S2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" t="str">
        <f aca="false">IF($A44="","",IFERROR(INDEX(Machine_List!$B$64:$B$71,MATCH("*"&amp;$B44&amp;"*",Machine_List!$J$64:$J$71,0)),"NO COMPATIBLE MACHINE"))</f>
        <v>VENT-MC-04</v>
      </c>
      <c r="F44" s="54" t="str">
        <f aca="false">IF($E44="","",IFERROR(VLOOKUP($E44,Machine_List!$B:$G,6,0),""))</f>
        <v>Contract Workman</v>
      </c>
      <c r="G44" s="55" t="n">
        <f aca="false">IF($E44="","",IFERROR(VLOOKUP($E44,Machine_List!$B:$C,2,0),""))</f>
        <v>46255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IF($A44="","",IF($I44&lt;&gt;"",$I44,MAX(ENG_Plan!$M44,IFERROR(LOOKUP(2,1/($E$3:INDIRECT("E"&amp;(ROW()-1))=$E44),$M$3:INDIRECT("M"&amp;(ROW()-1))),ENG_Plan!$M44))))</f>
        <v>46418.4305555556</v>
      </c>
      <c r="K44" s="4" t="n">
        <f aca="false">IF($A44="","",IFERROR(VLOOKUP(B44,CHOOSE(MATCH(C44,Settings!$L$4:$L$10,0),OPR_2P!$A$4:$I$18,SEG_6P!$A$4:$I$18,SOL_4P!$A$4:$I$18,RW_2P!$A$4:$I$18,RW2_4P!$A$4:$I$18,FLAP_4P!$A$4:$I$18,TUBE_4P!$A$4:$I$18),6,0),0))</f>
        <v>61</v>
      </c>
      <c r="L44" s="4" t="n">
        <f aca="false">IF($A44="","",K44*D44)</f>
        <v>122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46423.876984127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" t="str">
        <f aca="false">IF($A45="","",IFERROR(INDEX(Machine_List!$B$64:$B$71,MATCH("*"&amp;$B45&amp;"*",Machine_List!$J$64:$J$71,0)),"NO COMPATIBLE MACHINE"))</f>
        <v>VENT-MC-01</v>
      </c>
      <c r="F45" s="54" t="str">
        <f aca="false">IF($E45="","",IFERROR(VLOOKUP($E45,Machine_List!$B:$G,6,0),""))</f>
        <v>Contract Workman</v>
      </c>
      <c r="G45" s="55" t="n">
        <f aca="false">IF($E45="","",IFERROR(VLOOKUP($E45,Machine_List!$B:$C,2,0),""))</f>
        <v>46230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IF($A45="","",IF($I45&lt;&gt;"",$I45,MAX(ENG_Plan!$M45,IFERROR(LOOKUP(2,1/($E$3:INDIRECT("E"&amp;(ROW()-1))=$E45),$M$3:INDIRECT("M"&amp;(ROW()-1))),ENG_Plan!$M45))))</f>
        <v>46400.6064814815</v>
      </c>
      <c r="K45" s="4" t="n">
        <f aca="false">IF($A45="","",IFERROR(VLOOKUP(B45,CHOOSE(MATCH(C45,Settings!$L$4:$L$10,0),OPR_2P!$A$4:$I$18,SEG_6P!$A$4:$I$18,SOL_4P!$A$4:$I$18,RW_2P!$A$4:$I$18,RW2_4P!$A$4:$I$18,FLAP_4P!$A$4:$I$18,TUBE_4P!$A$4:$I$18),6,0),0))</f>
        <v>23</v>
      </c>
      <c r="L45" s="4" t="n">
        <f aca="false">IF($A45="","",K45*D45)</f>
        <v>46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46402.6600529101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S1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" t="str">
        <f aca="false">IF($A46="","",IFERROR(INDEX(Machine_List!$B$64:$B$71,MATCH("*"&amp;$B46&amp;"*",Machine_List!$J$64:$J$71,0)),"NO COMPATIBLE MACHINE"))</f>
        <v>VENT-MC-01</v>
      </c>
      <c r="F46" s="54" t="str">
        <f aca="false">IF($E46="","",IFERROR(VLOOKUP($E46,Machine_List!$B:$G,6,0),""))</f>
        <v>Contract Workman</v>
      </c>
      <c r="G46" s="55" t="n">
        <f aca="false">IF($E46="","",IFERROR(VLOOKUP($E46,Machine_List!$B:$C,2,0),""))</f>
        <v>46230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IF($A46="","",IF($I46&lt;&gt;"",$I46,MAX(ENG_Plan!$M46,IFERROR(LOOKUP(2,1/($E$3:INDIRECT("E"&amp;(ROW()-1))=$E46),$M$3:INDIRECT("M"&amp;(ROW()-1))),ENG_Plan!$M46))))</f>
        <v>46402.6600529101</v>
      </c>
      <c r="K46" s="4" t="n">
        <f aca="false">IF($A46="","",IFERROR(VLOOKUP(B46,CHOOSE(MATCH(C46,Settings!$L$4:$L$10,0),OPR_2P!$A$4:$I$18,SEG_6P!$A$4:$I$18,SOL_4P!$A$4:$I$18,RW_2P!$A$4:$I$18,RW2_4P!$A$4:$I$18,FLAP_4P!$A$4:$I$18,TUBE_4P!$A$4:$I$18),6,0),0))</f>
        <v>7</v>
      </c>
      <c r="L46" s="4" t="n">
        <f aca="false">IF($A46="","",K46*D46)</f>
        <v>14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46403.2850529101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S2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" t="str">
        <f aca="false">IF($A47="","",IFERROR(INDEX(Machine_List!$B$64:$B$71,MATCH("*"&amp;$B47&amp;"*",Machine_List!$J$64:$J$71,0)),"NO COMPATIBLE MACHINE"))</f>
        <v>VENT-MC-04</v>
      </c>
      <c r="F47" s="54" t="str">
        <f aca="false">IF($E47="","",IFERROR(VLOOKUP($E47,Machine_List!$B:$G,6,0),""))</f>
        <v>Contract Workman</v>
      </c>
      <c r="G47" s="55" t="n">
        <f aca="false">IF($E47="","",IFERROR(VLOOKUP($E47,Machine_List!$B:$C,2,0),""))</f>
        <v>46255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IF($A47="","",IF($I47&lt;&gt;"",$I47,MAX(ENG_Plan!$M47,IFERROR(LOOKUP(2,1/($E$3:INDIRECT("E"&amp;(ROW()-1))=$E47),$M$3:INDIRECT("M"&amp;(ROW()-1))),ENG_Plan!$M47))))</f>
        <v>46436.9953703704</v>
      </c>
      <c r="K47" s="4" t="n">
        <f aca="false">IF($A47="","",IFERROR(VLOOKUP(B47,CHOOSE(MATCH(C47,Settings!$L$4:$L$10,0),OPR_2P!$A$4:$I$18,SEG_6P!$A$4:$I$18,SOL_4P!$A$4:$I$18,RW_2P!$A$4:$I$18,RW2_4P!$A$4:$I$18,FLAP_4P!$A$4:$I$18,TUBE_4P!$A$4:$I$18),6,0),0))</f>
        <v>53</v>
      </c>
      <c r="L47" s="4" t="n">
        <f aca="false">IF($A47="","",K47*D47)</f>
        <v>212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46446.4596560847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S1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" t="str">
        <f aca="false">IF($A48="","",IFERROR(INDEX(Machine_List!$B$64:$B$71,MATCH("*"&amp;$B48&amp;"*",Machine_List!$J$64:$J$71,0)),"NO COMPATIBLE MACHINE"))</f>
        <v>VENT-MC-01</v>
      </c>
      <c r="F48" s="54" t="str">
        <f aca="false">IF($E48="","",IFERROR(VLOOKUP($E48,Machine_List!$B:$G,6,0),""))</f>
        <v>Contract Workman</v>
      </c>
      <c r="G48" s="55" t="n">
        <f aca="false">IF($E48="","",IFERROR(VLOOKUP($E48,Machine_List!$B:$C,2,0),""))</f>
        <v>46230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IF($A48="","",IF($I48&lt;&gt;"",$I48,MAX(ENG_Plan!$M48,IFERROR(LOOKUP(2,1/($E$3:INDIRECT("E"&amp;(ROW()-1))=$E48),$M$3:INDIRECT("M"&amp;(ROW()-1))),ENG_Plan!$M48))))</f>
        <v>46416.625</v>
      </c>
      <c r="K48" s="4" t="n">
        <f aca="false">IF($A48="","",IFERROR(VLOOKUP(B48,CHOOSE(MATCH(C48,Settings!$L$4:$L$10,0),OPR_2P!$A$4:$I$18,SEG_6P!$A$4:$I$18,SOL_4P!$A$4:$I$18,RW_2P!$A$4:$I$18,RW2_4P!$A$4:$I$18,FLAP_4P!$A$4:$I$18,TUBE_4P!$A$4:$I$18),6,0),0))</f>
        <v>2</v>
      </c>
      <c r="L48" s="4" t="n">
        <f aca="false">IF($A48="","",K48*D48)</f>
        <v>4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46416.8035714286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S1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" t="str">
        <f aca="false">IF($A49="","",IFERROR(INDEX(Machine_List!$B$64:$B$71,MATCH("*"&amp;$B49&amp;"*",Machine_List!$J$64:$J$71,0)),"NO COMPATIBLE MACHINE"))</f>
        <v>VENT-MC-04</v>
      </c>
      <c r="F49" s="54" t="str">
        <f aca="false">IF($E49="","",IFERROR(VLOOKUP($E49,Machine_List!$B:$G,6,0),""))</f>
        <v>Contract Workman</v>
      </c>
      <c r="G49" s="55" t="n">
        <f aca="false">IF($E49="","",IFERROR(VLOOKUP($E49,Machine_List!$B:$C,2,0),""))</f>
        <v>46255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IF($A49="","",IF($I49&lt;&gt;"",$I49,MAX(ENG_Plan!$M49,IFERROR(LOOKUP(2,1/($E$3:INDIRECT("E"&amp;(ROW()-1))=$E49),$M$3:INDIRECT("M"&amp;(ROW()-1))),ENG_Plan!$M49))))</f>
        <v>46446.4596560847</v>
      </c>
      <c r="K49" s="4" t="n">
        <f aca="false">IF($A49="","",IFERROR(VLOOKUP(B49,CHOOSE(MATCH(C49,Settings!$L$4:$L$10,0),OPR_2P!$A$4:$I$18,SEG_6P!$A$4:$I$18,SOL_4P!$A$4:$I$18,RW_2P!$A$4:$I$18,RW2_4P!$A$4:$I$18,FLAP_4P!$A$4:$I$18,TUBE_4P!$A$4:$I$18),6,0),0))</f>
        <v>38</v>
      </c>
      <c r="L49" s="4" t="n">
        <f aca="false">IF($A49="","",K49*D49)</f>
        <v>152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46453.2453703704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S2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" t="str">
        <f aca="false">IF($A50="","",IFERROR(INDEX(Machine_List!$B$64:$B$71,MATCH("*"&amp;$B50&amp;"*",Machine_List!$J$64:$J$71,0)),"NO COMPATIBLE MACHINE"))</f>
        <v>VENT-MC-04</v>
      </c>
      <c r="F50" s="54" t="str">
        <f aca="false">IF($E50="","",IFERROR(VLOOKUP($E50,Machine_List!$B:$G,6,0),""))</f>
        <v>Contract Workman</v>
      </c>
      <c r="G50" s="55" t="n">
        <f aca="false">IF($E50="","",IFERROR(VLOOKUP($E50,Machine_List!$B:$C,2,0),""))</f>
        <v>46255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IF($A50="","",IF($I50&lt;&gt;"",$I50,MAX(ENG_Plan!$M50,IFERROR(LOOKUP(2,1/($E$3:INDIRECT("E"&amp;(ROW()-1))=$E50),$M$3:INDIRECT("M"&amp;(ROW()-1))),ENG_Plan!$M50))))</f>
        <v>46457.3657407407</v>
      </c>
      <c r="K50" s="4" t="n">
        <f aca="false">IF($A50="","",IFERROR(VLOOKUP(B50,CHOOSE(MATCH(C50,Settings!$L$4:$L$10,0),OPR_2P!$A$4:$I$18,SEG_6P!$A$4:$I$18,SOL_4P!$A$4:$I$18,RW_2P!$A$4:$I$18,RW2_4P!$A$4:$I$18,FLAP_4P!$A$4:$I$18,TUBE_4P!$A$4:$I$18),6,0),0))</f>
        <v>38</v>
      </c>
      <c r="L50" s="4" t="n">
        <f aca="false">IF($A50="","",K50*D50)</f>
        <v>152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46464.1514550265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S2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" t="str">
        <f aca="false">IF($A51="","",IFERROR(INDEX(Machine_List!$B$64:$B$71,MATCH("*"&amp;$B51&amp;"*",Machine_List!$J$64:$J$71,0)),"NO COMPATIBLE MACHINE"))</f>
        <v>VENT-MC-01</v>
      </c>
      <c r="F51" s="54" t="str">
        <f aca="false">IF($E51="","",IFERROR(VLOOKUP($E51,Machine_List!$B:$G,6,0),""))</f>
        <v>Contract Workman</v>
      </c>
      <c r="G51" s="55" t="n">
        <f aca="false">IF($E51="","",IFERROR(VLOOKUP($E51,Machine_List!$B:$C,2,0),""))</f>
        <v>46230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IF($A51="","",IF($I51&lt;&gt;"",$I51,MAX(ENG_Plan!$M51,IFERROR(LOOKUP(2,1/($E$3:INDIRECT("E"&amp;(ROW()-1))=$E51),$M$3:INDIRECT("M"&amp;(ROW()-1))),ENG_Plan!$M51))))</f>
        <v>46462.9212962963</v>
      </c>
      <c r="K51" s="4" t="n">
        <f aca="false">IF($A51="","",IFERROR(VLOOKUP(B51,CHOOSE(MATCH(C51,Settings!$L$4:$L$10,0),OPR_2P!$A$4:$I$18,SEG_6P!$A$4:$I$18,SOL_4P!$A$4:$I$18,RW_2P!$A$4:$I$18,RW2_4P!$A$4:$I$18,FLAP_4P!$A$4:$I$18,TUBE_4P!$A$4:$I$18),6,0),0))</f>
        <v>20</v>
      </c>
      <c r="L51" s="4" t="n">
        <f aca="false">IF($A51="","",K51*D51)</f>
        <v>80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46466.4927248677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" t="str">
        <f aca="false">IF($A52="","",IFERROR(INDEX(Machine_List!$B$64:$B$71,MATCH("*"&amp;$B52&amp;"*",Machine_List!$J$64:$J$71,0)),"NO COMPATIBLE MACHINE"))</f>
        <v>VENT-MC-04</v>
      </c>
      <c r="F52" s="54" t="str">
        <f aca="false">IF($E52="","",IFERROR(VLOOKUP($E52,Machine_List!$B:$G,6,0),""))</f>
        <v>Contract Workman</v>
      </c>
      <c r="G52" s="55" t="n">
        <f aca="false">IF($E52="","",IFERROR(VLOOKUP($E52,Machine_List!$B:$C,2,0),""))</f>
        <v>46255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IF($A52="","",IF($I52&lt;&gt;"",$I52,MAX(ENG_Plan!$M52,IFERROR(LOOKUP(2,1/($E$3:INDIRECT("E"&amp;(ROW()-1))=$E52),$M$3:INDIRECT("M"&amp;(ROW()-1))),ENG_Plan!$M52))))</f>
        <v>46466.162037037</v>
      </c>
      <c r="K52" s="4" t="n">
        <f aca="false">IF($A52="","",IFERROR(VLOOKUP(B52,CHOOSE(MATCH(C52,Settings!$L$4:$L$10,0),OPR_2P!$A$4:$I$18,SEG_6P!$A$4:$I$18,SOL_4P!$A$4:$I$18,RW_2P!$A$4:$I$18,RW2_4P!$A$4:$I$18,FLAP_4P!$A$4:$I$18,TUBE_4P!$A$4:$I$18),6,0),0))</f>
        <v>27</v>
      </c>
      <c r="L52" s="4" t="n">
        <f aca="false">IF($A52="","",K52*D52)</f>
        <v>54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46468.5727513228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S1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" t="str">
        <f aca="false">IF($A53="","",IFERROR(INDEX(Machine_List!$B$64:$B$71,MATCH("*"&amp;$B53&amp;"*",Machine_List!$J$64:$J$71,0)),"NO COMPATIBLE MACHINE"))</f>
        <v>VENT-MC-01</v>
      </c>
      <c r="F53" s="54" t="str">
        <f aca="false">IF($E53="","",IFERROR(VLOOKUP($E53,Machine_List!$B:$G,6,0),""))</f>
        <v>Contract Workman</v>
      </c>
      <c r="G53" s="55" t="n">
        <f aca="false">IF($E53="","",IFERROR(VLOOKUP($E53,Machine_List!$B:$C,2,0),""))</f>
        <v>46230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IF($A53="","",IF($I53&lt;&gt;"",$I53,MAX(ENG_Plan!$M53,IFERROR(LOOKUP(2,1/($E$3:INDIRECT("E"&amp;(ROW()-1))=$E53),$M$3:INDIRECT("M"&amp;(ROW()-1))),ENG_Plan!$M53))))</f>
        <v>46470.2361111111</v>
      </c>
      <c r="K53" s="4" t="n">
        <f aca="false">IF($A53="","",IFERROR(VLOOKUP(B53,CHOOSE(MATCH(C53,Settings!$L$4:$L$10,0),OPR_2P!$A$4:$I$18,SEG_6P!$A$4:$I$18,SOL_4P!$A$4:$I$18,RW_2P!$A$4:$I$18,RW2_4P!$A$4:$I$18,FLAP_4P!$A$4:$I$18,TUBE_4P!$A$4:$I$18),6,0),0))</f>
        <v>15</v>
      </c>
      <c r="L53" s="4" t="n">
        <f aca="false">IF($A53="","",K53*D53)</f>
        <v>60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46472.9146825397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S2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" t="str">
        <f aca="false">IF($A54="","",IFERROR(INDEX(Machine_List!$B$64:$B$71,MATCH("*"&amp;$B54&amp;"*",Machine_List!$J$64:$J$71,0)),"NO COMPATIBLE MACHINE"))</f>
        <v>VENT-MC-01</v>
      </c>
      <c r="F54" s="54" t="str">
        <f aca="false">IF($E54="","",IFERROR(VLOOKUP($E54,Machine_List!$B:$G,6,0),""))</f>
        <v>Contract Workman</v>
      </c>
      <c r="G54" s="55" t="n">
        <f aca="false">IF($E54="","",IFERROR(VLOOKUP($E54,Machine_List!$B:$C,2,0),""))</f>
        <v>46230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IF($A54="","",IF($I54&lt;&gt;"",$I54,MAX(ENG_Plan!$M54,IFERROR(LOOKUP(2,1/($E$3:INDIRECT("E"&amp;(ROW()-1))=$E54),$M$3:INDIRECT("M"&amp;(ROW()-1))),ENG_Plan!$M54))))</f>
        <v>46473.8472222222</v>
      </c>
      <c r="K54" s="4" t="n">
        <f aca="false">IF($A54="","",IFERROR(VLOOKUP(B54,CHOOSE(MATCH(C54,Settings!$L$4:$L$10,0),OPR_2P!$A$4:$I$18,SEG_6P!$A$4:$I$18,SOL_4P!$A$4:$I$18,RW_2P!$A$4:$I$18,RW2_4P!$A$4:$I$18,FLAP_4P!$A$4:$I$18,TUBE_4P!$A$4:$I$18),6,0),0))</f>
        <v>23</v>
      </c>
      <c r="L54" s="4" t="n">
        <f aca="false">IF($A54="","",K54*D54)</f>
        <v>46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46475.9007936508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S2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" t="str">
        <f aca="false">IF($A55="","",IFERROR(INDEX(Machine_List!$B$64:$B$71,MATCH("*"&amp;$B55&amp;"*",Machine_List!$J$64:$J$71,0)),"NO COMPATIBLE MACHINE"))</f>
        <v>VENT-MC-01</v>
      </c>
      <c r="F55" s="54" t="str">
        <f aca="false">IF($E55="","",IFERROR(VLOOKUP($E55,Machine_List!$B:$G,6,0),""))</f>
        <v>Contract Workman</v>
      </c>
      <c r="G55" s="55" t="n">
        <f aca="false">IF($E55="","",IFERROR(VLOOKUP($E55,Machine_List!$B:$C,2,0),""))</f>
        <v>46230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IF($A55="","",IF($I55&lt;&gt;"",$I55,MAX(ENG_Plan!$M55,IFERROR(LOOKUP(2,1/($E$3:INDIRECT("E"&amp;(ROW()-1))=$E55),$M$3:INDIRECT("M"&amp;(ROW()-1))),ENG_Plan!$M55))))</f>
        <v>46476.0694444444</v>
      </c>
      <c r="K55" s="4" t="n">
        <f aca="false">IF($A55="","",IFERROR(VLOOKUP(B55,CHOOSE(MATCH(C55,Settings!$L$4:$L$10,0),OPR_2P!$A$4:$I$18,SEG_6P!$A$4:$I$18,SOL_4P!$A$4:$I$18,RW_2P!$A$4:$I$18,RW2_4P!$A$4:$I$18,FLAP_4P!$A$4:$I$18,TUBE_4P!$A$4:$I$18),6,0),0))</f>
        <v>27</v>
      </c>
      <c r="L55" s="4" t="n">
        <f aca="false">IF($A55="","",K55*D55)</f>
        <v>54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46478.4801587302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S1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" t="str">
        <f aca="false">IF($A56="","",IFERROR(INDEX(Machine_List!$B$64:$B$71,MATCH("*"&amp;$B56&amp;"*",Machine_List!$J$64:$J$71,0)),"NO COMPATIBLE MACHINE"))</f>
        <v>VENT-MC-01</v>
      </c>
      <c r="F56" s="54" t="str">
        <f aca="false">IF($E56="","",IFERROR(VLOOKUP($E56,Machine_List!$B:$G,6,0),""))</f>
        <v>Contract Workman</v>
      </c>
      <c r="G56" s="55" t="n">
        <f aca="false">IF($E56="","",IFERROR(VLOOKUP($E56,Machine_List!$B:$C,2,0),""))</f>
        <v>46230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IF($A56="","",IF($I56&lt;&gt;"",$I56,MAX(ENG_Plan!$M56,IFERROR(LOOKUP(2,1/($E$3:INDIRECT("E"&amp;(ROW()-1))=$E56),$M$3:INDIRECT("M"&amp;(ROW()-1))),ENG_Plan!$M56))))</f>
        <v>46478.4801587302</v>
      </c>
      <c r="K56" s="4" t="n">
        <f aca="false">IF($A56="","",IFERROR(VLOOKUP(B56,CHOOSE(MATCH(C56,Settings!$L$4:$L$10,0),OPR_2P!$A$4:$I$18,SEG_6P!$A$4:$I$18,SOL_4P!$A$4:$I$18,RW_2P!$A$4:$I$18,RW2_4P!$A$4:$I$18,FLAP_4P!$A$4:$I$18,TUBE_4P!$A$4:$I$18),6,0),0))</f>
        <v>10</v>
      </c>
      <c r="L56" s="4" t="n">
        <f aca="false">IF($A56="","",K56*D56)</f>
        <v>20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46479.373015873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S1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" t="str">
        <f aca="false">IF($A57="","",IFERROR(INDEX(Machine_List!$B$64:$B$71,MATCH("*"&amp;$B57&amp;"*",Machine_List!$J$64:$J$71,0)),"NO COMPATIBLE MACHINE"))</f>
        <v>VENT-MC-04</v>
      </c>
      <c r="F57" s="54" t="str">
        <f aca="false">IF($E57="","",IFERROR(VLOOKUP($E57,Machine_List!$B:$G,6,0),""))</f>
        <v>Contract Workman</v>
      </c>
      <c r="G57" s="55" t="n">
        <f aca="false">IF($E57="","",IFERROR(VLOOKUP($E57,Machine_List!$B:$C,2,0),""))</f>
        <v>46255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IF($A57="","",IF($I57&lt;&gt;"",$I57,MAX(ENG_Plan!$M57,IFERROR(LOOKUP(2,1/($E$3:INDIRECT("E"&amp;(ROW()-1))=$E57),$M$3:INDIRECT("M"&amp;(ROW()-1))),ENG_Plan!$M57))))</f>
        <v>46498.4768518519</v>
      </c>
      <c r="K57" s="4" t="n">
        <f aca="false">IF($A57="","",IFERROR(VLOOKUP(B57,CHOOSE(MATCH(C57,Settings!$L$4:$L$10,0),OPR_2P!$A$4:$I$18,SEG_6P!$A$4:$I$18,SOL_4P!$A$4:$I$18,RW_2P!$A$4:$I$18,RW2_4P!$A$4:$I$18,FLAP_4P!$A$4:$I$18,TUBE_4P!$A$4:$I$18),6,0),0))</f>
        <v>32</v>
      </c>
      <c r="L57" s="4" t="n">
        <f aca="false">IF($A57="","",K57*D57)</f>
        <v>192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46507.0482804233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S2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" t="str">
        <f aca="false">IF($A58="","",IFERROR(INDEX(Machine_List!$B$64:$B$71,MATCH("*"&amp;$B58&amp;"*",Machine_List!$J$64:$J$71,0)),"NO COMPATIBLE MACHINE"))</f>
        <v>VENT-MC-04</v>
      </c>
      <c r="F58" s="54" t="str">
        <f aca="false">IF($E58="","",IFERROR(VLOOKUP($E58,Machine_List!$B:$G,6,0),""))</f>
        <v>Contract Workman</v>
      </c>
      <c r="G58" s="55" t="n">
        <f aca="false">IF($E58="","",IFERROR(VLOOKUP($E58,Machine_List!$B:$C,2,0),""))</f>
        <v>46255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IF($A58="","",IF($I58&lt;&gt;"",$I58,MAX(ENG_Plan!$M58,IFERROR(LOOKUP(2,1/($E$3:INDIRECT("E"&amp;(ROW()-1))=$E58),$M$3:INDIRECT("M"&amp;(ROW()-1))),ENG_Plan!$M58))))</f>
        <v>46507.0482804233</v>
      </c>
      <c r="K58" s="4" t="n">
        <f aca="false">IF($A58="","",IFERROR(VLOOKUP(B58,CHOOSE(MATCH(C58,Settings!$L$4:$L$10,0),OPR_2P!$A$4:$I$18,SEG_6P!$A$4:$I$18,SOL_4P!$A$4:$I$18,RW_2P!$A$4:$I$18,RW2_4P!$A$4:$I$18,FLAP_4P!$A$4:$I$18,TUBE_4P!$A$4:$I$18),6,0),0))</f>
        <v>27</v>
      </c>
      <c r="L58" s="4" t="n">
        <f aca="false">IF($A58="","",K58*D58)</f>
        <v>54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46509.458994709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S1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" t="str">
        <f aca="false">IF($A59="","",IFERROR(INDEX(Machine_List!$B$64:$B$71,MATCH("*"&amp;$B59&amp;"*",Machine_List!$J$64:$J$71,0)),"NO COMPATIBLE MACHINE"))</f>
        <v>VENT-MC-04</v>
      </c>
      <c r="F59" s="54" t="str">
        <f aca="false">IF($E59="","",IFERROR(VLOOKUP($E59,Machine_List!$B:$G,6,0),""))</f>
        <v>Contract Workman</v>
      </c>
      <c r="G59" s="55" t="n">
        <f aca="false">IF($E59="","",IFERROR(VLOOKUP($E59,Machine_List!$B:$C,2,0),""))</f>
        <v>46255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IF($A59="","",IF($I59&lt;&gt;"",$I59,MAX(ENG_Plan!$M59,IFERROR(LOOKUP(2,1/($E$3:INDIRECT("E"&amp;(ROW()-1))=$E59),$M$3:INDIRECT("M"&amp;(ROW()-1))),ENG_Plan!$M59))))</f>
        <v>46509.458994709</v>
      </c>
      <c r="K59" s="4" t="n">
        <f aca="false">IF($A59="","",IFERROR(VLOOKUP(B59,CHOOSE(MATCH(C59,Settings!$L$4:$L$10,0),OPR_2P!$A$4:$I$18,SEG_6P!$A$4:$I$18,SOL_4P!$A$4:$I$18,RW_2P!$A$4:$I$18,RW2_4P!$A$4:$I$18,FLAP_4P!$A$4:$I$18,TUBE_4P!$A$4:$I$18),6,0),0))</f>
        <v>57</v>
      </c>
      <c r="L59" s="4" t="n">
        <f aca="false">IF($A59="","",K59*D59)</f>
        <v>114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46514.5482804233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S1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" t="str">
        <f aca="false">IF($A60="","",IFERROR(INDEX(Machine_List!$B$64:$B$71,MATCH("*"&amp;$B60&amp;"*",Machine_List!$J$64:$J$71,0)),"NO COMPATIBLE MACHINE"))</f>
        <v>VENT-MC-04</v>
      </c>
      <c r="F60" s="54" t="str">
        <f aca="false">IF($E60="","",IFERROR(VLOOKUP($E60,Machine_List!$B:$G,6,0),""))</f>
        <v>Contract Workman</v>
      </c>
      <c r="G60" s="55" t="n">
        <f aca="false">IF($E60="","",IFERROR(VLOOKUP($E60,Machine_List!$B:$C,2,0),""))</f>
        <v>46255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IF($A60="","",IF($I60&lt;&gt;"",$I60,MAX(ENG_Plan!$M60,IFERROR(LOOKUP(2,1/($E$3:INDIRECT("E"&amp;(ROW()-1))=$E60),$M$3:INDIRECT("M"&amp;(ROW()-1))),ENG_Plan!$M60))))</f>
        <v>46546.5324074074</v>
      </c>
      <c r="K60" s="4" t="n">
        <f aca="false">IF($A60="","",IFERROR(VLOOKUP(B60,CHOOSE(MATCH(C60,Settings!$L$4:$L$10,0),OPR_2P!$A$4:$I$18,SEG_6P!$A$4:$I$18,SOL_4P!$A$4:$I$18,RW_2P!$A$4:$I$18,RW2_4P!$A$4:$I$18,FLAP_4P!$A$4:$I$18,TUBE_4P!$A$4:$I$18),6,0),0))</f>
        <v>53</v>
      </c>
      <c r="L60" s="4" t="n">
        <f aca="false">IF($A60="","",K60*D60)</f>
        <v>318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46560.7288359788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" t="str">
        <f aca="false">IF($A61="","",IFERROR(INDEX(Machine_List!$B$64:$B$71,MATCH("*"&amp;$B61&amp;"*",Machine_List!$J$64:$J$71,0)),"NO COMPATIBLE MACHINE"))</f>
        <v>VENT-MC-04</v>
      </c>
      <c r="F61" s="54" t="str">
        <f aca="false">IF($E61="","",IFERROR(VLOOKUP($E61,Machine_List!$B:$G,6,0),""))</f>
        <v>Contract Workman</v>
      </c>
      <c r="G61" s="55" t="n">
        <f aca="false">IF($E61="","",IFERROR(VLOOKUP($E61,Machine_List!$B:$C,2,0),""))</f>
        <v>46255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IF($A61="","",IF($I61&lt;&gt;"",$I61,MAX(ENG_Plan!$M61,IFERROR(LOOKUP(2,1/($E$3:INDIRECT("E"&amp;(ROW()-1))=$E61),$M$3:INDIRECT("M"&amp;(ROW()-1))),ENG_Plan!$M61))))</f>
        <v>46560.7288359788</v>
      </c>
      <c r="K61" s="4" t="n">
        <f aca="false">IF($A61="","",IFERROR(VLOOKUP(B61,CHOOSE(MATCH(C61,Settings!$L$4:$L$10,0),OPR_2P!$A$4:$I$18,SEG_6P!$A$4:$I$18,SOL_4P!$A$4:$I$18,RW_2P!$A$4:$I$18,RW2_4P!$A$4:$I$18,FLAP_4P!$A$4:$I$18,TUBE_4P!$A$4:$I$18),6,0),0))</f>
        <v>86</v>
      </c>
      <c r="L61" s="4" t="n">
        <f aca="false">IF($A61="","",K61*D61)</f>
        <v>172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46568.4074074074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S1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" t="str">
        <f aca="false">IF($A62="","",IFERROR(INDEX(Machine_List!$B$64:$B$71,MATCH("*"&amp;$B62&amp;"*",Machine_List!$J$64:$J$71,0)),"NO COMPATIBLE MACHINE"))</f>
        <v>VENT-MC-01</v>
      </c>
      <c r="F62" s="54" t="str">
        <f aca="false">IF($E62="","",IFERROR(VLOOKUP($E62,Machine_List!$B:$G,6,0),""))</f>
        <v>Contract Workman</v>
      </c>
      <c r="G62" s="55" t="n">
        <f aca="false">IF($E62="","",IFERROR(VLOOKUP($E62,Machine_List!$B:$C,2,0),""))</f>
        <v>46230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IF($A62="","",IF($I62&lt;&gt;"",$I62,MAX(ENG_Plan!$M62,IFERROR(LOOKUP(2,1/($E$3:INDIRECT("E"&amp;(ROW()-1))=$E62),$M$3:INDIRECT("M"&amp;(ROW()-1))),ENG_Plan!$M62))))</f>
        <v>46524.8657407407</v>
      </c>
      <c r="K62" s="4" t="n">
        <f aca="false">IF($A62="","",IFERROR(VLOOKUP(B62,CHOOSE(MATCH(C62,Settings!$L$4:$L$10,0),OPR_2P!$A$4:$I$18,SEG_6P!$A$4:$I$18,SOL_4P!$A$4:$I$18,RW_2P!$A$4:$I$18,RW2_4P!$A$4:$I$18,FLAP_4P!$A$4:$I$18,TUBE_4P!$A$4:$I$18),6,0),0))</f>
        <v>5</v>
      </c>
      <c r="L62" s="4" t="n">
        <f aca="false">IF($A62="","",K62*D62)</f>
        <v>30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46526.205026455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S2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" t="str">
        <f aca="false">IF($A63="","",IFERROR(INDEX(Machine_List!$B$64:$B$71,MATCH("*"&amp;$B63&amp;"*",Machine_List!$J$64:$J$71,0)),"NO COMPATIBLE MACHINE"))</f>
        <v>VENT-MC-04</v>
      </c>
      <c r="F63" s="54" t="str">
        <f aca="false">IF($E63="","",IFERROR(VLOOKUP($E63,Machine_List!$B:$G,6,0),""))</f>
        <v>Contract Workman</v>
      </c>
      <c r="G63" s="55" t="n">
        <f aca="false">IF($E63="","",IFERROR(VLOOKUP($E63,Machine_List!$B:$C,2,0),""))</f>
        <v>46255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IF($A63="","",IF($I63&lt;&gt;"",$I63,MAX(ENG_Plan!$M63,IFERROR(LOOKUP(2,1/($E$3:INDIRECT("E"&amp;(ROW()-1))=$E63),$M$3:INDIRECT("M"&amp;(ROW()-1))),ENG_Plan!$M63))))</f>
        <v>46568.4074074074</v>
      </c>
      <c r="K63" s="4" t="n">
        <f aca="false">IF($A63="","",IFERROR(VLOOKUP(B63,CHOOSE(MATCH(C63,Settings!$L$4:$L$10,0),OPR_2P!$A$4:$I$18,SEG_6P!$A$4:$I$18,SOL_4P!$A$4:$I$18,RW_2P!$A$4:$I$18,RW2_4P!$A$4:$I$18,FLAP_4P!$A$4:$I$18,TUBE_4P!$A$4:$I$18),6,0),0))</f>
        <v>26</v>
      </c>
      <c r="L63" s="4" t="n">
        <f aca="false">IF($A63="","",K63*D63)</f>
        <v>156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46575.3716931217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S1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" t="str">
        <f aca="false">IF($A64="","",IFERROR(INDEX(Machine_List!$B$64:$B$71,MATCH("*"&amp;$B64&amp;"*",Machine_List!$J$64:$J$71,0)),"NO COMPATIBLE MACHINE"))</f>
        <v>VENT-MC-01</v>
      </c>
      <c r="F64" s="54" t="str">
        <f aca="false">IF($E64="","",IFERROR(VLOOKUP($E64,Machine_List!$B:$G,6,0),""))</f>
        <v>Contract Workman</v>
      </c>
      <c r="G64" s="55" t="n">
        <f aca="false">IF($E64="","",IFERROR(VLOOKUP($E64,Machine_List!$B:$C,2,0),""))</f>
        <v>46230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IF($A64="","",IF($I64&lt;&gt;"",$I64,MAX(ENG_Plan!$M64,IFERROR(LOOKUP(2,1/($E$3:INDIRECT("E"&amp;(ROW()-1))=$E64),$M$3:INDIRECT("M"&amp;(ROW()-1))),ENG_Plan!$M64))))</f>
        <v>46549.6805555556</v>
      </c>
      <c r="K64" s="4" t="n">
        <f aca="false">IF($A64="","",IFERROR(VLOOKUP(B64,CHOOSE(MATCH(C64,Settings!$L$4:$L$10,0),OPR_2P!$A$4:$I$18,SEG_6P!$A$4:$I$18,SOL_4P!$A$4:$I$18,RW_2P!$A$4:$I$18,RW2_4P!$A$4:$I$18,FLAP_4P!$A$4:$I$18,TUBE_4P!$A$4:$I$18),6,0),0))</f>
        <v>5</v>
      </c>
      <c r="L64" s="4" t="n">
        <f aca="false">IF($A64="","",K64*D64)</f>
        <v>10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46550.126984127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S2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" t="str">
        <f aca="false">IF($A65="","",IFERROR(INDEX(Machine_List!$B$64:$B$71,MATCH("*"&amp;$B65&amp;"*",Machine_List!$J$64:$J$71,0)),"NO COMPATIBLE MACHINE"))</f>
        <v>VENT-MC-04</v>
      </c>
      <c r="F65" s="54" t="str">
        <f aca="false">IF($E65="","",IFERROR(VLOOKUP($E65,Machine_List!$B:$G,6,0),""))</f>
        <v>Contract Workman</v>
      </c>
      <c r="G65" s="55" t="n">
        <f aca="false">IF($E65="","",IFERROR(VLOOKUP($E65,Machine_List!$B:$C,2,0),""))</f>
        <v>46255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IF($A65="","",IF($I65&lt;&gt;"",$I65,MAX(ENG_Plan!$M65,IFERROR(LOOKUP(2,1/($E$3:INDIRECT("E"&amp;(ROW()-1))=$E65),$M$3:INDIRECT("M"&amp;(ROW()-1))),ENG_Plan!$M65))))</f>
        <v>46595.3287037037</v>
      </c>
      <c r="K65" s="4" t="n">
        <f aca="false">IF($A65="","",IFERROR(VLOOKUP(B65,CHOOSE(MATCH(C65,Settings!$L$4:$L$10,0),OPR_2P!$A$4:$I$18,SEG_6P!$A$4:$I$18,SOL_4P!$A$4:$I$18,RW_2P!$A$4:$I$18,RW2_4P!$A$4:$I$18,FLAP_4P!$A$4:$I$18,TUBE_4P!$A$4:$I$18),6,0),0))</f>
        <v>86</v>
      </c>
      <c r="L65" s="4" t="n">
        <f aca="false">IF($A65="","",K65*D65)</f>
        <v>344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46610.6858465608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" t="str">
        <f aca="false">IF($A66="","",IFERROR(INDEX(Machine_List!$B$64:$B$71,MATCH("*"&amp;$B66&amp;"*",Machine_List!$J$64:$J$71,0)),"NO COMPATIBLE MACHINE"))</f>
        <v>VENT-MC-04</v>
      </c>
      <c r="F66" s="54" t="str">
        <f aca="false">IF($E66="","",IFERROR(VLOOKUP($E66,Machine_List!$B:$G,6,0),""))</f>
        <v>Contract Workman</v>
      </c>
      <c r="G66" s="55" t="n">
        <f aca="false">IF($E66="","",IFERROR(VLOOKUP($E66,Machine_List!$B:$C,2,0),""))</f>
        <v>46255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IF($A66="","",IF($I66&lt;&gt;"",$I66,MAX(ENG_Plan!$M66,IFERROR(LOOKUP(2,1/($E$3:INDIRECT("E"&amp;(ROW()-1))=$E66),$M$3:INDIRECT("M"&amp;(ROW()-1))),ENG_Plan!$M66))))</f>
        <v>46610.6858465608</v>
      </c>
      <c r="K66" s="4" t="n">
        <f aca="false">IF($A66="","",IFERROR(VLOOKUP(B66,CHOOSE(MATCH(C66,Settings!$L$4:$L$10,0),OPR_2P!$A$4:$I$18,SEG_6P!$A$4:$I$18,SOL_4P!$A$4:$I$18,RW_2P!$A$4:$I$18,RW2_4P!$A$4:$I$18,FLAP_4P!$A$4:$I$18,TUBE_4P!$A$4:$I$18),6,0),0))</f>
        <v>37</v>
      </c>
      <c r="L66" s="4" t="n">
        <f aca="false">IF($A66="","",K66*D66)</f>
        <v>148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46617.292989418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" t="str">
        <f aca="false">IF($A67="","",IFERROR(INDEX(Machine_List!$B$64:$B$71,MATCH("*"&amp;$B67&amp;"*",Machine_List!$J$64:$J$71,0)),"NO COMPATIBLE MACHINE"))</f>
        <v>VENT-MC-01</v>
      </c>
      <c r="F67" s="54" t="str">
        <f aca="false">IF($E67="","",IFERROR(VLOOKUP($E67,Machine_List!$B:$G,6,0),""))</f>
        <v>Contract Workman</v>
      </c>
      <c r="G67" s="55" t="n">
        <f aca="false">IF($E67="","",IFERROR(VLOOKUP($E67,Machine_List!$B:$C,2,0),""))</f>
        <v>46230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IF($A67="","",IF($I67&lt;&gt;"",$I67,MAX(ENG_Plan!$M67,IFERROR(LOOKUP(2,1/($E$3:INDIRECT("E"&amp;(ROW()-1))=$E67),$M$3:INDIRECT("M"&amp;(ROW()-1))),ENG_Plan!$M67))))</f>
        <v>46573.662037037</v>
      </c>
      <c r="K67" s="4" t="n">
        <f aca="false">IF($A67="","",IFERROR(VLOOKUP(B67,CHOOSE(MATCH(C67,Settings!$L$4:$L$10,0),OPR_2P!$A$4:$I$18,SEG_6P!$A$4:$I$18,SOL_4P!$A$4:$I$18,RW_2P!$A$4:$I$18,RW2_4P!$A$4:$I$18,FLAP_4P!$A$4:$I$18,TUBE_4P!$A$4:$I$18),6,0),0))</f>
        <v>18</v>
      </c>
      <c r="L67" s="4" t="n">
        <f aca="false">IF($A67="","",K67*D67)</f>
        <v>36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46575.2691798942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S2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" t="str">
        <f aca="false">IF($A68="","",IFERROR(INDEX(Machine_List!$B$64:$B$71,MATCH("*"&amp;$B68&amp;"*",Machine_List!$J$64:$J$71,0)),"NO COMPATIBLE MACHINE"))</f>
        <v>VENT-MC-01</v>
      </c>
      <c r="F68" s="54" t="str">
        <f aca="false">IF($E68="","",IFERROR(VLOOKUP($E68,Machine_List!$B:$G,6,0),""))</f>
        <v>Contract Workman</v>
      </c>
      <c r="G68" s="55" t="n">
        <f aca="false">IF($E68="","",IFERROR(VLOOKUP($E68,Machine_List!$B:$C,2,0),""))</f>
        <v>46230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IF($A68="","",IF($I68&lt;&gt;"",$I68,MAX(ENG_Plan!$M68,IFERROR(LOOKUP(2,1/($E$3:INDIRECT("E"&amp;(ROW()-1))=$E68),$M$3:INDIRECT("M"&amp;(ROW()-1))),ENG_Plan!$M68))))</f>
        <v>46575.6990740741</v>
      </c>
      <c r="K68" s="4" t="n">
        <f aca="false">IF($A68="","",IFERROR(VLOOKUP(B68,CHOOSE(MATCH(C68,Settings!$L$4:$L$10,0),OPR_2P!$A$4:$I$18,SEG_6P!$A$4:$I$18,SOL_4P!$A$4:$I$18,RW_2P!$A$4:$I$18,RW2_4P!$A$4:$I$18,FLAP_4P!$A$4:$I$18,TUBE_4P!$A$4:$I$18),6,0),0))</f>
        <v>19</v>
      </c>
      <c r="L68" s="4" t="n">
        <f aca="false">IF($A68="","",K68*D68)</f>
        <v>38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46577.3955026455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S1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" t="str">
        <f aca="false">IF($A69="","",IFERROR(INDEX(Machine_List!$B$64:$B$71,MATCH("*"&amp;$B69&amp;"*",Machine_List!$J$64:$J$71,0)),"NO COMPATIBLE MACHINE"))</f>
        <v>VENT-MC-04</v>
      </c>
      <c r="F69" s="54" t="str">
        <f aca="false">IF($E69="","",IFERROR(VLOOKUP($E69,Machine_List!$B:$G,6,0),""))</f>
        <v>Contract Workman</v>
      </c>
      <c r="G69" s="55" t="n">
        <f aca="false">IF($E69="","",IFERROR(VLOOKUP($E69,Machine_List!$B:$C,2,0),""))</f>
        <v>46255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IF($A69="","",IF($I69&lt;&gt;"",$I69,MAX(ENG_Plan!$M69,IFERROR(LOOKUP(2,1/($E$3:INDIRECT("E"&amp;(ROW()-1))=$E69),$M$3:INDIRECT("M"&amp;(ROW()-1))),ENG_Plan!$M69))))</f>
        <v>46617.292989418</v>
      </c>
      <c r="K69" s="4" t="n">
        <f aca="false">IF($A69="","",IFERROR(VLOOKUP(B69,CHOOSE(MATCH(C69,Settings!$L$4:$L$10,0),OPR_2P!$A$4:$I$18,SEG_6P!$A$4:$I$18,SOL_4P!$A$4:$I$18,RW_2P!$A$4:$I$18,RW2_4P!$A$4:$I$18,FLAP_4P!$A$4:$I$18,TUBE_4P!$A$4:$I$18),6,0),0))</f>
        <v>57</v>
      </c>
      <c r="L69" s="4" t="n">
        <f aca="false">IF($A69="","",K69*D69)</f>
        <v>114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46622.3822751323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S1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" t="str">
        <f aca="false">IF($A70="","",IFERROR(INDEX(Machine_List!$B$64:$B$71,MATCH("*"&amp;$B70&amp;"*",Machine_List!$J$64:$J$71,0)),"NO COMPATIBLE MACHINE"))</f>
        <v>VENT-MC-04</v>
      </c>
      <c r="F70" s="54" t="str">
        <f aca="false">IF($E70="","",IFERROR(VLOOKUP($E70,Machine_List!$B:$G,6,0),""))</f>
        <v>Contract Workman</v>
      </c>
      <c r="G70" s="55" t="n">
        <f aca="false">IF($E70="","",IFERROR(VLOOKUP($E70,Machine_List!$B:$C,2,0),""))</f>
        <v>46255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IF($A70="","",IF($I70&lt;&gt;"",$I70,MAX(ENG_Plan!$M70,IFERROR(LOOKUP(2,1/($E$3:INDIRECT("E"&amp;(ROW()-1))=$E70),$M$3:INDIRECT("M"&amp;(ROW()-1))),ENG_Plan!$M70))))</f>
        <v>46622.3822751323</v>
      </c>
      <c r="K70" s="4" t="n">
        <f aca="false">IF($A70="","",IFERROR(VLOOKUP(B70,CHOOSE(MATCH(C70,Settings!$L$4:$L$10,0),OPR_2P!$A$4:$I$18,SEG_6P!$A$4:$I$18,SOL_4P!$A$4:$I$18,RW_2P!$A$4:$I$18,RW2_4P!$A$4:$I$18,FLAP_4P!$A$4:$I$18,TUBE_4P!$A$4:$I$18),6,0),0))</f>
        <v>53</v>
      </c>
      <c r="L70" s="4" t="n">
        <f aca="false">IF($A70="","",K70*D70)</f>
        <v>212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46631.8465608466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S2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" t="str">
        <f aca="false">IF($A71="","",IFERROR(INDEX(Machine_List!$B$64:$B$71,MATCH("*"&amp;$B71&amp;"*",Machine_List!$J$64:$J$71,0)),"NO COMPATIBLE MACHINE"))</f>
        <v>VENT-MC-01</v>
      </c>
      <c r="F71" s="54" t="str">
        <f aca="false">IF($E71="","",IFERROR(VLOOKUP($E71,Machine_List!$B:$G,6,0),""))</f>
        <v>Contract Workman</v>
      </c>
      <c r="G71" s="55" t="n">
        <f aca="false">IF($E71="","",IFERROR(VLOOKUP($E71,Machine_List!$B:$C,2,0),""))</f>
        <v>46230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IF($A71="","",IF($I71&lt;&gt;"",$I71,MAX(ENG_Plan!$M71,IFERROR(LOOKUP(2,1/($E$3:INDIRECT("E"&amp;(ROW()-1))=$E71),$M$3:INDIRECT("M"&amp;(ROW()-1))),ENG_Plan!$M71))))</f>
        <v>46606.9953703704</v>
      </c>
      <c r="K71" s="4" t="n">
        <f aca="false">IF($A71="","",IFERROR(VLOOKUP(B71,CHOOSE(MATCH(C71,Settings!$L$4:$L$10,0),OPR_2P!$A$4:$I$18,SEG_6P!$A$4:$I$18,SOL_4P!$A$4:$I$18,RW_2P!$A$4:$I$18,RW2_4P!$A$4:$I$18,FLAP_4P!$A$4:$I$18,TUBE_4P!$A$4:$I$18),6,0),0))</f>
        <v>15</v>
      </c>
      <c r="L71" s="4" t="n">
        <f aca="false">IF($A71="","",K71*D71)</f>
        <v>60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46609.6739417989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S1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" t="str">
        <f aca="false">IF($A72="","",IFERROR(INDEX(Machine_List!$B$64:$B$71,MATCH("*"&amp;$B72&amp;"*",Machine_List!$J$64:$J$71,0)),"NO COMPATIBLE MACHINE"))</f>
        <v>VENT-MC-01</v>
      </c>
      <c r="F72" s="54" t="str">
        <f aca="false">IF($E72="","",IFERROR(VLOOKUP($E72,Machine_List!$B:$G,6,0),""))</f>
        <v>Contract Workman</v>
      </c>
      <c r="G72" s="55" t="n">
        <f aca="false">IF($E72="","",IFERROR(VLOOKUP($E72,Machine_List!$B:$C,2,0),""))</f>
        <v>46230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IF($A72="","",IF($I72&lt;&gt;"",$I72,MAX(ENG_Plan!$M72,IFERROR(LOOKUP(2,1/($E$3:INDIRECT("E"&amp;(ROW()-1))=$E72),$M$3:INDIRECT("M"&amp;(ROW()-1))),ENG_Plan!$M72))))</f>
        <v>46609.6739417989</v>
      </c>
      <c r="K72" s="4" t="n">
        <f aca="false">IF($A72="","",IFERROR(VLOOKUP(B72,CHOOSE(MATCH(C72,Settings!$L$4:$L$10,0),OPR_2P!$A$4:$I$18,SEG_6P!$A$4:$I$18,SOL_4P!$A$4:$I$18,RW_2P!$A$4:$I$18,RW2_4P!$A$4:$I$18,FLAP_4P!$A$4:$I$18,TUBE_4P!$A$4:$I$18),6,0),0))</f>
        <v>16</v>
      </c>
      <c r="L72" s="4" t="n">
        <f aca="false">IF($A72="","",K72*D72)</f>
        <v>32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46611.1025132275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S2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" t="str">
        <f aca="false">IF($A73="","",IFERROR(INDEX(Machine_List!$B$64:$B$71,MATCH("*"&amp;$B73&amp;"*",Machine_List!$J$64:$J$71,0)),"NO COMPATIBLE MACHINE"))</f>
        <v>VENT-MC-01</v>
      </c>
      <c r="F73" s="54" t="str">
        <f aca="false">IF($E73="","",IFERROR(VLOOKUP($E73,Machine_List!$B:$G,6,0),""))</f>
        <v>Contract Workman</v>
      </c>
      <c r="G73" s="55" t="n">
        <f aca="false">IF($E73="","",IFERROR(VLOOKUP($E73,Machine_List!$B:$C,2,0),""))</f>
        <v>46230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IF($A73="","",IF($I73&lt;&gt;"",$I73,MAX(ENG_Plan!$M73,IFERROR(LOOKUP(2,1/($E$3:INDIRECT("E"&amp;(ROW()-1))=$E73),$M$3:INDIRECT("M"&amp;(ROW()-1))),ENG_Plan!$M73))))</f>
        <v>46619.125</v>
      </c>
      <c r="K73" s="4" t="n">
        <f aca="false">IF($A73="","",IFERROR(VLOOKUP(B73,CHOOSE(MATCH(C73,Settings!$L$4:$L$10,0),OPR_2P!$A$4:$I$18,SEG_6P!$A$4:$I$18,SOL_4P!$A$4:$I$18,RW_2P!$A$4:$I$18,RW2_4P!$A$4:$I$18,FLAP_4P!$A$4:$I$18,TUBE_4P!$A$4:$I$18),6,0),0))</f>
        <v>19</v>
      </c>
      <c r="L73" s="4" t="n">
        <f aca="false">IF($A73="","",K73*D73)</f>
        <v>114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46624.2142857143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S2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" t="str">
        <f aca="false">IF($A74="","",IFERROR(INDEX(Machine_List!$B$64:$B$71,MATCH("*"&amp;$B74&amp;"*",Machine_List!$J$64:$J$71,0)),"NO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IF($A74="","",IF($I74&lt;&gt;"",$I74,MAX(ENG_Plan!$M74,IFERROR(LOOKUP(2,1/($E$3:INDIRECT("E"&amp;(ROW()-1))=$E74),$M$3:INDIRECT("M"&amp;(ROW()-1))),ENG_Plan!$M74))))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IF($A74="","",IFERROR(VLOOKUP(B74,CHOOSE(MATCH(C74,Settings!$L$4:$L$10,0),OPR_2P!$A$4:$I$18,SEG_6P!$A$4:$I$18,SOL_4P!$A$4:$I$18,RW_2P!$A$4:$I$18,RW2_4P!$A$4:$I$18,FLAP_4P!$A$4:$I$18,TUBE_4P!$A$4:$I$18),6,0),0))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" t="str">
        <f aca="false">IF($A75="","",IFERROR(INDEX(Machine_List!$B$64:$B$71,MATCH("*"&amp;$B75&amp;"*",Machine_List!$J$64:$J$71,0)),"NO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IF($A75="","",IF($I75&lt;&gt;"",$I75,MAX(ENG_Plan!$M75,IFERROR(LOOKUP(2,1/($E$3:INDIRECT("E"&amp;(ROW()-1))=$E75),$M$3:INDIRECT("M"&amp;(ROW()-1))),ENG_Plan!$M75))))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IF($A75="","",IFERROR(VLOOKUP(B75,CHOOSE(MATCH(C75,Settings!$L$4:$L$10,0),OPR_2P!$A$4:$I$18,SEG_6P!$A$4:$I$18,SOL_4P!$A$4:$I$18,RW_2P!$A$4:$I$18,RW2_4P!$A$4:$I$18,FLAP_4P!$A$4:$I$18,TUBE_4P!$A$4:$I$18),6,0),0))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" t="str">
        <f aca="false">IF($A76="","",IFERROR(INDEX(Machine_List!$B$64:$B$71,MATCH("*"&amp;$B76&amp;"*",Machine_List!$J$64:$J$71,0)),"NO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IF($A76="","",IF($I76&lt;&gt;"",$I76,MAX(ENG_Plan!$M76,IFERROR(LOOKUP(2,1/($E$3:INDIRECT("E"&amp;(ROW()-1))=$E76),$M$3:INDIRECT("M"&amp;(ROW()-1))),ENG_Plan!$M76))))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IF($A76="","",IFERROR(VLOOKUP(B76,CHOOSE(MATCH(C76,Settings!$L$4:$L$10,0),OPR_2P!$A$4:$I$18,SEG_6P!$A$4:$I$18,SOL_4P!$A$4:$I$18,RW_2P!$A$4:$I$18,RW2_4P!$A$4:$I$18,FLAP_4P!$A$4:$I$18,TUBE_4P!$A$4:$I$18),6,0),0))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" t="str">
        <f aca="false">IF($A77="","",IFERROR(INDEX(Machine_List!$B$64:$B$71,MATCH("*"&amp;$B77&amp;"*",Machine_List!$J$64:$J$71,0)),"NO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IF($A77="","",IF($I77&lt;&gt;"",$I77,MAX(ENG_Plan!$M77,IFERROR(LOOKUP(2,1/($E$3:INDIRECT("E"&amp;(ROW()-1))=$E77),$M$3:INDIRECT("M"&amp;(ROW()-1))),ENG_Plan!$M77))))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IF($A77="","",IFERROR(VLOOKUP(B77,CHOOSE(MATCH(C77,Settings!$L$4:$L$10,0),OPR_2P!$A$4:$I$18,SEG_6P!$A$4:$I$18,SOL_4P!$A$4:$I$18,RW_2P!$A$4:$I$18,RW2_4P!$A$4:$I$18,FLAP_4P!$A$4:$I$18,TUBE_4P!$A$4:$I$18),6,0),0))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" t="str">
        <f aca="false">IF($A78="","",IFERROR(INDEX(Machine_List!$B$64:$B$71,MATCH("*"&amp;$B78&amp;"*",Machine_List!$J$64:$J$71,0)),"NO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IF($A78="","",IF($I78&lt;&gt;"",$I78,MAX(ENG_Plan!$M78,IFERROR(LOOKUP(2,1/($E$3:INDIRECT("E"&amp;(ROW()-1))=$E78),$M$3:INDIRECT("M"&amp;(ROW()-1))),ENG_Plan!$M78))))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IF($A78="","",IFERROR(VLOOKUP(B78,CHOOSE(MATCH(C78,Settings!$L$4:$L$10,0),OPR_2P!$A$4:$I$18,SEG_6P!$A$4:$I$18,SOL_4P!$A$4:$I$18,RW_2P!$A$4:$I$18,RW2_4P!$A$4:$I$18,FLAP_4P!$A$4:$I$18,TUBE_4P!$A$4:$I$18),6,0),0))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" t="str">
        <f aca="false">IF($A79="","",IFERROR(INDEX(Machine_List!$B$64:$B$71,MATCH("*"&amp;$B79&amp;"*",Machine_List!$J$64:$J$71,0)),"NO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IF($A79="","",IF($I79&lt;&gt;"",$I79,MAX(ENG_Plan!$M79,IFERROR(LOOKUP(2,1/($E$3:INDIRECT("E"&amp;(ROW()-1))=$E79),$M$3:INDIRECT("M"&amp;(ROW()-1))),ENG_Plan!$M79))))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IF($A79="","",IFERROR(VLOOKUP(B79,CHOOSE(MATCH(C79,Settings!$L$4:$L$10,0),OPR_2P!$A$4:$I$18,SEG_6P!$A$4:$I$18,SOL_4P!$A$4:$I$18,RW_2P!$A$4:$I$18,RW2_4P!$A$4:$I$18,FLAP_4P!$A$4:$I$18,TUBE_4P!$A$4:$I$18),6,0),0))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" t="str">
        <f aca="false">IF($A80="","",IFERROR(INDEX(Machine_List!$B$64:$B$71,MATCH("*"&amp;$B80&amp;"*",Machine_List!$J$64:$J$71,0)),"NO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IF($A80="","",IF($I80&lt;&gt;"",$I80,MAX(ENG_Plan!$M80,IFERROR(LOOKUP(2,1/($E$3:INDIRECT("E"&amp;(ROW()-1))=$E80),$M$3:INDIRECT("M"&amp;(ROW()-1))),ENG_Plan!$M80))))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IF($A80="","",IFERROR(VLOOKUP(B80,CHOOSE(MATCH(C80,Settings!$L$4:$L$10,0),OPR_2P!$A$4:$I$18,SEG_6P!$A$4:$I$18,SOL_4P!$A$4:$I$18,RW_2P!$A$4:$I$18,RW2_4P!$A$4:$I$18,FLAP_4P!$A$4:$I$18,TUBE_4P!$A$4:$I$18),6,0),0))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" t="str">
        <f aca="false">IF($A81="","",IFERROR(INDEX(Machine_List!$B$64:$B$71,MATCH("*"&amp;$B81&amp;"*",Machine_List!$J$64:$J$71,0)),"NO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IF($A81="","",IF($I81&lt;&gt;"",$I81,MAX(ENG_Plan!$M81,IFERROR(LOOKUP(2,1/($E$3:INDIRECT("E"&amp;(ROW()-1))=$E81),$M$3:INDIRECT("M"&amp;(ROW()-1))),ENG_Plan!$M81))))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IF($A81="","",IFERROR(VLOOKUP(B81,CHOOSE(MATCH(C81,Settings!$L$4:$L$10,0),OPR_2P!$A$4:$I$18,SEG_6P!$A$4:$I$18,SOL_4P!$A$4:$I$18,RW_2P!$A$4:$I$18,RW2_4P!$A$4:$I$18,FLAP_4P!$A$4:$I$18,TUBE_4P!$A$4:$I$18),6,0),0))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" t="str">
        <f aca="false">IF($A82="","",IFERROR(INDEX(Machine_List!$B$64:$B$71,MATCH("*"&amp;$B82&amp;"*",Machine_List!$J$64:$J$71,0)),"NO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IF($A82="","",IF($I82&lt;&gt;"",$I82,MAX(ENG_Plan!$M82,IFERROR(LOOKUP(2,1/($E$3:INDIRECT("E"&amp;(ROW()-1))=$E82),$M$3:INDIRECT("M"&amp;(ROW()-1))),ENG_Plan!$M82))))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IF($A82="","",IFERROR(VLOOKUP(B82,CHOOSE(MATCH(C82,Settings!$L$4:$L$10,0),OPR_2P!$A$4:$I$18,SEG_6P!$A$4:$I$18,SOL_4P!$A$4:$I$18,RW_2P!$A$4:$I$18,RW2_4P!$A$4:$I$18,FLAP_4P!$A$4:$I$18,TUBE_4P!$A$4:$I$18),6,0),0))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" t="str">
        <f aca="false">IF($A83="","",IFERROR(INDEX(Machine_List!$B$64:$B$71,MATCH("*"&amp;$B83&amp;"*",Machine_List!$J$64:$J$71,0)),"NO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IF($A83="","",IF($I83&lt;&gt;"",$I83,MAX(ENG_Plan!$M83,IFERROR(LOOKUP(2,1/($E$3:INDIRECT("E"&amp;(ROW()-1))=$E83),$M$3:INDIRECT("M"&amp;(ROW()-1))),ENG_Plan!$M83))))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IF($A83="","",IFERROR(VLOOKUP(B83,CHOOSE(MATCH(C83,Settings!$L$4:$L$10,0),OPR_2P!$A$4:$I$18,SEG_6P!$A$4:$I$18,SOL_4P!$A$4:$I$18,RW_2P!$A$4:$I$18,RW2_4P!$A$4:$I$18,FLAP_4P!$A$4:$I$18,TUBE_4P!$A$4:$I$18),6,0),0))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" t="str">
        <f aca="false">IF($A84="","",IFERROR(INDEX(Machine_List!$B$64:$B$71,MATCH("*"&amp;$B84&amp;"*",Machine_List!$J$64:$J$71,0)),"NO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IF($A84="","",IF($I84&lt;&gt;"",$I84,MAX(ENG_Plan!$M84,IFERROR(LOOKUP(2,1/($E$3:INDIRECT("E"&amp;(ROW()-1))=$E84),$M$3:INDIRECT("M"&amp;(ROW()-1))),ENG_Plan!$M84))))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IF($A84="","",IFERROR(VLOOKUP(B84,CHOOSE(MATCH(C84,Settings!$L$4:$L$10,0),OPR_2P!$A$4:$I$18,SEG_6P!$A$4:$I$18,SOL_4P!$A$4:$I$18,RW_2P!$A$4:$I$18,RW2_4P!$A$4:$I$18,FLAP_4P!$A$4:$I$18,TUBE_4P!$A$4:$I$18),6,0),0))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" t="str">
        <f aca="false">IF($A85="","",IFERROR(INDEX(Machine_List!$B$64:$B$71,MATCH("*"&amp;$B85&amp;"*",Machine_List!$J$64:$J$71,0)),"NO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IF($A85="","",IF($I85&lt;&gt;"",$I85,MAX(ENG_Plan!$M85,IFERROR(LOOKUP(2,1/($E$3:INDIRECT("E"&amp;(ROW()-1))=$E85),$M$3:INDIRECT("M"&amp;(ROW()-1))),ENG_Plan!$M85))))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IF($A85="","",IFERROR(VLOOKUP(B85,CHOOSE(MATCH(C85,Settings!$L$4:$L$10,0),OPR_2P!$A$4:$I$18,SEG_6P!$A$4:$I$18,SOL_4P!$A$4:$I$18,RW_2P!$A$4:$I$18,RW2_4P!$A$4:$I$18,FLAP_4P!$A$4:$I$18,TUBE_4P!$A$4:$I$18),6,0),0))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" t="str">
        <f aca="false">IF($A86="","",IFERROR(INDEX(Machine_List!$B$64:$B$71,MATCH("*"&amp;$B86&amp;"*",Machine_List!$J$64:$J$71,0)),"NO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IF($A86="","",IF($I86&lt;&gt;"",$I86,MAX(ENG_Plan!$M86,IFERROR(LOOKUP(2,1/($E$3:INDIRECT("E"&amp;(ROW()-1))=$E86),$M$3:INDIRECT("M"&amp;(ROW()-1))),ENG_Plan!$M86))))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IF($A86="","",IFERROR(VLOOKUP(B86,CHOOSE(MATCH(C86,Settings!$L$4:$L$10,0),OPR_2P!$A$4:$I$18,SEG_6P!$A$4:$I$18,SOL_4P!$A$4:$I$18,RW_2P!$A$4:$I$18,RW2_4P!$A$4:$I$18,FLAP_4P!$A$4:$I$18,TUBE_4P!$A$4:$I$18),6,0),0))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" t="str">
        <f aca="false">IF($A87="","",IFERROR(INDEX(Machine_List!$B$64:$B$71,MATCH("*"&amp;$B87&amp;"*",Machine_List!$J$64:$J$71,0)),"NO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IF($A87="","",IF($I87&lt;&gt;"",$I87,MAX(ENG_Plan!$M87,IFERROR(LOOKUP(2,1/($E$3:INDIRECT("E"&amp;(ROW()-1))=$E87),$M$3:INDIRECT("M"&amp;(ROW()-1))),ENG_Plan!$M87))))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IF($A87="","",IFERROR(VLOOKUP(B87,CHOOSE(MATCH(C87,Settings!$L$4:$L$10,0),OPR_2P!$A$4:$I$18,SEG_6P!$A$4:$I$18,SOL_4P!$A$4:$I$18,RW_2P!$A$4:$I$18,RW2_4P!$A$4:$I$18,FLAP_4P!$A$4:$I$18,TUBE_4P!$A$4:$I$18),6,0),0))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" t="str">
        <f aca="false">IF($A88="","",IFERROR(INDEX(Machine_List!$B$64:$B$71,MATCH("*"&amp;$B88&amp;"*",Machine_List!$J$64:$J$71,0)),"NO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IF($A88="","",IF($I88&lt;&gt;"",$I88,MAX(ENG_Plan!$M88,IFERROR(LOOKUP(2,1/($E$3:INDIRECT("E"&amp;(ROW()-1))=$E88),$M$3:INDIRECT("M"&amp;(ROW()-1))),ENG_Plan!$M88))))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IF($A88="","",IFERROR(VLOOKUP(B88,CHOOSE(MATCH(C88,Settings!$L$4:$L$10,0),OPR_2P!$A$4:$I$18,SEG_6P!$A$4:$I$18,SOL_4P!$A$4:$I$18,RW_2P!$A$4:$I$18,RW2_4P!$A$4:$I$18,FLAP_4P!$A$4:$I$18,TUBE_4P!$A$4:$I$18),6,0),0))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" t="str">
        <f aca="false">IF($A89="","",IFERROR(INDEX(Machine_List!$B$64:$B$71,MATCH("*"&amp;$B89&amp;"*",Machine_List!$J$64:$J$71,0)),"NO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IF($A89="","",IF($I89&lt;&gt;"",$I89,MAX(ENG_Plan!$M89,IFERROR(LOOKUP(2,1/($E$3:INDIRECT("E"&amp;(ROW()-1))=$E89),$M$3:INDIRECT("M"&amp;(ROW()-1))),ENG_Plan!$M89))))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IF($A89="","",IFERROR(VLOOKUP(B89,CHOOSE(MATCH(C89,Settings!$L$4:$L$10,0),OPR_2P!$A$4:$I$18,SEG_6P!$A$4:$I$18,SOL_4P!$A$4:$I$18,RW_2P!$A$4:$I$18,RW2_4P!$A$4:$I$18,FLAP_4P!$A$4:$I$18,TUBE_4P!$A$4:$I$18),6,0),0))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" t="str">
        <f aca="false">IF($A90="","",IFERROR(INDEX(Machine_List!$B$64:$B$71,MATCH("*"&amp;$B90&amp;"*",Machine_List!$J$64:$J$71,0)),"NO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IF($A90="","",IF($I90&lt;&gt;"",$I90,MAX(ENG_Plan!$M90,IFERROR(LOOKUP(2,1/($E$3:INDIRECT("E"&amp;(ROW()-1))=$E90),$M$3:INDIRECT("M"&amp;(ROW()-1))),ENG_Plan!$M90))))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IF($A90="","",IFERROR(VLOOKUP(B90,CHOOSE(MATCH(C90,Settings!$L$4:$L$10,0),OPR_2P!$A$4:$I$18,SEG_6P!$A$4:$I$18,SOL_4P!$A$4:$I$18,RW_2P!$A$4:$I$18,RW2_4P!$A$4:$I$18,FLAP_4P!$A$4:$I$18,TUBE_4P!$A$4:$I$18),6,0),0))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" t="str">
        <f aca="false">IF($A91="","",IFERROR(INDEX(Machine_List!$B$64:$B$71,MATCH("*"&amp;$B91&amp;"*",Machine_List!$J$64:$J$71,0)),"NO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IF($A91="","",IF($I91&lt;&gt;"",$I91,MAX(ENG_Plan!$M91,IFERROR(LOOKUP(2,1/($E$3:INDIRECT("E"&amp;(ROW()-1))=$E91),$M$3:INDIRECT("M"&amp;(ROW()-1))),ENG_Plan!$M91))))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IF($A91="","",IFERROR(VLOOKUP(B91,CHOOSE(MATCH(C91,Settings!$L$4:$L$10,0),OPR_2P!$A$4:$I$18,SEG_6P!$A$4:$I$18,SOL_4P!$A$4:$I$18,RW_2P!$A$4:$I$18,RW2_4P!$A$4:$I$18,FLAP_4P!$A$4:$I$18,TUBE_4P!$A$4:$I$18),6,0),0))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" t="str">
        <f aca="false">IF($A92="","",IFERROR(INDEX(Machine_List!$B$64:$B$71,MATCH("*"&amp;$B92&amp;"*",Machine_List!$J$64:$J$71,0)),"NO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IF($A92="","",IF($I92&lt;&gt;"",$I92,MAX(ENG_Plan!$M92,IFERROR(LOOKUP(2,1/($E$3:INDIRECT("E"&amp;(ROW()-1))=$E92),$M$3:INDIRECT("M"&amp;(ROW()-1))),ENG_Plan!$M92))))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IF($A92="","",IFERROR(VLOOKUP(B92,CHOOSE(MATCH(C92,Settings!$L$4:$L$10,0),OPR_2P!$A$4:$I$18,SEG_6P!$A$4:$I$18,SOL_4P!$A$4:$I$18,RW_2P!$A$4:$I$18,RW2_4P!$A$4:$I$18,FLAP_4P!$A$4:$I$18,TUBE_4P!$A$4:$I$18),6,0),0))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" t="str">
        <f aca="false">IF($A93="","",IFERROR(INDEX(Machine_List!$B$64:$B$71,MATCH("*"&amp;$B93&amp;"*",Machine_List!$J$64:$J$71,0)),"NO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IF($A93="","",IF($I93&lt;&gt;"",$I93,MAX(ENG_Plan!$M93,IFERROR(LOOKUP(2,1/($E$3:INDIRECT("E"&amp;(ROW()-1))=$E93),$M$3:INDIRECT("M"&amp;(ROW()-1))),ENG_Plan!$M93))))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IF($A93="","",IFERROR(VLOOKUP(B93,CHOOSE(MATCH(C93,Settings!$L$4:$L$10,0),OPR_2P!$A$4:$I$18,SEG_6P!$A$4:$I$18,SOL_4P!$A$4:$I$18,RW_2P!$A$4:$I$18,RW2_4P!$A$4:$I$18,FLAP_4P!$A$4:$I$18,TUBE_4P!$A$4:$I$18),6,0),0))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" t="str">
        <f aca="false">IF($A94="","",IFERROR(INDEX(Machine_List!$B$64:$B$71,MATCH("*"&amp;$B94&amp;"*",Machine_List!$J$64:$J$71,0)),"NO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IF($A94="","",IF($I94&lt;&gt;"",$I94,MAX(ENG_Plan!$M94,IFERROR(LOOKUP(2,1/($E$3:INDIRECT("E"&amp;(ROW()-1))=$E94),$M$3:INDIRECT("M"&amp;(ROW()-1))),ENG_Plan!$M94))))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IF($A94="","",IFERROR(VLOOKUP(B94,CHOOSE(MATCH(C94,Settings!$L$4:$L$10,0),OPR_2P!$A$4:$I$18,SEG_6P!$A$4:$I$18,SOL_4P!$A$4:$I$18,RW_2P!$A$4:$I$18,RW2_4P!$A$4:$I$18,FLAP_4P!$A$4:$I$18,TUBE_4P!$A$4:$I$18),6,0),0))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" t="str">
        <f aca="false">IF($A95="","",IFERROR(INDEX(Machine_List!$B$64:$B$71,MATCH("*"&amp;$B95&amp;"*",Machine_List!$J$64:$J$71,0)),"NO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IF($A95="","",IF($I95&lt;&gt;"",$I95,MAX(ENG_Plan!$M95,IFERROR(LOOKUP(2,1/($E$3:INDIRECT("E"&amp;(ROW()-1))=$E95),$M$3:INDIRECT("M"&amp;(ROW()-1))),ENG_Plan!$M95))))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IF($A95="","",IFERROR(VLOOKUP(B95,CHOOSE(MATCH(C95,Settings!$L$4:$L$10,0),OPR_2P!$A$4:$I$18,SEG_6P!$A$4:$I$18,SOL_4P!$A$4:$I$18,RW_2P!$A$4:$I$18,RW2_4P!$A$4:$I$18,FLAP_4P!$A$4:$I$18,TUBE_4P!$A$4:$I$18),6,0),0))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" t="str">
        <f aca="false">IF($A96="","",IFERROR(INDEX(Machine_List!$B$64:$B$71,MATCH("*"&amp;$B96&amp;"*",Machine_List!$J$64:$J$71,0)),"NO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IF($A96="","",IF($I96&lt;&gt;"",$I96,MAX(ENG_Plan!$M96,IFERROR(LOOKUP(2,1/($E$3:INDIRECT("E"&amp;(ROW()-1))=$E96),$M$3:INDIRECT("M"&amp;(ROW()-1))),ENG_Plan!$M96))))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IF($A96="","",IFERROR(VLOOKUP(B96,CHOOSE(MATCH(C96,Settings!$L$4:$L$10,0),OPR_2P!$A$4:$I$18,SEG_6P!$A$4:$I$18,SOL_4P!$A$4:$I$18,RW_2P!$A$4:$I$18,RW2_4P!$A$4:$I$18,FLAP_4P!$A$4:$I$18,TUBE_4P!$A$4:$I$18),6,0),0))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" t="str">
        <f aca="false">IF($A97="","",IFERROR(INDEX(Machine_List!$B$64:$B$71,MATCH("*"&amp;$B97&amp;"*",Machine_List!$J$64:$J$71,0)),"NO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IF($A97="","",IF($I97&lt;&gt;"",$I97,MAX(ENG_Plan!$M97,IFERROR(LOOKUP(2,1/($E$3:INDIRECT("E"&amp;(ROW()-1))=$E97),$M$3:INDIRECT("M"&amp;(ROW()-1))),ENG_Plan!$M97))))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IF($A97="","",IFERROR(VLOOKUP(B97,CHOOSE(MATCH(C97,Settings!$L$4:$L$10,0),OPR_2P!$A$4:$I$18,SEG_6P!$A$4:$I$18,SOL_4P!$A$4:$I$18,RW_2P!$A$4:$I$18,RW2_4P!$A$4:$I$18,FLAP_4P!$A$4:$I$18,TUBE_4P!$A$4:$I$18),6,0),0))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" t="str">
        <f aca="false">IF($A98="","",IFERROR(INDEX(Machine_List!$B$64:$B$71,MATCH("*"&amp;$B98&amp;"*",Machine_List!$J$64:$J$71,0)),"NO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IF($A98="","",IF($I98&lt;&gt;"",$I98,MAX(ENG_Plan!$M98,IFERROR(LOOKUP(2,1/($E$3:INDIRECT("E"&amp;(ROW()-1))=$E98),$M$3:INDIRECT("M"&amp;(ROW()-1))),ENG_Plan!$M98))))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IF($A98="","",IFERROR(VLOOKUP(B98,CHOOSE(MATCH(C98,Settings!$L$4:$L$10,0),OPR_2P!$A$4:$I$18,SEG_6P!$A$4:$I$18,SOL_4P!$A$4:$I$18,RW_2P!$A$4:$I$18,RW2_4P!$A$4:$I$18,FLAP_4P!$A$4:$I$18,TUBE_4P!$A$4:$I$18),6,0),0))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" t="str">
        <f aca="false">IF($A99="","",IFERROR(INDEX(Machine_List!$B$64:$B$71,MATCH("*"&amp;$B99&amp;"*",Machine_List!$J$64:$J$71,0)),"NO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IF($A99="","",IF($I99&lt;&gt;"",$I99,MAX(ENG_Plan!$M99,IFERROR(LOOKUP(2,1/($E$3:INDIRECT("E"&amp;(ROW()-1))=$E99),$M$3:INDIRECT("M"&amp;(ROW()-1))),ENG_Plan!$M99))))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IF($A99="","",IFERROR(VLOOKUP(B99,CHOOSE(MATCH(C99,Settings!$L$4:$L$10,0),OPR_2P!$A$4:$I$18,SEG_6P!$A$4:$I$18,SOL_4P!$A$4:$I$18,RW_2P!$A$4:$I$18,RW2_4P!$A$4:$I$18,FLAP_4P!$A$4:$I$18,TUBE_4P!$A$4:$I$18),6,0),0))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" t="str">
        <f aca="false">IF($A100="","",IFERROR(INDEX(Machine_List!$B$64:$B$71,MATCH("*"&amp;$B100&amp;"*",Machine_List!$J$64:$J$71,0)),"NO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IF($A100="","",IF($I100&lt;&gt;"",$I100,MAX(ENG_Plan!$M100,IFERROR(LOOKUP(2,1/($E$3:INDIRECT("E"&amp;(ROW()-1))=$E100),$M$3:INDIRECT("M"&amp;(ROW()-1))),ENG_Plan!$M100))))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IF($A100="","",IFERROR(VLOOKUP(B100,CHOOSE(MATCH(C100,Settings!$L$4:$L$10,0),OPR_2P!$A$4:$I$18,SEG_6P!$A$4:$I$18,SOL_4P!$A$4:$I$18,RW_2P!$A$4:$I$18,RW2_4P!$A$4:$I$18,FLAP_4P!$A$4:$I$18,TUBE_4P!$A$4:$I$18),6,0),0))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" t="str">
        <f aca="false">IF($A101="","",IFERROR(INDEX(Machine_List!$B$64:$B$71,MATCH("*"&amp;$B101&amp;"*",Machine_List!$J$64:$J$71,0)),"NO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IF($A101="","",IF($I101&lt;&gt;"",$I101,MAX(ENG_Plan!$M101,IFERROR(LOOKUP(2,1/($E$3:INDIRECT("E"&amp;(ROW()-1))=$E101),$M$3:INDIRECT("M"&amp;(ROW()-1))),ENG_Plan!$M101))))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IF($A101="","",IFERROR(VLOOKUP(B101,CHOOSE(MATCH(C101,Settings!$L$4:$L$10,0),OPR_2P!$A$4:$I$18,SEG_6P!$A$4:$I$18,SOL_4P!$A$4:$I$18,RW_2P!$A$4:$I$18,RW2_4P!$A$4:$I$18,FLAP_4P!$A$4:$I$18,TUBE_4P!$A$4:$I$18),6,0),0))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" t="str">
        <f aca="false">IF($A102="","",IFERROR(INDEX(Machine_List!$B$64:$B$71,MATCH("*"&amp;$B102&amp;"*",Machine_List!$J$64:$J$71,0)),"NO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IF($A102="","",IF($I102&lt;&gt;"",$I102,MAX(ENG_Plan!$M102,IFERROR(LOOKUP(2,1/($E$3:INDIRECT("E"&amp;(ROW()-1))=$E102),$M$3:INDIRECT("M"&amp;(ROW()-1))),ENG_Plan!$M102))))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IF($A102="","",IFERROR(VLOOKUP(B102,CHOOSE(MATCH(C102,Settings!$L$4:$L$10,0),OPR_2P!$A$4:$I$18,SEG_6P!$A$4:$I$18,SOL_4P!$A$4:$I$18,RW_2P!$A$4:$I$18,RW2_4P!$A$4:$I$18,FLAP_4P!$A$4:$I$18,TUBE_4P!$A$4:$I$18),6,0),0))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" t="str">
        <f aca="false">IF($A103="","",IFERROR(INDEX(Machine_List!$B$64:$B$71,MATCH("*"&amp;$B103&amp;"*",Machine_List!$J$64:$J$71,0)),"NO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IF($A103="","",IF($I103&lt;&gt;"",$I103,MAX(ENG_Plan!$M103,IFERROR(LOOKUP(2,1/($E$3:INDIRECT("E"&amp;(ROW()-1))=$E103),$M$3:INDIRECT("M"&amp;(ROW()-1))),ENG_Plan!$M103))))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IF($A103="","",IFERROR(VLOOKUP(B103,CHOOSE(MATCH(C103,Settings!$L$4:$L$10,0),OPR_2P!$A$4:$I$18,SEG_6P!$A$4:$I$18,SOL_4P!$A$4:$I$18,RW_2P!$A$4:$I$18,RW2_4P!$A$4:$I$18,FLAP_4P!$A$4:$I$18,TUBE_4P!$A$4:$I$18),6,0),0))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13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D16" activeCellId="0" sqref="CD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28" width="14.33"/>
    <col collapsed="false" customWidth="true" hidden="false" outlineLevel="0" max="7" min="7" style="1" width="12.56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24" min="16" style="1" width="4.56"/>
    <col collapsed="false" customWidth="true" hidden="false" outlineLevel="0" max="45" min="25" style="1" width="5.44"/>
    <col collapsed="false" customWidth="true" hidden="false" outlineLevel="0" max="54" min="46" style="1" width="4.88"/>
    <col collapsed="false" customWidth="true" hidden="false" outlineLevel="0" max="74" min="55" style="1" width="5.78"/>
    <col collapsed="false" customWidth="true" hidden="false" outlineLevel="0" max="75" min="75" style="1" width="12"/>
    <col collapsed="false" customWidth="true" hidden="false" outlineLevel="0" max="76" min="76" style="1" width="29.21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.11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.11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31"/>
      <c r="G1" s="29"/>
      <c r="H1" s="29"/>
      <c r="I1" s="29"/>
      <c r="J1" s="29"/>
      <c r="K1" s="29"/>
      <c r="L1" s="29"/>
      <c r="M1" s="29"/>
      <c r="N1" s="29"/>
      <c r="BW1" s="29"/>
      <c r="BX1" s="32" t="s">
        <v>255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4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4.25" hidden="false" customHeight="true" outlineLevel="0" collapsed="false">
      <c r="A3" s="10" t="s">
        <v>137</v>
      </c>
      <c r="B3" s="10" t="s">
        <v>11</v>
      </c>
      <c r="C3" s="10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43" t="s">
        <v>247</v>
      </c>
      <c r="P3" s="21" t="n">
        <v>46113</v>
      </c>
      <c r="Q3" s="21" t="n">
        <v>46114</v>
      </c>
      <c r="R3" s="21" t="n">
        <v>46115</v>
      </c>
      <c r="S3" s="21" t="n">
        <v>46116</v>
      </c>
      <c r="T3" s="21" t="n">
        <v>46117</v>
      </c>
      <c r="U3" s="21" t="n">
        <v>46118</v>
      </c>
      <c r="V3" s="21" t="n">
        <v>46119</v>
      </c>
      <c r="W3" s="21" t="n">
        <v>46120</v>
      </c>
      <c r="X3" s="21" t="n">
        <v>46121</v>
      </c>
      <c r="Y3" s="21" t="n">
        <v>46122</v>
      </c>
      <c r="Z3" s="21" t="n">
        <v>46123</v>
      </c>
      <c r="AA3" s="21" t="n">
        <v>46124</v>
      </c>
      <c r="AB3" s="21" t="n">
        <v>46125</v>
      </c>
      <c r="AC3" s="21" t="n">
        <v>46126</v>
      </c>
      <c r="AD3" s="21" t="n">
        <v>46127</v>
      </c>
      <c r="AE3" s="21" t="n">
        <v>46128</v>
      </c>
      <c r="AF3" s="21" t="n">
        <v>46129</v>
      </c>
      <c r="AG3" s="21" t="n">
        <v>46130</v>
      </c>
      <c r="AH3" s="21" t="n">
        <v>46131</v>
      </c>
      <c r="AI3" s="21" t="n">
        <v>46132</v>
      </c>
      <c r="AJ3" s="21" t="n">
        <v>46133</v>
      </c>
      <c r="AK3" s="21" t="n">
        <v>46134</v>
      </c>
      <c r="AL3" s="21" t="n">
        <v>46135</v>
      </c>
      <c r="AM3" s="21" t="n">
        <v>46136</v>
      </c>
      <c r="AN3" s="21" t="n">
        <v>46137</v>
      </c>
      <c r="AO3" s="21" t="n">
        <v>46138</v>
      </c>
      <c r="AP3" s="21" t="n">
        <v>46139</v>
      </c>
      <c r="AQ3" s="21" t="n">
        <v>46140</v>
      </c>
      <c r="AR3" s="21" t="n">
        <v>46141</v>
      </c>
      <c r="AS3" s="21" t="n">
        <v>46142</v>
      </c>
      <c r="AT3" s="21" t="n">
        <v>46143</v>
      </c>
      <c r="AU3" s="21" t="n">
        <v>46144</v>
      </c>
      <c r="AV3" s="21" t="n">
        <v>46145</v>
      </c>
      <c r="AW3" s="21" t="n">
        <v>46146</v>
      </c>
      <c r="AX3" s="21" t="n">
        <v>46147</v>
      </c>
      <c r="AY3" s="21" t="n">
        <v>46148</v>
      </c>
      <c r="AZ3" s="21" t="n">
        <v>46149</v>
      </c>
      <c r="BA3" s="21" t="n">
        <v>46150</v>
      </c>
      <c r="BB3" s="21" t="n">
        <v>46151</v>
      </c>
      <c r="BC3" s="21" t="n">
        <v>46152</v>
      </c>
      <c r="BD3" s="21" t="n">
        <v>46153</v>
      </c>
      <c r="BE3" s="21" t="n">
        <v>46154</v>
      </c>
      <c r="BF3" s="21" t="n">
        <v>46155</v>
      </c>
      <c r="BG3" s="21" t="n">
        <v>46156</v>
      </c>
      <c r="BH3" s="21" t="n">
        <v>46157</v>
      </c>
      <c r="BI3" s="21" t="n">
        <v>46158</v>
      </c>
      <c r="BJ3" s="21" t="n">
        <v>46159</v>
      </c>
      <c r="BK3" s="21" t="n">
        <v>46160</v>
      </c>
      <c r="BL3" s="21" t="n">
        <v>46161</v>
      </c>
      <c r="BM3" s="21" t="n">
        <v>46162</v>
      </c>
      <c r="BN3" s="21" t="n">
        <v>46163</v>
      </c>
      <c r="BO3" s="21" t="n">
        <v>46164</v>
      </c>
      <c r="BP3" s="21" t="n">
        <v>46165</v>
      </c>
      <c r="BQ3" s="21" t="n">
        <v>46166</v>
      </c>
      <c r="BR3" s="21" t="n">
        <v>46167</v>
      </c>
      <c r="BS3" s="21" t="n">
        <v>46168</v>
      </c>
      <c r="BT3" s="21" t="n">
        <v>46169</v>
      </c>
      <c r="BU3" s="21" t="n">
        <v>46170</v>
      </c>
      <c r="BV3" s="21" t="n">
        <v>46171</v>
      </c>
      <c r="BW3" s="44" t="s">
        <v>248</v>
      </c>
      <c r="BX3" s="45" t="n">
        <v>56</v>
      </c>
      <c r="BY3" s="45" t="n">
        <v>544</v>
      </c>
      <c r="BZ3" s="45" t="n">
        <v>670</v>
      </c>
      <c r="CA3" s="45" t="n">
        <v>492</v>
      </c>
      <c r="CB3" s="45" t="n">
        <v>1038</v>
      </c>
      <c r="CC3" s="45" t="n">
        <v>996</v>
      </c>
      <c r="CD3" s="45" t="n">
        <v>1228</v>
      </c>
      <c r="CE3" s="45" t="n">
        <v>506</v>
      </c>
      <c r="CF3" s="45" t="n">
        <v>410</v>
      </c>
      <c r="CG3" s="45" t="n">
        <v>542</v>
      </c>
    </row>
    <row r="4" customFormat="false" ht="27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IF($A4="","",IFERROR(INDEX(Machine_List!$B$72:$B$81,MATCH("*"&amp;$B4&amp;"*",Machine_List!$J$72:$J$81,0)),"NO COMPATIBLE MACHINE"))</f>
        <v>FID-MC-01</v>
      </c>
      <c r="F4" s="49" t="str">
        <f aca="false">IF($E4="","",IFERROR(VLOOKUP($E4,Machine_List!$B:$G,6,0),""))</f>
        <v>Contract Workman</v>
      </c>
      <c r="G4" s="50" t="n">
        <f aca="false">IF($E4="","",IFERROR(VLOOKUP($E4,Machine_List!$B:$C,2,0),""))</f>
        <v>46106</v>
      </c>
      <c r="H4" s="48" t="n">
        <f aca="false">IF($E4="","",IFERROR(VLOOKUP($E4,Machine_List!$B:$D,3,0),""))</f>
        <v>6</v>
      </c>
      <c r="I4" s="45"/>
      <c r="J4" s="51" t="n">
        <f aca="true">IF($A4="","",IF($I4&lt;&gt;"",$I4,MAX(VENT_Plan!$M4,IFERROR(LOOKUP(2,1/($E$3:INDIRECT("E"&amp;(ROW()-1))=$E4),$M$3:INDIRECT("M"&amp;(ROW()-1))),VENT_Plan!$M4))))</f>
        <v>46127.9080687831</v>
      </c>
      <c r="K4" s="48" t="n">
        <f aca="false">IF($A4="","",IFERROR(VLOOKUP(B4,CHOOSE(MATCH(C4,Settings!$L$4:$L$10,0),OPR_2P!$A$4:$I$18,SEG_6P!$A$4:$I$18,SOL_4P!$A$4:$I$18,RW_2P!$A$4:$I$18,RW2_4P!$A$4:$I$18,FLAP_4P!$A$4:$I$18,TUBE_4P!$A$4:$I$18),7,0),0))</f>
        <v>32</v>
      </c>
      <c r="L4" s="48" t="n">
        <f aca="false">IF($A4="","",K4*D4)</f>
        <v>64</v>
      </c>
      <c r="M4" s="51" t="n">
        <f aca="false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46130.7652116402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W4" s="44" t="s">
        <v>249</v>
      </c>
      <c r="BX4" s="45" t="n">
        <v>6480</v>
      </c>
      <c r="BY4" s="45" t="n">
        <v>6696</v>
      </c>
      <c r="BZ4" s="45" t="n">
        <v>6480</v>
      </c>
      <c r="CA4" s="45" t="n">
        <v>6696</v>
      </c>
      <c r="CB4" s="45" t="n">
        <v>6696</v>
      </c>
      <c r="CC4" s="45" t="n">
        <v>6480</v>
      </c>
      <c r="CD4" s="45" t="n">
        <v>6696</v>
      </c>
      <c r="CE4" s="45" t="n">
        <v>6480</v>
      </c>
      <c r="CF4" s="45" t="n">
        <v>6696</v>
      </c>
      <c r="CG4" s="45" t="n">
        <v>6696</v>
      </c>
    </row>
    <row r="5" customFormat="false" ht="28.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IF($A5="","",IFERROR(INDEX(Machine_List!$B$72:$B$81,MATCH("*"&amp;$B5&amp;"*",Machine_List!$J$72:$J$81,0)),"NO COMPATIBLE MACHINE"))</f>
        <v>FID-MC-01</v>
      </c>
      <c r="F5" s="54" t="str">
        <f aca="false">IF($E5="","",IFERROR(VLOOKUP($E5,Machine_List!$B:$G,6,0),""))</f>
        <v>Contract Workman</v>
      </c>
      <c r="G5" s="55" t="n">
        <f aca="false">IF($E5="","",IFERROR(VLOOKUP($E5,Machine_List!$B:$C,2,0),""))</f>
        <v>46106</v>
      </c>
      <c r="H5" s="4" t="n">
        <f aca="false">IF($E5="","",IFERROR(VLOOKUP($E5,Machine_List!$B:$D,3,0),""))</f>
        <v>6</v>
      </c>
      <c r="I5" s="56"/>
      <c r="J5" s="57" t="n">
        <f aca="true">IF($A5="","",IF($I5&lt;&gt;"",$I5,MAX(VENT_Plan!$M5,IFERROR(LOOKUP(2,1/($E$3:INDIRECT("E"&amp;(ROW()-1))=$E5),$M$3:INDIRECT("M"&amp;(ROW()-1))),VENT_Plan!$M5))))</f>
        <v>46156.9358465608</v>
      </c>
      <c r="K5" s="4" t="n">
        <f aca="false">IF($A5="","",IFERROR(VLOOKUP(B5,CHOOSE(MATCH(C5,Settings!$L$4:$L$10,0),OPR_2P!$A$4:$I$18,SEG_6P!$A$4:$I$18,SOL_4P!$A$4:$I$18,RW_2P!$A$4:$I$18,RW2_4P!$A$4:$I$18,FLAP_4P!$A$4:$I$18,TUBE_4P!$A$4:$I$18),7,0),0))</f>
        <v>41</v>
      </c>
      <c r="L5" s="4" t="n">
        <f aca="false">IF($A5="","",K5*D5)</f>
        <v>164</v>
      </c>
      <c r="M5" s="57" t="n">
        <f aca="false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46164.2572751323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S2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28.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IF($A6="","",IFERROR(INDEX(Machine_List!$B$72:$B$81,MATCH("*"&amp;$B6&amp;"*",Machine_List!$J$72:$J$81,0)),"NO COMPATIBLE MACHINE"))</f>
        <v>FID-MC-01</v>
      </c>
      <c r="F6" s="54" t="str">
        <f aca="false">IF($E6="","",IFERROR(VLOOKUP($E6,Machine_List!$B:$G,6,0),""))</f>
        <v>Contract Workman</v>
      </c>
      <c r="G6" s="55" t="n">
        <f aca="false">IF($E6="","",IFERROR(VLOOKUP($E6,Machine_List!$B:$C,2,0),""))</f>
        <v>46106</v>
      </c>
      <c r="H6" s="4" t="n">
        <f aca="false">IF($E6="","",IFERROR(VLOOKUP($E6,Machine_List!$B:$D,3,0),""))</f>
        <v>6</v>
      </c>
      <c r="I6" s="56"/>
      <c r="J6" s="57" t="n">
        <f aca="true">IF($A6="","",IF($I6&lt;&gt;"",$I6,MAX(VENT_Plan!$M6,IFERROR(LOOKUP(2,1/($E$3:INDIRECT("E"&amp;(ROW()-1))=$E6),$M$3:INDIRECT("M"&amp;(ROW()-1))),VENT_Plan!$M6))))</f>
        <v>46164.2572751323</v>
      </c>
      <c r="K6" s="4" t="n">
        <f aca="false">IF($A6="","",IFERROR(VLOOKUP(B6,CHOOSE(MATCH(C6,Settings!$L$4:$L$10,0),OPR_2P!$A$4:$I$18,SEG_6P!$A$4:$I$18,SOL_4P!$A$4:$I$18,RW_2P!$A$4:$I$18,RW2_4P!$A$4:$I$18,FLAP_4P!$A$4:$I$18,TUBE_4P!$A$4:$I$18),7,0),0))</f>
        <v>24</v>
      </c>
      <c r="L6" s="4" t="n">
        <f aca="false">IF($A6="","",K6*D6)</f>
        <v>48</v>
      </c>
      <c r="M6" s="57" t="n">
        <f aca="false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46166.4001322751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S1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</row>
    <row r="7" customFormat="false" ht="28.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IF($A7="","",IFERROR(INDEX(Machine_List!$B$72:$B$81,MATCH("*"&amp;$B7&amp;"*",Machine_List!$J$72:$J$81,0)),"NO COMPATIBLE MACHINE"))</f>
        <v>FID-MC-01</v>
      </c>
      <c r="F7" s="54" t="str">
        <f aca="false">IF($E7="","",IFERROR(VLOOKUP($E7,Machine_List!$B:$G,6,0),""))</f>
        <v>Contract Workman</v>
      </c>
      <c r="G7" s="55" t="n">
        <f aca="false">IF($E7="","",IFERROR(VLOOKUP($E7,Machine_List!$B:$C,2,0),""))</f>
        <v>46106</v>
      </c>
      <c r="H7" s="4" t="n">
        <f aca="false">IF($E7="","",IFERROR(VLOOKUP($E7,Machine_List!$B:$D,3,0),""))</f>
        <v>6</v>
      </c>
      <c r="I7" s="56"/>
      <c r="J7" s="57" t="n">
        <f aca="true">IF($A7="","",IF($I7&lt;&gt;"",$I7,MAX(VENT_Plan!$M7,IFERROR(LOOKUP(2,1/($E$3:INDIRECT("E"&amp;(ROW()-1))=$E7),$M$3:INDIRECT("M"&amp;(ROW()-1))),VENT_Plan!$M7))))</f>
        <v>46169.8260582011</v>
      </c>
      <c r="K7" s="4" t="n">
        <f aca="false">IF($A7="","",IFERROR(VLOOKUP(B7,CHOOSE(MATCH(C7,Settings!$L$4:$L$10,0),OPR_2P!$A$4:$I$18,SEG_6P!$A$4:$I$18,SOL_4P!$A$4:$I$18,RW_2P!$A$4:$I$18,RW2_4P!$A$4:$I$18,FLAP_4P!$A$4:$I$18,TUBE_4P!$A$4:$I$18),7,0),0))</f>
        <v>31</v>
      </c>
      <c r="L7" s="4" t="n">
        <f aca="false">IF($A7="","",K7*D7)</f>
        <v>186</v>
      </c>
      <c r="M7" s="57" t="n">
        <f aca="false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46178.1296296296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S2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</row>
    <row r="8" customFormat="false" ht="28.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IF($A8="","",IFERROR(INDEX(Machine_List!$B$72:$B$81,MATCH("*"&amp;$B8&amp;"*",Machine_List!$J$72:$J$81,0)),"NO COMPATIBLE MACHINE"))</f>
        <v>FID-MC-01</v>
      </c>
      <c r="F8" s="54" t="str">
        <f aca="false">IF($E8="","",IFERROR(VLOOKUP($E8,Machine_List!$B:$G,6,0),""))</f>
        <v>Contract Workman</v>
      </c>
      <c r="G8" s="55" t="n">
        <f aca="false">IF($E8="","",IFERROR(VLOOKUP($E8,Machine_List!$B:$C,2,0),""))</f>
        <v>46106</v>
      </c>
      <c r="H8" s="4" t="n">
        <f aca="false">IF($E8="","",IFERROR(VLOOKUP($E8,Machine_List!$B:$D,3,0),""))</f>
        <v>6</v>
      </c>
      <c r="I8" s="56"/>
      <c r="J8" s="57" t="n">
        <f aca="true">IF($A8="","",IF($I8&lt;&gt;"",$I8,MAX(VENT_Plan!$M8,IFERROR(LOOKUP(2,1/($E$3:INDIRECT("E"&amp;(ROW()-1))=$E8),$M$3:INDIRECT("M"&amp;(ROW()-1))),VENT_Plan!$M8))))</f>
        <v>46191.4927248677</v>
      </c>
      <c r="K8" s="4" t="n">
        <f aca="false">IF($A8="","",IFERROR(VLOOKUP(B8,CHOOSE(MATCH(C8,Settings!$L$4:$L$10,0),OPR_2P!$A$4:$I$18,SEG_6P!$A$4:$I$18,SOL_4P!$A$4:$I$18,RW_2P!$A$4:$I$18,RW2_4P!$A$4:$I$18,FLAP_4P!$A$4:$I$18,TUBE_4P!$A$4:$I$18),7,0),0))</f>
        <v>33</v>
      </c>
      <c r="L8" s="4" t="n">
        <f aca="false">IF($A8="","",K8*D8)</f>
        <v>198</v>
      </c>
      <c r="M8" s="57" t="n">
        <f aca="false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46200.332010582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S2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</row>
    <row r="9" customFormat="false" ht="28.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IF($A9="","",IFERROR(INDEX(Machine_List!$B$72:$B$81,MATCH("*"&amp;$B9&amp;"*",Machine_List!$J$72:$J$81,0)),"NO COMPATIBLE MACHINE"))</f>
        <v>FID-MC-01</v>
      </c>
      <c r="F9" s="54" t="str">
        <f aca="false">IF($E9="","",IFERROR(VLOOKUP($E9,Machine_List!$B:$G,6,0),""))</f>
        <v>Contract Workman</v>
      </c>
      <c r="G9" s="55" t="n">
        <f aca="false">IF($E9="","",IFERROR(VLOOKUP($E9,Machine_List!$B:$C,2,0),""))</f>
        <v>46106</v>
      </c>
      <c r="H9" s="4" t="n">
        <f aca="false">IF($E9="","",IFERROR(VLOOKUP($E9,Machine_List!$B:$D,3,0),""))</f>
        <v>6</v>
      </c>
      <c r="I9" s="56"/>
      <c r="J9" s="57" t="n">
        <f aca="true">IF($A9="","",IF($I9&lt;&gt;"",$I9,MAX(VENT_Plan!$M9,IFERROR(LOOKUP(2,1/($E$3:INDIRECT("E"&amp;(ROW()-1))=$E9),$M$3:INDIRECT("M"&amp;(ROW()-1))),VENT_Plan!$M9))))</f>
        <v>46200.332010582</v>
      </c>
      <c r="K9" s="4" t="n">
        <f aca="false">IF($A9="","",IFERROR(VLOOKUP(B9,CHOOSE(MATCH(C9,Settings!$L$4:$L$10,0),OPR_2P!$A$4:$I$18,SEG_6P!$A$4:$I$18,SOL_4P!$A$4:$I$18,RW_2P!$A$4:$I$18,RW2_4P!$A$4:$I$18,FLAP_4P!$A$4:$I$18,TUBE_4P!$A$4:$I$18),7,0),0))</f>
        <v>15</v>
      </c>
      <c r="L9" s="4" t="n">
        <f aca="false">IF($A9="","",K9*D9)</f>
        <v>30</v>
      </c>
      <c r="M9" s="57" t="n">
        <f aca="false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46201.6712962963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S1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</row>
    <row r="10" customFormat="false" ht="28.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IF($A10="","",IFERROR(INDEX(Machine_List!$B$72:$B$81,MATCH("*"&amp;$B10&amp;"*",Machine_List!$J$72:$J$81,0)),"NO COMPATIBLE MACHINE"))</f>
        <v>FID-MC-01</v>
      </c>
      <c r="F10" s="54" t="str">
        <f aca="false">IF($E10="","",IFERROR(VLOOKUP($E10,Machine_List!$B:$G,6,0),""))</f>
        <v>Contract Workman</v>
      </c>
      <c r="G10" s="55" t="n">
        <f aca="false">IF($E10="","",IFERROR(VLOOKUP($E10,Machine_List!$B:$C,2,0),""))</f>
        <v>46106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IF($A10="","",IF($I10&lt;&gt;"",$I10,MAX(VENT_Plan!$M10,IFERROR(LOOKUP(2,1/($E$3:INDIRECT("E"&amp;(ROW()-1))=$E10),$M$3:INDIRECT("M"&amp;(ROW()-1))),VENT_Plan!$M10))))</f>
        <v>46201.6712962963</v>
      </c>
      <c r="K10" s="4" t="n">
        <f aca="false">IF($A10="","",IFERROR(VLOOKUP(B10,CHOOSE(MATCH(C10,Settings!$L$4:$L$10,0),OPR_2P!$A$4:$I$18,SEG_6P!$A$4:$I$18,SOL_4P!$A$4:$I$18,RW_2P!$A$4:$I$18,RW2_4P!$A$4:$I$18,FLAP_4P!$A$4:$I$18,TUBE_4P!$A$4:$I$18),7,0),0))</f>
        <v>87</v>
      </c>
      <c r="L10" s="4" t="n">
        <f aca="false">IF($A10="","",K10*D10)</f>
        <v>174</v>
      </c>
      <c r="M10" s="57" t="n">
        <f aca="false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46209.4391534392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S1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</row>
    <row r="11" customFormat="false" ht="28.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IF($A11="","",IFERROR(INDEX(Machine_List!$B$72:$B$81,MATCH("*"&amp;$B11&amp;"*",Machine_List!$J$72:$J$81,0)),"NO COMPATIBLE MACHINE"))</f>
        <v>FID-MC-01</v>
      </c>
      <c r="F11" s="54" t="str">
        <f aca="false">IF($E11="","",IFERROR(VLOOKUP($E11,Machine_List!$B:$G,6,0),""))</f>
        <v>Contract Workman</v>
      </c>
      <c r="G11" s="55" t="n">
        <f aca="false">IF($E11="","",IFERROR(VLOOKUP($E11,Machine_List!$B:$C,2,0),""))</f>
        <v>46106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IF($A11="","",IF($I11&lt;&gt;"",$I11,MAX(VENT_Plan!$M11,IFERROR(LOOKUP(2,1/($E$3:INDIRECT("E"&amp;(ROW()-1))=$E11),$M$3:INDIRECT("M"&amp;(ROW()-1))),VENT_Plan!$M11))))</f>
        <v>46209.4391534392</v>
      </c>
      <c r="K11" s="4" t="n">
        <f aca="false">IF($A11="","",IFERROR(VLOOKUP(B11,CHOOSE(MATCH(C11,Settings!$L$4:$L$10,0),OPR_2P!$A$4:$I$18,SEG_6P!$A$4:$I$18,SOL_4P!$A$4:$I$18,RW_2P!$A$4:$I$18,RW2_4P!$A$4:$I$18,FLAP_4P!$A$4:$I$18,TUBE_4P!$A$4:$I$18),7,0),0))</f>
        <v>14</v>
      </c>
      <c r="L11" s="4" t="n">
        <f aca="false">IF($A11="","",K11*D11)</f>
        <v>28</v>
      </c>
      <c r="M11" s="57" t="n">
        <f aca="false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46210.6891534392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S1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</row>
    <row r="12" customFormat="false" ht="28.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IF($A12="","",IFERROR(INDEX(Machine_List!$B$72:$B$81,MATCH("*"&amp;$B12&amp;"*",Machine_List!$J$72:$J$81,0)),"NO COMPATIBLE MACHINE"))</f>
        <v>FID-MC-01</v>
      </c>
      <c r="F12" s="54" t="str">
        <f aca="false">IF($E12="","",IFERROR(VLOOKUP($E12,Machine_List!$B:$G,6,0),""))</f>
        <v>Contract Workman</v>
      </c>
      <c r="G12" s="55" t="n">
        <f aca="false">IF($E12="","",IFERROR(VLOOKUP($E12,Machine_List!$B:$C,2,0),""))</f>
        <v>46106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IF($A12="","",IF($I12&lt;&gt;"",$I12,MAX(VENT_Plan!$M12,IFERROR(LOOKUP(2,1/($E$3:INDIRECT("E"&amp;(ROW()-1))=$E12),$M$3:INDIRECT("M"&amp;(ROW()-1))),VENT_Plan!$M12))))</f>
        <v>46210.6891534392</v>
      </c>
      <c r="K12" s="4" t="n">
        <f aca="false">IF($A12="","",IFERROR(VLOOKUP(B12,CHOOSE(MATCH(C12,Settings!$L$4:$L$10,0),OPR_2P!$A$4:$I$18,SEG_6P!$A$4:$I$18,SOL_4P!$A$4:$I$18,RW_2P!$A$4:$I$18,RW2_4P!$A$4:$I$18,FLAP_4P!$A$4:$I$18,TUBE_4P!$A$4:$I$18),7,0),0))</f>
        <v>20</v>
      </c>
      <c r="L12" s="4" t="n">
        <f aca="false">IF($A12="","",K12*D12)</f>
        <v>40</v>
      </c>
      <c r="M12" s="57" t="n">
        <f aca="false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46212.4748677249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S1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</row>
    <row r="13" customFormat="false" ht="28.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IF($A13="","",IFERROR(INDEX(Machine_List!$B$72:$B$81,MATCH("*"&amp;$B13&amp;"*",Machine_List!$J$72:$J$81,0)),"NO COMPATIBLE MACHINE"))</f>
        <v>FID-MC-01</v>
      </c>
      <c r="F13" s="54" t="str">
        <f aca="false">IF($E13="","",IFERROR(VLOOKUP($E13,Machine_List!$B:$G,6,0),""))</f>
        <v>Contract Workman</v>
      </c>
      <c r="G13" s="55" t="n">
        <f aca="false">IF($E13="","",IFERROR(VLOOKUP($E13,Machine_List!$B:$C,2,0),""))</f>
        <v>46106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IF($A13="","",IF($I13&lt;&gt;"",$I13,MAX(VENT_Plan!$M13,IFERROR(LOOKUP(2,1/($E$3:INDIRECT("E"&amp;(ROW()-1))=$E13),$M$3:INDIRECT("M"&amp;(ROW()-1))),VENT_Plan!$M13))))</f>
        <v>46212.4748677249</v>
      </c>
      <c r="K13" s="4" t="n">
        <f aca="false">IF($A13="","",IFERROR(VLOOKUP(B13,CHOOSE(MATCH(C13,Settings!$L$4:$L$10,0),OPR_2P!$A$4:$I$18,SEG_6P!$A$4:$I$18,SOL_4P!$A$4:$I$18,RW_2P!$A$4:$I$18,RW2_4P!$A$4:$I$18,FLAP_4P!$A$4:$I$18,TUBE_4P!$A$4:$I$18),7,0),0))</f>
        <v>17</v>
      </c>
      <c r="L13" s="4" t="n">
        <f aca="false">IF($A13="","",K13*D13)</f>
        <v>34</v>
      </c>
      <c r="M13" s="57" t="n">
        <f aca="false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46213.9927248677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S2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</row>
    <row r="14" customFormat="false" ht="28.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IF($A14="","",IFERROR(INDEX(Machine_List!$B$72:$B$81,MATCH("*"&amp;$B14&amp;"*",Machine_List!$J$72:$J$81,0)),"NO COMPATIBLE MACHINE"))</f>
        <v>FID-MC-01</v>
      </c>
      <c r="F14" s="54" t="str">
        <f aca="false">IF($E14="","",IFERROR(VLOOKUP($E14,Machine_List!$B:$G,6,0),""))</f>
        <v>Contract Workman</v>
      </c>
      <c r="G14" s="55" t="n">
        <f aca="false">IF($E14="","",IFERROR(VLOOKUP($E14,Machine_List!$B:$C,2,0),""))</f>
        <v>46106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IF($A14="","",IF($I14&lt;&gt;"",$I14,MAX(VENT_Plan!$M14,IFERROR(LOOKUP(2,1/($E$3:INDIRECT("E"&amp;(ROW()-1))=$E14),$M$3:INDIRECT("M"&amp;(ROW()-1))),VENT_Plan!$M14))))</f>
        <v>46213.9927248677</v>
      </c>
      <c r="K14" s="4" t="n">
        <f aca="false">IF($A14="","",IFERROR(VLOOKUP(B14,CHOOSE(MATCH(C14,Settings!$L$4:$L$10,0),OPR_2P!$A$4:$I$18,SEG_6P!$A$4:$I$18,SOL_4P!$A$4:$I$18,RW_2P!$A$4:$I$18,RW2_4P!$A$4:$I$18,FLAP_4P!$A$4:$I$18,TUBE_4P!$A$4:$I$18),7,0),0))</f>
        <v>18</v>
      </c>
      <c r="L14" s="4" t="n">
        <f aca="false">IF($A14="","",K14*D14)</f>
        <v>36</v>
      </c>
      <c r="M14" s="57" t="n">
        <f aca="false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46215.5998677249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S1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</row>
    <row r="15" customFormat="false" ht="28.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IF($A15="","",IFERROR(INDEX(Machine_List!$B$72:$B$81,MATCH("*"&amp;$B15&amp;"*",Machine_List!$J$72:$J$81,0)),"NO COMPATIBLE MACHINE"))</f>
        <v>FID-MC-01</v>
      </c>
      <c r="F15" s="54" t="str">
        <f aca="false">IF($E15="","",IFERROR(VLOOKUP($E15,Machine_List!$B:$G,6,0),""))</f>
        <v>Contract Workman</v>
      </c>
      <c r="G15" s="55" t="n">
        <f aca="false">IF($E15="","",IFERROR(VLOOKUP($E15,Machine_List!$B:$C,2,0),""))</f>
        <v>46106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IF($A15="","",IF($I15&lt;&gt;"",$I15,MAX(VENT_Plan!$M15,IFERROR(LOOKUP(2,1/($E$3:INDIRECT("E"&amp;(ROW()-1))=$E15),$M$3:INDIRECT("M"&amp;(ROW()-1))),VENT_Plan!$M15))))</f>
        <v>46215.5998677249</v>
      </c>
      <c r="K15" s="4" t="n">
        <f aca="false">IF($A15="","",IFERROR(VLOOKUP(B15,CHOOSE(MATCH(C15,Settings!$L$4:$L$10,0),OPR_2P!$A$4:$I$18,SEG_6P!$A$4:$I$18,SOL_4P!$A$4:$I$18,RW_2P!$A$4:$I$18,RW2_4P!$A$4:$I$18,FLAP_4P!$A$4:$I$18,TUBE_4P!$A$4:$I$18),7,0),0))</f>
        <v>22</v>
      </c>
      <c r="L15" s="4" t="n">
        <f aca="false">IF($A15="","",K15*D15)</f>
        <v>132</v>
      </c>
      <c r="M15" s="57" t="n">
        <f aca="false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46221.4927248677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S1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</row>
    <row r="16" customFormat="false" ht="28.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IF($A16="","",IFERROR(INDEX(Machine_List!$B$72:$B$81,MATCH("*"&amp;$B16&amp;"*",Machine_List!$J$72:$J$81,0)),"NO COMPATIBLE MACHINE"))</f>
        <v>FID-MC-01</v>
      </c>
      <c r="F16" s="54" t="str">
        <f aca="false">IF($E16="","",IFERROR(VLOOKUP($E16,Machine_List!$B:$G,6,0),""))</f>
        <v>Contract Workman</v>
      </c>
      <c r="G16" s="55" t="n">
        <f aca="false">IF($E16="","",IFERROR(VLOOKUP($E16,Machine_List!$B:$C,2,0),""))</f>
        <v>46106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IF($A16="","",IF($I16&lt;&gt;"",$I16,MAX(VENT_Plan!$M16,IFERROR(LOOKUP(2,1/($E$3:INDIRECT("E"&amp;(ROW()-1))=$E16),$M$3:INDIRECT("M"&amp;(ROW()-1))),VENT_Plan!$M16))))</f>
        <v>46221.4927248677</v>
      </c>
      <c r="K16" s="4" t="n">
        <f aca="false">IF($A16="","",IFERROR(VLOOKUP(B16,CHOOSE(MATCH(C16,Settings!$L$4:$L$10,0),OPR_2P!$A$4:$I$18,SEG_6P!$A$4:$I$18,SOL_4P!$A$4:$I$18,RW_2P!$A$4:$I$18,RW2_4P!$A$4:$I$18,FLAP_4P!$A$4:$I$18,TUBE_4P!$A$4:$I$18),7,0),0))</f>
        <v>17</v>
      </c>
      <c r="L16" s="4" t="n">
        <f aca="false">IF($A16="","",K16*D16)</f>
        <v>34</v>
      </c>
      <c r="M16" s="57" t="n">
        <f aca="false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46223.0105820106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S2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</row>
    <row r="17" customFormat="false" ht="28.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IF($A17="","",IFERROR(INDEX(Machine_List!$B$72:$B$81,MATCH("*"&amp;$B17&amp;"*",Machine_List!$J$72:$J$81,0)),"NO COMPATIBLE MACHINE"))</f>
        <v>FID-MC-01</v>
      </c>
      <c r="F17" s="54" t="str">
        <f aca="false">IF($E17="","",IFERROR(VLOOKUP($E17,Machine_List!$B:$G,6,0),""))</f>
        <v>Contract Workman</v>
      </c>
      <c r="G17" s="55" t="n">
        <f aca="false">IF($E17="","",IFERROR(VLOOKUP($E17,Machine_List!$B:$C,2,0),""))</f>
        <v>46106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IF($A17="","",IF($I17&lt;&gt;"",$I17,MAX(VENT_Plan!$M17,IFERROR(LOOKUP(2,1/($E$3:INDIRECT("E"&amp;(ROW()-1))=$E17),$M$3:INDIRECT("M"&amp;(ROW()-1))),VENT_Plan!$M17))))</f>
        <v>46261.830026455</v>
      </c>
      <c r="K17" s="4" t="n">
        <f aca="false">IF($A17="","",IFERROR(VLOOKUP(B17,CHOOSE(MATCH(C17,Settings!$L$4:$L$10,0),OPR_2P!$A$4:$I$18,SEG_6P!$A$4:$I$18,SOL_4P!$A$4:$I$18,RW_2P!$A$4:$I$18,RW2_4P!$A$4:$I$18,FLAP_4P!$A$4:$I$18,TUBE_4P!$A$4:$I$18),7,0),0))</f>
        <v>59</v>
      </c>
      <c r="L17" s="4" t="n">
        <f aca="false">IF($A17="","",K17*D17)</f>
        <v>354</v>
      </c>
      <c r="M17" s="57" t="n">
        <f aca="false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46277.6335978836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S1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</row>
    <row r="18" customFormat="false" ht="28.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IF($A18="","",IFERROR(INDEX(Machine_List!$B$72:$B$81,MATCH("*"&amp;$B18&amp;"*",Machine_List!$J$72:$J$81,0)),"NO COMPATIBLE MACHINE"))</f>
        <v>FID-MC-01</v>
      </c>
      <c r="F18" s="54" t="str">
        <f aca="false">IF($E18="","",IFERROR(VLOOKUP($E18,Machine_List!$B:$G,6,0),""))</f>
        <v>Contract Workman</v>
      </c>
      <c r="G18" s="55" t="n">
        <f aca="false">IF($E18="","",IFERROR(VLOOKUP($E18,Machine_List!$B:$C,2,0),""))</f>
        <v>46106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IF($A18="","",IF($I18&lt;&gt;"",$I18,MAX(VENT_Plan!$M18,IFERROR(LOOKUP(2,1/($E$3:INDIRECT("E"&amp;(ROW()-1))=$E18),$M$3:INDIRECT("M"&amp;(ROW()-1))),VENT_Plan!$M18))))</f>
        <v>46277.6335978836</v>
      </c>
      <c r="K18" s="4" t="n">
        <f aca="false">IF($A18="","",IFERROR(VLOOKUP(B18,CHOOSE(MATCH(C18,Settings!$L$4:$L$10,0),OPR_2P!$A$4:$I$18,SEG_6P!$A$4:$I$18,SOL_4P!$A$4:$I$18,RW_2P!$A$4:$I$18,RW2_4P!$A$4:$I$18,FLAP_4P!$A$4:$I$18,TUBE_4P!$A$4:$I$18),7,0),0))</f>
        <v>35</v>
      </c>
      <c r="L18" s="4" t="n">
        <f aca="false">IF($A18="","",K18*D18)</f>
        <v>70</v>
      </c>
      <c r="M18" s="57" t="n">
        <f aca="false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46280.7585978836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S1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</row>
    <row r="19" customFormat="false" ht="28.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IF($A19="","",IFERROR(INDEX(Machine_List!$B$72:$B$81,MATCH("*"&amp;$B19&amp;"*",Machine_List!$J$72:$J$81,0)),"NO COMPATIBLE MACHINE"))</f>
        <v>FID-MC-01</v>
      </c>
      <c r="F19" s="54" t="str">
        <f aca="false">IF($E19="","",IFERROR(VLOOKUP($E19,Machine_List!$B:$G,6,0),""))</f>
        <v>Contract Workman</v>
      </c>
      <c r="G19" s="55" t="n">
        <f aca="false">IF($E19="","",IFERROR(VLOOKUP($E19,Machine_List!$B:$C,2,0),""))</f>
        <v>46106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IF($A19="","",IF($I19&lt;&gt;"",$I19,MAX(VENT_Plan!$M19,IFERROR(LOOKUP(2,1/($E$3:INDIRECT("E"&amp;(ROW()-1))=$E19),$M$3:INDIRECT("M"&amp;(ROW()-1))),VENT_Plan!$M19))))</f>
        <v>46280.7585978836</v>
      </c>
      <c r="K19" s="4" t="n">
        <f aca="false">IF($A19="","",IFERROR(VLOOKUP(B19,CHOOSE(MATCH(C19,Settings!$L$4:$L$10,0),OPR_2P!$A$4:$I$18,SEG_6P!$A$4:$I$18,SOL_4P!$A$4:$I$18,RW_2P!$A$4:$I$18,RW2_4P!$A$4:$I$18,FLAP_4P!$A$4:$I$18,TUBE_4P!$A$4:$I$18),7,0),0))</f>
        <v>77</v>
      </c>
      <c r="L19" s="4" t="n">
        <f aca="false">IF($A19="","",K19*D19)</f>
        <v>154</v>
      </c>
      <c r="M19" s="57" t="n">
        <f aca="false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46287.6335978836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S1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</row>
    <row r="20" customFormat="false" ht="28.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IF($A20="","",IFERROR(INDEX(Machine_List!$B$72:$B$81,MATCH("*"&amp;$B20&amp;"*",Machine_List!$J$72:$J$81,0)),"NO COMPATIBLE MACHINE"))</f>
        <v>FID-MC-01</v>
      </c>
      <c r="F20" s="54" t="str">
        <f aca="false">IF($E20="","",IFERROR(VLOOKUP($E20,Machine_List!$B:$G,6,0),""))</f>
        <v>Contract Workman</v>
      </c>
      <c r="G20" s="55" t="n">
        <f aca="false">IF($E20="","",IFERROR(VLOOKUP($E20,Machine_List!$B:$C,2,0),""))</f>
        <v>46106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IF($A20="","",IF($I20&lt;&gt;"",$I20,MAX(VENT_Plan!$M20,IFERROR(LOOKUP(2,1/($E$3:INDIRECT("E"&amp;(ROW()-1))=$E20),$M$3:INDIRECT("M"&amp;(ROW()-1))),VENT_Plan!$M20))))</f>
        <v>46287.6335978836</v>
      </c>
      <c r="K20" s="4" t="n">
        <f aca="false">IF($A20="","",IFERROR(VLOOKUP(B20,CHOOSE(MATCH(C20,Settings!$L$4:$L$10,0),OPR_2P!$A$4:$I$18,SEG_6P!$A$4:$I$18,SOL_4P!$A$4:$I$18,RW_2P!$A$4:$I$18,RW2_4P!$A$4:$I$18,FLAP_4P!$A$4:$I$18,TUBE_4P!$A$4:$I$18),7,0),0))</f>
        <v>23</v>
      </c>
      <c r="L20" s="4" t="n">
        <f aca="false">IF($A20="","",K20*D20)</f>
        <v>92</v>
      </c>
      <c r="M20" s="57" t="n">
        <f aca="false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46291.7407407407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S1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</row>
    <row r="21" customFormat="false" ht="28.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IF($A21="","",IFERROR(INDEX(Machine_List!$B$72:$B$81,MATCH("*"&amp;$B21&amp;"*",Machine_List!$J$72:$J$81,0)),"NO COMPATIBLE MACHINE"))</f>
        <v>FID-MC-01</v>
      </c>
      <c r="F21" s="54" t="str">
        <f aca="false">IF($E21="","",IFERROR(VLOOKUP($E21,Machine_List!$B:$G,6,0),""))</f>
        <v>Contract Workman</v>
      </c>
      <c r="G21" s="55" t="n">
        <f aca="false">IF($E21="","",IFERROR(VLOOKUP($E21,Machine_List!$B:$C,2,0),""))</f>
        <v>46106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IF($A21="","",IF($I21&lt;&gt;"",$I21,MAX(VENT_Plan!$M21,IFERROR(LOOKUP(2,1/($E$3:INDIRECT("E"&amp;(ROW()-1))=$E21),$M$3:INDIRECT("M"&amp;(ROW()-1))),VENT_Plan!$M21))))</f>
        <v>46306.2215608466</v>
      </c>
      <c r="K21" s="4" t="n">
        <f aca="false">IF($A21="","",IFERROR(VLOOKUP(B21,CHOOSE(MATCH(C21,Settings!$L$4:$L$10,0),OPR_2P!$A$4:$I$18,SEG_6P!$A$4:$I$18,SOL_4P!$A$4:$I$18,RW_2P!$A$4:$I$18,RW2_4P!$A$4:$I$18,FLAP_4P!$A$4:$I$18,TUBE_4P!$A$4:$I$18),7,0),0))</f>
        <v>52</v>
      </c>
      <c r="L21" s="4" t="n">
        <f aca="false">IF($A21="","",K21*D21)</f>
        <v>208</v>
      </c>
      <c r="M21" s="57" t="n">
        <f aca="false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46315.5072751323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S1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</row>
    <row r="22" customFormat="false" ht="28.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IF($A22="","",IFERROR(INDEX(Machine_List!$B$72:$B$81,MATCH("*"&amp;$B22&amp;"*",Machine_List!$J$72:$J$81,0)),"NO COMPATIBLE MACHINE"))</f>
        <v>FID-MC-01</v>
      </c>
      <c r="F22" s="54" t="str">
        <f aca="false">IF($E22="","",IFERROR(VLOOKUP($E22,Machine_List!$B:$G,6,0),""))</f>
        <v>Contract Workman</v>
      </c>
      <c r="G22" s="55" t="n">
        <f aca="false">IF($E22="","",IFERROR(VLOOKUP($E22,Machine_List!$B:$C,2,0),""))</f>
        <v>46106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IF($A22="","",IF($I22&lt;&gt;"",$I22,MAX(VENT_Plan!$M22,IFERROR(LOOKUP(2,1/($E$3:INDIRECT("E"&amp;(ROW()-1))=$E22),$M$3:INDIRECT("M"&amp;(ROW()-1))),VENT_Plan!$M22))))</f>
        <v>46315.5072751323</v>
      </c>
      <c r="K22" s="4" t="n">
        <f aca="false">IF($A22="","",IFERROR(VLOOKUP(B22,CHOOSE(MATCH(C22,Settings!$L$4:$L$10,0),OPR_2P!$A$4:$I$18,SEG_6P!$A$4:$I$18,SOL_4P!$A$4:$I$18,RW_2P!$A$4:$I$18,RW2_4P!$A$4:$I$18,FLAP_4P!$A$4:$I$18,TUBE_4P!$A$4:$I$18),7,0),0))</f>
        <v>35</v>
      </c>
      <c r="L22" s="4" t="n">
        <f aca="false">IF($A22="","",K22*D22)</f>
        <v>70</v>
      </c>
      <c r="M22" s="57" t="n">
        <f aca="false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46318.6322751323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S1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</row>
    <row r="23" customFormat="false" ht="28.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IF($A23="","",IFERROR(INDEX(Machine_List!$B$72:$B$81,MATCH("*"&amp;$B23&amp;"*",Machine_List!$J$72:$J$81,0)),"NO COMPATIBLE MACHINE"))</f>
        <v>FID-MC-01</v>
      </c>
      <c r="F23" s="54" t="str">
        <f aca="false">IF($E23="","",IFERROR(VLOOKUP($E23,Machine_List!$B:$G,6,0),""))</f>
        <v>Contract Workman</v>
      </c>
      <c r="G23" s="55" t="n">
        <f aca="false">IF($E23="","",IFERROR(VLOOKUP($E23,Machine_List!$B:$C,2,0),""))</f>
        <v>46106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IF($A23="","",IF($I23&lt;&gt;"",$I23,MAX(VENT_Plan!$M23,IFERROR(LOOKUP(2,1/($E$3:INDIRECT("E"&amp;(ROW()-1))=$E23),$M$3:INDIRECT("M"&amp;(ROW()-1))),VENT_Plan!$M23))))</f>
        <v>46318.6322751323</v>
      </c>
      <c r="K23" s="4" t="n">
        <f aca="false">IF($A23="","",IFERROR(VLOOKUP(B23,CHOOSE(MATCH(C23,Settings!$L$4:$L$10,0),OPR_2P!$A$4:$I$18,SEG_6P!$A$4:$I$18,SOL_4P!$A$4:$I$18,RW_2P!$A$4:$I$18,RW2_4P!$A$4:$I$18,FLAP_4P!$A$4:$I$18,TUBE_4P!$A$4:$I$18),7,0),0))</f>
        <v>2</v>
      </c>
      <c r="L23" s="4" t="n">
        <f aca="false">IF($A23="","",K23*D23)</f>
        <v>12</v>
      </c>
      <c r="M23" s="57" t="n">
        <f aca="false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46319.167989418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S2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</row>
    <row r="24" customFormat="false" ht="28.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IF($A24="","",IFERROR(INDEX(Machine_List!$B$72:$B$81,MATCH("*"&amp;$B24&amp;"*",Machine_List!$J$72:$J$81,0)),"NO COMPATIBLE MACHINE"))</f>
        <v>FID-MC-01</v>
      </c>
      <c r="F24" s="54" t="str">
        <f aca="false">IF($E24="","",IFERROR(VLOOKUP($E24,Machine_List!$B:$G,6,0),""))</f>
        <v>Contract Workman</v>
      </c>
      <c r="G24" s="55" t="n">
        <f aca="false">IF($E24="","",IFERROR(VLOOKUP($E24,Machine_List!$B:$C,2,0),""))</f>
        <v>46106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IF($A24="","",IF($I24&lt;&gt;"",$I24,MAX(VENT_Plan!$M24,IFERROR(LOOKUP(2,1/($E$3:INDIRECT("E"&amp;(ROW()-1))=$E24),$M$3:INDIRECT("M"&amp;(ROW()-1))),VENT_Plan!$M24))))</f>
        <v>46319.167989418</v>
      </c>
      <c r="K24" s="4" t="n">
        <f aca="false">IF($A24="","",IFERROR(VLOOKUP(B24,CHOOSE(MATCH(C24,Settings!$L$4:$L$10,0),OPR_2P!$A$4:$I$18,SEG_6P!$A$4:$I$18,SOL_4P!$A$4:$I$18,RW_2P!$A$4:$I$18,RW2_4P!$A$4:$I$18,FLAP_4P!$A$4:$I$18,TUBE_4P!$A$4:$I$18),7,0),0))</f>
        <v>84</v>
      </c>
      <c r="L24" s="4" t="n">
        <f aca="false">IF($A24="","",K24*D24)</f>
        <v>168</v>
      </c>
      <c r="M24" s="57" t="n">
        <f aca="false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46326.667989418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S1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</row>
    <row r="25" customFormat="false" ht="28.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IF($A25="","",IFERROR(INDEX(Machine_List!$B$72:$B$81,MATCH("*"&amp;$B25&amp;"*",Machine_List!$J$72:$J$81,0)),"NO COMPATIBLE MACHINE"))</f>
        <v>FID-MC-01</v>
      </c>
      <c r="F25" s="54" t="str">
        <f aca="false">IF($E25="","",IFERROR(VLOOKUP($E25,Machine_List!$B:$G,6,0),""))</f>
        <v>Contract Workman</v>
      </c>
      <c r="G25" s="55" t="n">
        <f aca="false">IF($E25="","",IFERROR(VLOOKUP($E25,Machine_List!$B:$C,2,0),""))</f>
        <v>46106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IF($A25="","",IF($I25&lt;&gt;"",$I25,MAX(VENT_Plan!$M25,IFERROR(LOOKUP(2,1/($E$3:INDIRECT("E"&amp;(ROW()-1))=$E25),$M$3:INDIRECT("M"&amp;(ROW()-1))),VENT_Plan!$M25))))</f>
        <v>46326.667989418</v>
      </c>
      <c r="K25" s="4" t="n">
        <f aca="false">IF($A25="","",IFERROR(VLOOKUP(B25,CHOOSE(MATCH(C25,Settings!$L$4:$L$10,0),OPR_2P!$A$4:$I$18,SEG_6P!$A$4:$I$18,SOL_4P!$A$4:$I$18,RW_2P!$A$4:$I$18,RW2_4P!$A$4:$I$18,FLAP_4P!$A$4:$I$18,TUBE_4P!$A$4:$I$18),7,0),0))</f>
        <v>35</v>
      </c>
      <c r="L25" s="4" t="n">
        <f aca="false">IF($A25="","",K25*D25)</f>
        <v>70</v>
      </c>
      <c r="M25" s="57" t="n">
        <f aca="false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46329.792989418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S1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customFormat="false" ht="28.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IF($A26="","",IFERROR(INDEX(Machine_List!$B$72:$B$81,MATCH("*"&amp;$B26&amp;"*",Machine_List!$J$72:$J$81,0)),"NO COMPATIBLE MACHINE"))</f>
        <v>FID-MC-01</v>
      </c>
      <c r="F26" s="54" t="str">
        <f aca="false">IF($E26="","",IFERROR(VLOOKUP($E26,Machine_List!$B:$G,6,0),""))</f>
        <v>Contract Workman</v>
      </c>
      <c r="G26" s="55" t="n">
        <f aca="false">IF($E26="","",IFERROR(VLOOKUP($E26,Machine_List!$B:$C,2,0),""))</f>
        <v>46106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IF($A26="","",IF($I26&lt;&gt;"",$I26,MAX(VENT_Plan!$M26,IFERROR(LOOKUP(2,1/($E$3:INDIRECT("E"&amp;(ROW()-1))=$E26),$M$3:INDIRECT("M"&amp;(ROW()-1))),VENT_Plan!$M26))))</f>
        <v>46329.792989418</v>
      </c>
      <c r="K26" s="4" t="n">
        <f aca="false">IF($A26="","",IFERROR(VLOOKUP(B26,CHOOSE(MATCH(C26,Settings!$L$4:$L$10,0),OPR_2P!$A$4:$I$18,SEG_6P!$A$4:$I$18,SOL_4P!$A$4:$I$18,RW_2P!$A$4:$I$18,RW2_4P!$A$4:$I$18,FLAP_4P!$A$4:$I$18,TUBE_4P!$A$4:$I$18),7,0),0))</f>
        <v>14</v>
      </c>
      <c r="L26" s="4" t="n">
        <f aca="false">IF($A26="","",K26*D26)</f>
        <v>28</v>
      </c>
      <c r="M26" s="57" t="n">
        <f aca="false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46331.042989418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S2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</row>
    <row r="27" customFormat="false" ht="28.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IF($A27="","",IFERROR(INDEX(Machine_List!$B$72:$B$81,MATCH("*"&amp;$B27&amp;"*",Machine_List!$J$72:$J$81,0)),"NO COMPATIBLE MACHINE"))</f>
        <v>FID-MC-01</v>
      </c>
      <c r="F27" s="54" t="str">
        <f aca="false">IF($E27="","",IFERROR(VLOOKUP($E27,Machine_List!$B:$G,6,0),""))</f>
        <v>Contract Workman</v>
      </c>
      <c r="G27" s="55" t="n">
        <f aca="false">IF($E27="","",IFERROR(VLOOKUP($E27,Machine_List!$B:$C,2,0),""))</f>
        <v>46106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IF($A27="","",IF($I27&lt;&gt;"",$I27,MAX(VENT_Plan!$M27,IFERROR(LOOKUP(2,1/($E$3:INDIRECT("E"&amp;(ROW()-1))=$E27),$M$3:INDIRECT("M"&amp;(ROW()-1))),VENT_Plan!$M27))))</f>
        <v>46337.7493386243</v>
      </c>
      <c r="K27" s="4" t="n">
        <f aca="false">IF($A27="","",IFERROR(VLOOKUP(B27,CHOOSE(MATCH(C27,Settings!$L$4:$L$10,0),OPR_2P!$A$4:$I$18,SEG_6P!$A$4:$I$18,SOL_4P!$A$4:$I$18,RW_2P!$A$4:$I$18,RW2_4P!$A$4:$I$18,FLAP_4P!$A$4:$I$18,TUBE_4P!$A$4:$I$18),7,0),0))</f>
        <v>78</v>
      </c>
      <c r="L27" s="4" t="n">
        <f aca="false">IF($A27="","",K27*D27)</f>
        <v>312</v>
      </c>
      <c r="M27" s="57" t="n">
        <f aca="false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46351.6779100529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S1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</row>
    <row r="28" customFormat="false" ht="28.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IF($A28="","",IFERROR(INDEX(Machine_List!$B$72:$B$81,MATCH("*"&amp;$B28&amp;"*",Machine_List!$J$72:$J$81,0)),"NO COMPATIBLE MACHINE"))</f>
        <v>FID-MC-01</v>
      </c>
      <c r="F28" s="54" t="str">
        <f aca="false">IF($E28="","",IFERROR(VLOOKUP($E28,Machine_List!$B:$G,6,0),""))</f>
        <v>Contract Workman</v>
      </c>
      <c r="G28" s="55" t="n">
        <f aca="false">IF($E28="","",IFERROR(VLOOKUP($E28,Machine_List!$B:$C,2,0),""))</f>
        <v>46106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IF($A28="","",IF($I28&lt;&gt;"",$I28,MAX(VENT_Plan!$M28,IFERROR(LOOKUP(2,1/($E$3:INDIRECT("E"&amp;(ROW()-1))=$E28),$M$3:INDIRECT("M"&amp;(ROW()-1))),VENT_Plan!$M28))))</f>
        <v>46351.6779100529</v>
      </c>
      <c r="K28" s="4" t="n">
        <f aca="false">IF($A28="","",IFERROR(VLOOKUP(B28,CHOOSE(MATCH(C28,Settings!$L$4:$L$10,0),OPR_2P!$A$4:$I$18,SEG_6P!$A$4:$I$18,SOL_4P!$A$4:$I$18,RW_2P!$A$4:$I$18,RW2_4P!$A$4:$I$18,FLAP_4P!$A$4:$I$18,TUBE_4P!$A$4:$I$18),7,0),0))</f>
        <v>51</v>
      </c>
      <c r="L28" s="4" t="n">
        <f aca="false">IF($A28="","",K28*D28)</f>
        <v>102</v>
      </c>
      <c r="M28" s="57" t="n">
        <f aca="false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46356.2314814815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S2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</row>
    <row r="29" customFormat="false" ht="28.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IF($A29="","",IFERROR(INDEX(Machine_List!$B$72:$B$81,MATCH("*"&amp;$B29&amp;"*",Machine_List!$J$72:$J$81,0)),"NO COMPATIBLE MACHINE"))</f>
        <v>FID-MC-01</v>
      </c>
      <c r="F29" s="54" t="str">
        <f aca="false">IF($E29="","",IFERROR(VLOOKUP($E29,Machine_List!$B:$G,6,0),""))</f>
        <v>Contract Workman</v>
      </c>
      <c r="G29" s="55" t="n">
        <f aca="false">IF($E29="","",IFERROR(VLOOKUP($E29,Machine_List!$B:$C,2,0),""))</f>
        <v>46106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IF($A29="","",IF($I29&lt;&gt;"",$I29,MAX(VENT_Plan!$M29,IFERROR(LOOKUP(2,1/($E$3:INDIRECT("E"&amp;(ROW()-1))=$E29),$M$3:INDIRECT("M"&amp;(ROW()-1))),VENT_Plan!$M29))))</f>
        <v>46356.2314814815</v>
      </c>
      <c r="K29" s="4" t="n">
        <f aca="false">IF($A29="","",IFERROR(VLOOKUP(B29,CHOOSE(MATCH(C29,Settings!$L$4:$L$10,0),OPR_2P!$A$4:$I$18,SEG_6P!$A$4:$I$18,SOL_4P!$A$4:$I$18,RW_2P!$A$4:$I$18,RW2_4P!$A$4:$I$18,FLAP_4P!$A$4:$I$18,TUBE_4P!$A$4:$I$18),7,0),0))</f>
        <v>51</v>
      </c>
      <c r="L29" s="4" t="n">
        <f aca="false">IF($A29="","",K29*D29)</f>
        <v>102</v>
      </c>
      <c r="M29" s="57" t="n">
        <f aca="false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46360.7850529101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S1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</row>
    <row r="30" customFormat="false" ht="28.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IF($A30="","",IFERROR(INDEX(Machine_List!$B$72:$B$81,MATCH("*"&amp;$B30&amp;"*",Machine_List!$J$72:$J$81,0)),"NO COMPATIBLE MACHINE"))</f>
        <v>FID-MC-01</v>
      </c>
      <c r="F30" s="54" t="str">
        <f aca="false">IF($E30="","",IFERROR(VLOOKUP($E30,Machine_List!$B:$G,6,0),""))</f>
        <v>Contract Workman</v>
      </c>
      <c r="G30" s="55" t="n">
        <f aca="false">IF($E30="","",IFERROR(VLOOKUP($E30,Machine_List!$B:$C,2,0),""))</f>
        <v>46106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IF($A30="","",IF($I30&lt;&gt;"",$I30,MAX(VENT_Plan!$M30,IFERROR(LOOKUP(2,1/($E$3:INDIRECT("E"&amp;(ROW()-1))=$E30),$M$3:INDIRECT("M"&amp;(ROW()-1))),VENT_Plan!$M30))))</f>
        <v>46360.7850529101</v>
      </c>
      <c r="K30" s="4" t="n">
        <f aca="false">IF($A30="","",IFERROR(VLOOKUP(B30,CHOOSE(MATCH(C30,Settings!$L$4:$L$10,0),OPR_2P!$A$4:$I$18,SEG_6P!$A$4:$I$18,SOL_4P!$A$4:$I$18,RW_2P!$A$4:$I$18,RW2_4P!$A$4:$I$18,FLAP_4P!$A$4:$I$18,TUBE_4P!$A$4:$I$18),7,0),0))</f>
        <v>14</v>
      </c>
      <c r="L30" s="4" t="n">
        <f aca="false">IF($A30="","",K30*D30)</f>
        <v>28</v>
      </c>
      <c r="M30" s="57" t="n">
        <f aca="false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46362.0350529101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S2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</row>
    <row r="31" customFormat="false" ht="28.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IF($A31="","",IFERROR(INDEX(Machine_List!$B$72:$B$81,MATCH("*"&amp;$B31&amp;"*",Machine_List!$J$72:$J$81,0)),"NO COMPATIBLE MACHINE"))</f>
        <v>FID-MC-01</v>
      </c>
      <c r="F31" s="54" t="str">
        <f aca="false">IF($E31="","",IFERROR(VLOOKUP($E31,Machine_List!$B:$G,6,0),""))</f>
        <v>Contract Workman</v>
      </c>
      <c r="G31" s="55" t="n">
        <f aca="false">IF($E31="","",IFERROR(VLOOKUP($E31,Machine_List!$B:$C,2,0),""))</f>
        <v>46106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IF($A31="","",IF($I31&lt;&gt;"",$I31,MAX(VENT_Plan!$M31,IFERROR(LOOKUP(2,1/($E$3:INDIRECT("E"&amp;(ROW()-1))=$E31),$M$3:INDIRECT("M"&amp;(ROW()-1))),VENT_Plan!$M31))))</f>
        <v>46362.0350529101</v>
      </c>
      <c r="K31" s="4" t="n">
        <f aca="false">IF($A31="","",IFERROR(VLOOKUP(B31,CHOOSE(MATCH(C31,Settings!$L$4:$L$10,0),OPR_2P!$A$4:$I$18,SEG_6P!$A$4:$I$18,SOL_4P!$A$4:$I$18,RW_2P!$A$4:$I$18,RW2_4P!$A$4:$I$18,FLAP_4P!$A$4:$I$18,TUBE_4P!$A$4:$I$18),7,0),0))</f>
        <v>35</v>
      </c>
      <c r="L31" s="4" t="n">
        <f aca="false">IF($A31="","",K31*D31)</f>
        <v>70</v>
      </c>
      <c r="M31" s="57" t="n">
        <f aca="false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46365.1600529101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S2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</row>
    <row r="32" customFormat="false" ht="28.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IF($A32="","",IFERROR(INDEX(Machine_List!$B$72:$B$81,MATCH("*"&amp;$B32&amp;"*",Machine_List!$J$72:$J$81,0)),"NO COMPATIBLE MACHINE"))</f>
        <v>FID-MC-01</v>
      </c>
      <c r="F32" s="54" t="str">
        <f aca="false">IF($E32="","",IFERROR(VLOOKUP($E32,Machine_List!$B:$G,6,0),""))</f>
        <v>Contract Workman</v>
      </c>
      <c r="G32" s="55" t="n">
        <f aca="false">IF($E32="","",IFERROR(VLOOKUP($E32,Machine_List!$B:$C,2,0),""))</f>
        <v>46106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IF($A32="","",IF($I32&lt;&gt;"",$I32,MAX(VENT_Plan!$M32,IFERROR(LOOKUP(2,1/($E$3:INDIRECT("E"&amp;(ROW()-1))=$E32),$M$3:INDIRECT("M"&amp;(ROW()-1))),VENT_Plan!$M32))))</f>
        <v>46365.1600529101</v>
      </c>
      <c r="K32" s="4" t="n">
        <f aca="false">IF($A32="","",IFERROR(VLOOKUP(B32,CHOOSE(MATCH(C32,Settings!$L$4:$L$10,0),OPR_2P!$A$4:$I$18,SEG_6P!$A$4:$I$18,SOL_4P!$A$4:$I$18,RW_2P!$A$4:$I$18,RW2_4P!$A$4:$I$18,FLAP_4P!$A$4:$I$18,TUBE_4P!$A$4:$I$18),7,0),0))</f>
        <v>31</v>
      </c>
      <c r="L32" s="4" t="n">
        <f aca="false">IF($A32="","",K32*D32)</f>
        <v>186</v>
      </c>
      <c r="M32" s="57" t="n">
        <f aca="false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46373.4636243386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S1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</row>
    <row r="33" customFormat="false" ht="28.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IF($A33="","",IFERROR(INDEX(Machine_List!$B$72:$B$81,MATCH("*"&amp;$B33&amp;"*",Machine_List!$J$72:$J$81,0)),"NO COMPATIBLE MACHINE"))</f>
        <v>FID-MC-01</v>
      </c>
      <c r="F33" s="54" t="str">
        <f aca="false">IF($E33="","",IFERROR(VLOOKUP($E33,Machine_List!$B:$G,6,0),""))</f>
        <v>Contract Workman</v>
      </c>
      <c r="G33" s="55" t="n">
        <f aca="false">IF($E33="","",IFERROR(VLOOKUP($E33,Machine_List!$B:$C,2,0),""))</f>
        <v>46106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IF($A33="","",IF($I33&lt;&gt;"",$I33,MAX(VENT_Plan!$M33,IFERROR(LOOKUP(2,1/($E$3:INDIRECT("E"&amp;(ROW()-1))=$E33),$M$3:INDIRECT("M"&amp;(ROW()-1))),VENT_Plan!$M33))))</f>
        <v>46373.4636243386</v>
      </c>
      <c r="K33" s="4" t="n">
        <f aca="false">IF($A33="","",IFERROR(VLOOKUP(B33,CHOOSE(MATCH(C33,Settings!$L$4:$L$10,0),OPR_2P!$A$4:$I$18,SEG_6P!$A$4:$I$18,SOL_4P!$A$4:$I$18,RW_2P!$A$4:$I$18,RW2_4P!$A$4:$I$18,FLAP_4P!$A$4:$I$18,TUBE_4P!$A$4:$I$18),7,0),0))</f>
        <v>6</v>
      </c>
      <c r="L33" s="4" t="n">
        <f aca="false">IF($A33="","",K33*D33)</f>
        <v>12</v>
      </c>
      <c r="M33" s="57" t="n">
        <f aca="false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46373.9993386243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S2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</row>
    <row r="34" customFormat="false" ht="28.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IF($A34="","",IFERROR(INDEX(Machine_List!$B$72:$B$81,MATCH("*"&amp;$B34&amp;"*",Machine_List!$J$72:$J$81,0)),"NO COMPATIBLE MACHINE"))</f>
        <v>FID-MC-01</v>
      </c>
      <c r="F34" s="54" t="str">
        <f aca="false">IF($E34="","",IFERROR(VLOOKUP($E34,Machine_List!$B:$G,6,0),""))</f>
        <v>Contract Workman</v>
      </c>
      <c r="G34" s="55" t="n">
        <f aca="false">IF($E34="","",IFERROR(VLOOKUP($E34,Machine_List!$B:$C,2,0),""))</f>
        <v>46106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IF($A34="","",IF($I34&lt;&gt;"",$I34,MAX(VENT_Plan!$M34,IFERROR(LOOKUP(2,1/($E$3:INDIRECT("E"&amp;(ROW()-1))=$E34),$M$3:INDIRECT("M"&amp;(ROW()-1))),VENT_Plan!$M34))))</f>
        <v>46373.9993386243</v>
      </c>
      <c r="K34" s="4" t="n">
        <f aca="false">IF($A34="","",IFERROR(VLOOKUP(B34,CHOOSE(MATCH(C34,Settings!$L$4:$L$10,0),OPR_2P!$A$4:$I$18,SEG_6P!$A$4:$I$18,SOL_4P!$A$4:$I$18,RW_2P!$A$4:$I$18,RW2_4P!$A$4:$I$18,FLAP_4P!$A$4:$I$18,TUBE_4P!$A$4:$I$18),7,0),0))</f>
        <v>84</v>
      </c>
      <c r="L34" s="4" t="n">
        <f aca="false">IF($A34="","",K34*D34)</f>
        <v>168</v>
      </c>
      <c r="M34" s="57" t="n">
        <f aca="false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46381.4993386243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S1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</row>
    <row r="35" customFormat="false" ht="28.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IF($A35="","",IFERROR(INDEX(Machine_List!$B$72:$B$81,MATCH("*"&amp;$B35&amp;"*",Machine_List!$J$72:$J$81,0)),"NO COMPATIBLE MACHINE"))</f>
        <v>FID-MC-01</v>
      </c>
      <c r="F35" s="54" t="str">
        <f aca="false">IF($E35="","",IFERROR(VLOOKUP($E35,Machine_List!$B:$G,6,0),""))</f>
        <v>Contract Workman</v>
      </c>
      <c r="G35" s="55" t="n">
        <f aca="false">IF($E35="","",IFERROR(VLOOKUP($E35,Machine_List!$B:$C,2,0),""))</f>
        <v>46106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IF($A35="","",IF($I35&lt;&gt;"",$I35,MAX(VENT_Plan!$M35,IFERROR(LOOKUP(2,1/($E$3:INDIRECT("E"&amp;(ROW()-1))=$E35),$M$3:INDIRECT("M"&amp;(ROW()-1))),VENT_Plan!$M35))))</f>
        <v>46381.4993386243</v>
      </c>
      <c r="K35" s="4" t="n">
        <f aca="false">IF($A35="","",IFERROR(VLOOKUP(B35,CHOOSE(MATCH(C35,Settings!$L$4:$L$10,0),OPR_2P!$A$4:$I$18,SEG_6P!$A$4:$I$18,SOL_4P!$A$4:$I$18,RW_2P!$A$4:$I$18,RW2_4P!$A$4:$I$18,FLAP_4P!$A$4:$I$18,TUBE_4P!$A$4:$I$18),7,0),0))</f>
        <v>18</v>
      </c>
      <c r="L35" s="4" t="n">
        <f aca="false">IF($A35="","",K35*D35)</f>
        <v>36</v>
      </c>
      <c r="M35" s="57" t="n">
        <f aca="false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46383.1064814815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S2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</row>
    <row r="36" customFormat="false" ht="28.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IF($A36="","",IFERROR(INDEX(Machine_List!$B$72:$B$81,MATCH("*"&amp;$B36&amp;"*",Machine_List!$J$72:$J$81,0)),"NO COMPATIBLE MACHINE"))</f>
        <v>FID-MC-01</v>
      </c>
      <c r="F36" s="54" t="str">
        <f aca="false">IF($E36="","",IFERROR(VLOOKUP($E36,Machine_List!$B:$G,6,0),""))</f>
        <v>Contract Workman</v>
      </c>
      <c r="G36" s="55" t="n">
        <f aca="false">IF($E36="","",IFERROR(VLOOKUP($E36,Machine_List!$B:$C,2,0),""))</f>
        <v>46106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IF($A36="","",IF($I36&lt;&gt;"",$I36,MAX(VENT_Plan!$M36,IFERROR(LOOKUP(2,1/($E$3:INDIRECT("E"&amp;(ROW()-1))=$E36),$M$3:INDIRECT("M"&amp;(ROW()-1))),VENT_Plan!$M36))))</f>
        <v>46383.1064814815</v>
      </c>
      <c r="K36" s="4" t="n">
        <f aca="false">IF($A36="","",IFERROR(VLOOKUP(B36,CHOOSE(MATCH(C36,Settings!$L$4:$L$10,0),OPR_2P!$A$4:$I$18,SEG_6P!$A$4:$I$18,SOL_4P!$A$4:$I$18,RW_2P!$A$4:$I$18,RW2_4P!$A$4:$I$18,FLAP_4P!$A$4:$I$18,TUBE_4P!$A$4:$I$18),7,0),0))</f>
        <v>70</v>
      </c>
      <c r="L36" s="4" t="n">
        <f aca="false">IF($A36="","",K36*D36)</f>
        <v>140</v>
      </c>
      <c r="M36" s="57" t="n">
        <f aca="false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46389.3564814815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</row>
    <row r="37" customFormat="false" ht="28.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IF($A37="","",IFERROR(INDEX(Machine_List!$B$72:$B$81,MATCH("*"&amp;$B37&amp;"*",Machine_List!$J$72:$J$81,0)),"NO COMPATIBLE MACHINE"))</f>
        <v>FID-MC-01</v>
      </c>
      <c r="F37" s="54" t="str">
        <f aca="false">IF($E37="","",IFERROR(VLOOKUP($E37,Machine_List!$B:$G,6,0),""))</f>
        <v>Contract Workman</v>
      </c>
      <c r="G37" s="55" t="n">
        <f aca="false">IF($E37="","",IFERROR(VLOOKUP($E37,Machine_List!$B:$C,2,0),""))</f>
        <v>46106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IF($A37="","",IF($I37&lt;&gt;"",$I37,MAX(VENT_Plan!$M37,IFERROR(LOOKUP(2,1/($E$3:INDIRECT("E"&amp;(ROW()-1))=$E37),$M$3:INDIRECT("M"&amp;(ROW()-1))),VENT_Plan!$M37))))</f>
        <v>46389.3564814815</v>
      </c>
      <c r="K37" s="4" t="n">
        <f aca="false">IF($A37="","",IFERROR(VLOOKUP(B37,CHOOSE(MATCH(C37,Settings!$L$4:$L$10,0),OPR_2P!$A$4:$I$18,SEG_6P!$A$4:$I$18,SOL_4P!$A$4:$I$18,RW_2P!$A$4:$I$18,RW2_4P!$A$4:$I$18,FLAP_4P!$A$4:$I$18,TUBE_4P!$A$4:$I$18),7,0),0))</f>
        <v>14</v>
      </c>
      <c r="L37" s="4" t="n">
        <f aca="false">IF($A37="","",K37*D37)</f>
        <v>28</v>
      </c>
      <c r="M37" s="57" t="n">
        <f aca="false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46390.6064814815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S1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</row>
    <row r="38" customFormat="false" ht="28.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IF($A38="","",IFERROR(INDEX(Machine_List!$B$72:$B$81,MATCH("*"&amp;$B38&amp;"*",Machine_List!$J$72:$J$81,0)),"NO COMPATIBLE MACHINE"))</f>
        <v>FID-MC-01</v>
      </c>
      <c r="F38" s="54" t="str">
        <f aca="false">IF($E38="","",IFERROR(VLOOKUP($E38,Machine_List!$B:$G,6,0),""))</f>
        <v>Contract Workman</v>
      </c>
      <c r="G38" s="55" t="n">
        <f aca="false">IF($E38="","",IFERROR(VLOOKUP($E38,Machine_List!$B:$C,2,0),""))</f>
        <v>46106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IF($A38="","",IF($I38&lt;&gt;"",$I38,MAX(VENT_Plan!$M38,IFERROR(LOOKUP(2,1/($E$3:INDIRECT("E"&amp;(ROW()-1))=$E38),$M$3:INDIRECT("M"&amp;(ROW()-1))),VENT_Plan!$M38))))</f>
        <v>46390.6064814815</v>
      </c>
      <c r="K38" s="4" t="n">
        <f aca="false">IF($A38="","",IFERROR(VLOOKUP(B38,CHOOSE(MATCH(C38,Settings!$L$4:$L$10,0),OPR_2P!$A$4:$I$18,SEG_6P!$A$4:$I$18,SOL_4P!$A$4:$I$18,RW_2P!$A$4:$I$18,RW2_4P!$A$4:$I$18,FLAP_4P!$A$4:$I$18,TUBE_4P!$A$4:$I$18),7,0),0))</f>
        <v>32</v>
      </c>
      <c r="L38" s="4" t="n">
        <f aca="false">IF($A38="","",K38*D38)</f>
        <v>64</v>
      </c>
      <c r="M38" s="57" t="n">
        <f aca="false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46393.4636243386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S1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</row>
    <row r="39" customFormat="false" ht="28.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IF($A39="","",IFERROR(INDEX(Machine_List!$B$72:$B$81,MATCH("*"&amp;$B39&amp;"*",Machine_List!$J$72:$J$81,0)),"NO COMPATIBLE MACHINE"))</f>
        <v>FID-MC-01</v>
      </c>
      <c r="F39" s="54" t="str">
        <f aca="false">IF($E39="","",IFERROR(VLOOKUP($E39,Machine_List!$B:$G,6,0),""))</f>
        <v>Contract Workman</v>
      </c>
      <c r="G39" s="55" t="n">
        <f aca="false">IF($E39="","",IFERROR(VLOOKUP($E39,Machine_List!$B:$C,2,0),""))</f>
        <v>46106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IF($A39="","",IF($I39&lt;&gt;"",$I39,MAX(VENT_Plan!$M39,IFERROR(LOOKUP(2,1/($E$3:INDIRECT("E"&amp;(ROW()-1))=$E39),$M$3:INDIRECT("M"&amp;(ROW()-1))),VENT_Plan!$M39))))</f>
        <v>46407.8948412698</v>
      </c>
      <c r="K39" s="4" t="n">
        <f aca="false">IF($A39="","",IFERROR(VLOOKUP(B39,CHOOSE(MATCH(C39,Settings!$L$4:$L$10,0),OPR_2P!$A$4:$I$18,SEG_6P!$A$4:$I$18,SOL_4P!$A$4:$I$18,RW_2P!$A$4:$I$18,RW2_4P!$A$4:$I$18,FLAP_4P!$A$4:$I$18,TUBE_4P!$A$4:$I$18),7,0),0))</f>
        <v>54</v>
      </c>
      <c r="L39" s="4" t="n">
        <f aca="false">IF($A39="","",K39*D39)</f>
        <v>216</v>
      </c>
      <c r="M39" s="57" t="n">
        <f aca="false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46417.5376984127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S1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</row>
    <row r="40" customFormat="false" ht="28.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IF($A40="","",IFERROR(INDEX(Machine_List!$B$72:$B$81,MATCH("*"&amp;$B40&amp;"*",Machine_List!$J$72:$J$81,0)),"NO COMPATIBLE MACHINE"))</f>
        <v>FID-MC-01</v>
      </c>
      <c r="F40" s="54" t="str">
        <f aca="false">IF($E40="","",IFERROR(VLOOKUP($E40,Machine_List!$B:$G,6,0),""))</f>
        <v>Contract Workman</v>
      </c>
      <c r="G40" s="55" t="n">
        <f aca="false">IF($E40="","",IFERROR(VLOOKUP($E40,Machine_List!$B:$C,2,0),""))</f>
        <v>46106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IF($A40="","",IF($I40&lt;&gt;"",$I40,MAX(VENT_Plan!$M40,IFERROR(LOOKUP(2,1/($E$3:INDIRECT("E"&amp;(ROW()-1))=$E40),$M$3:INDIRECT("M"&amp;(ROW()-1))),VENT_Plan!$M40))))</f>
        <v>46417.5376984127</v>
      </c>
      <c r="K40" s="4" t="n">
        <f aca="false">IF($A40="","",IFERROR(VLOOKUP(B40,CHOOSE(MATCH(C40,Settings!$L$4:$L$10,0),OPR_2P!$A$4:$I$18,SEG_6P!$A$4:$I$18,SOL_4P!$A$4:$I$18,RW_2P!$A$4:$I$18,RW2_4P!$A$4:$I$18,FLAP_4P!$A$4:$I$18,TUBE_4P!$A$4:$I$18),7,0),0))</f>
        <v>15</v>
      </c>
      <c r="L40" s="4" t="n">
        <f aca="false">IF($A40="","",K40*D40)</f>
        <v>30</v>
      </c>
      <c r="M40" s="57" t="n">
        <f aca="false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46418.876984127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S2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</row>
    <row r="41" customFormat="false" ht="28.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IF($A41="","",IFERROR(INDEX(Machine_List!$B$72:$B$81,MATCH("*"&amp;$B41&amp;"*",Machine_List!$J$72:$J$81,0)),"NO COMPATIBLE MACHINE"))</f>
        <v>FID-MC-01</v>
      </c>
      <c r="F41" s="54" t="str">
        <f aca="false">IF($E41="","",IFERROR(VLOOKUP($E41,Machine_List!$B:$G,6,0),""))</f>
        <v>Contract Workman</v>
      </c>
      <c r="G41" s="55" t="n">
        <f aca="false">IF($E41="","",IFERROR(VLOOKUP($E41,Machine_List!$B:$C,2,0),""))</f>
        <v>46106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IF($A41="","",IF($I41&lt;&gt;"",$I41,MAX(VENT_Plan!$M41,IFERROR(LOOKUP(2,1/($E$3:INDIRECT("E"&amp;(ROW()-1))=$E41),$M$3:INDIRECT("M"&amp;(ROW()-1))),VENT_Plan!$M41))))</f>
        <v>46418.876984127</v>
      </c>
      <c r="K41" s="4" t="n">
        <f aca="false">IF($A41="","",IFERROR(VLOOKUP(B41,CHOOSE(MATCH(C41,Settings!$L$4:$L$10,0),OPR_2P!$A$4:$I$18,SEG_6P!$A$4:$I$18,SOL_4P!$A$4:$I$18,RW_2P!$A$4:$I$18,RW2_4P!$A$4:$I$18,FLAP_4P!$A$4:$I$18,TUBE_4P!$A$4:$I$18),7,0),0))</f>
        <v>37</v>
      </c>
      <c r="L41" s="4" t="n">
        <f aca="false">IF($A41="","",K41*D41)</f>
        <v>74</v>
      </c>
      <c r="M41" s="57" t="n">
        <f aca="false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46422.1805555556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S2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</row>
    <row r="42" customFormat="false" ht="28.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IF($A42="","",IFERROR(INDEX(Machine_List!$B$72:$B$81,MATCH("*"&amp;$B42&amp;"*",Machine_List!$J$72:$J$81,0)),"NO COMPATIBLE MACHINE"))</f>
        <v>FID-MC-01</v>
      </c>
      <c r="F42" s="54" t="str">
        <f aca="false">IF($E42="","",IFERROR(VLOOKUP($E42,Machine_List!$B:$G,6,0),""))</f>
        <v>Contract Workman</v>
      </c>
      <c r="G42" s="55" t="n">
        <f aca="false">IF($E42="","",IFERROR(VLOOKUP($E42,Machine_List!$B:$C,2,0),""))</f>
        <v>46106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IF($A42="","",IF($I42&lt;&gt;"",$I42,MAX(VENT_Plan!$M42,IFERROR(LOOKUP(2,1/($E$3:INDIRECT("E"&amp;(ROW()-1))=$E42),$M$3:INDIRECT("M"&amp;(ROW()-1))),VENT_Plan!$M42))))</f>
        <v>46422.1805555556</v>
      </c>
      <c r="K42" s="4" t="n">
        <f aca="false">IF($A42="","",IFERROR(VLOOKUP(B42,CHOOSE(MATCH(C42,Settings!$L$4:$L$10,0),OPR_2P!$A$4:$I$18,SEG_6P!$A$4:$I$18,SOL_4P!$A$4:$I$18,RW_2P!$A$4:$I$18,RW2_4P!$A$4:$I$18,FLAP_4P!$A$4:$I$18,TUBE_4P!$A$4:$I$18),7,0),0))</f>
        <v>54</v>
      </c>
      <c r="L42" s="4" t="n">
        <f aca="false">IF($A42="","",K42*D42)</f>
        <v>108</v>
      </c>
      <c r="M42" s="57" t="n">
        <f aca="false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46427.001984127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S2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</row>
    <row r="43" customFormat="false" ht="28.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IF($A43="","",IFERROR(INDEX(Machine_List!$B$72:$B$81,MATCH("*"&amp;$B43&amp;"*",Machine_List!$J$72:$J$81,0)),"NO COMPATIBLE MACHINE"))</f>
        <v>FID-MC-01</v>
      </c>
      <c r="F43" s="54" t="str">
        <f aca="false">IF($E43="","",IFERROR(VLOOKUP($E43,Machine_List!$B:$G,6,0),""))</f>
        <v>Contract Workman</v>
      </c>
      <c r="G43" s="55" t="n">
        <f aca="false">IF($E43="","",IFERROR(VLOOKUP($E43,Machine_List!$B:$C,2,0),""))</f>
        <v>46106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IF($A43="","",IF($I43&lt;&gt;"",$I43,MAX(VENT_Plan!$M43,IFERROR(LOOKUP(2,1/($E$3:INDIRECT("E"&amp;(ROW()-1))=$E43),$M$3:INDIRECT("M"&amp;(ROW()-1))),VENT_Plan!$M43))))</f>
        <v>46427.001984127</v>
      </c>
      <c r="K43" s="4" t="n">
        <f aca="false">IF($A43="","",IFERROR(VLOOKUP(B43,CHOOSE(MATCH(C43,Settings!$L$4:$L$10,0),OPR_2P!$A$4:$I$18,SEG_6P!$A$4:$I$18,SOL_4P!$A$4:$I$18,RW_2P!$A$4:$I$18,RW2_4P!$A$4:$I$18,FLAP_4P!$A$4:$I$18,TUBE_4P!$A$4:$I$18),7,0),0))</f>
        <v>6</v>
      </c>
      <c r="L43" s="4" t="n">
        <f aca="false">IF($A43="","",K43*D43)</f>
        <v>12</v>
      </c>
      <c r="M43" s="57" t="n">
        <f aca="false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46427.5376984127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S1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</row>
    <row r="44" customFormat="false" ht="28.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IF($A44="","",IFERROR(INDEX(Machine_List!$B$72:$B$81,MATCH("*"&amp;$B44&amp;"*",Machine_List!$J$72:$J$81,0)),"NO COMPATIBLE MACHINE"))</f>
        <v>FID-MC-01</v>
      </c>
      <c r="F44" s="54" t="str">
        <f aca="false">IF($E44="","",IFERROR(VLOOKUP($E44,Machine_List!$B:$G,6,0),""))</f>
        <v>Contract Workman</v>
      </c>
      <c r="G44" s="55" t="n">
        <f aca="false">IF($E44="","",IFERROR(VLOOKUP($E44,Machine_List!$B:$C,2,0),""))</f>
        <v>46106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IF($A44="","",IF($I44&lt;&gt;"",$I44,MAX(VENT_Plan!$M44,IFERROR(LOOKUP(2,1/($E$3:INDIRECT("E"&amp;(ROW()-1))=$E44),$M$3:INDIRECT("M"&amp;(ROW()-1))),VENT_Plan!$M44))))</f>
        <v>46427.5376984127</v>
      </c>
      <c r="K44" s="4" t="n">
        <f aca="false">IF($A44="","",IFERROR(VLOOKUP(B44,CHOOSE(MATCH(C44,Settings!$L$4:$L$10,0),OPR_2P!$A$4:$I$18,SEG_6P!$A$4:$I$18,SOL_4P!$A$4:$I$18,RW_2P!$A$4:$I$18,RW2_4P!$A$4:$I$18,FLAP_4P!$A$4:$I$18,TUBE_4P!$A$4:$I$18),7,0),0))</f>
        <v>76</v>
      </c>
      <c r="L44" s="4" t="n">
        <f aca="false">IF($A44="","",K44*D44)</f>
        <v>152</v>
      </c>
      <c r="M44" s="57" t="n">
        <f aca="false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46434.3234126984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S2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</row>
    <row r="45" customFormat="false" ht="28.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IF($A45="","",IFERROR(INDEX(Machine_List!$B$72:$B$81,MATCH("*"&amp;$B45&amp;"*",Machine_List!$J$72:$J$81,0)),"NO COMPATIBLE MACHINE"))</f>
        <v>FID-MC-01</v>
      </c>
      <c r="F45" s="54" t="str">
        <f aca="false">IF($E45="","",IFERROR(VLOOKUP($E45,Machine_List!$B:$G,6,0),""))</f>
        <v>Contract Workman</v>
      </c>
      <c r="G45" s="55" t="n">
        <f aca="false">IF($E45="","",IFERROR(VLOOKUP($E45,Machine_List!$B:$C,2,0),""))</f>
        <v>46106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IF($A45="","",IF($I45&lt;&gt;"",$I45,MAX(VENT_Plan!$M45,IFERROR(LOOKUP(2,1/($E$3:INDIRECT("E"&amp;(ROW()-1))=$E45),$M$3:INDIRECT("M"&amp;(ROW()-1))),VENT_Plan!$M45))))</f>
        <v>46434.3234126984</v>
      </c>
      <c r="K45" s="4" t="n">
        <f aca="false">IF($A45="","",IFERROR(VLOOKUP(B45,CHOOSE(MATCH(C45,Settings!$L$4:$L$10,0),OPR_2P!$A$4:$I$18,SEG_6P!$A$4:$I$18,SOL_4P!$A$4:$I$18,RW_2P!$A$4:$I$18,RW2_4P!$A$4:$I$18,FLAP_4P!$A$4:$I$18,TUBE_4P!$A$4:$I$18),7,0),0))</f>
        <v>15</v>
      </c>
      <c r="L45" s="4" t="n">
        <f aca="false">IF($A45="","",K45*D45)</f>
        <v>30</v>
      </c>
      <c r="M45" s="57" t="n">
        <f aca="false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46435.6626984127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S1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</row>
    <row r="46" customFormat="false" ht="28.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IF($A46="","",IFERROR(INDEX(Machine_List!$B$72:$B$81,MATCH("*"&amp;$B46&amp;"*",Machine_List!$J$72:$J$81,0)),"NO COMPATIBLE MACHINE"))</f>
        <v>FID-MC-01</v>
      </c>
      <c r="F46" s="54" t="str">
        <f aca="false">IF($E46="","",IFERROR(VLOOKUP($E46,Machine_List!$B:$G,6,0),""))</f>
        <v>Contract Workman</v>
      </c>
      <c r="G46" s="55" t="n">
        <f aca="false">IF($E46="","",IFERROR(VLOOKUP($E46,Machine_List!$B:$C,2,0),""))</f>
        <v>46106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IF($A46="","",IF($I46&lt;&gt;"",$I46,MAX(VENT_Plan!$M46,IFERROR(LOOKUP(2,1/($E$3:INDIRECT("E"&amp;(ROW()-1))=$E46),$M$3:INDIRECT("M"&amp;(ROW()-1))),VENT_Plan!$M46))))</f>
        <v>46435.6626984127</v>
      </c>
      <c r="K46" s="4" t="n">
        <f aca="false">IF($A46="","",IFERROR(VLOOKUP(B46,CHOOSE(MATCH(C46,Settings!$L$4:$L$10,0),OPR_2P!$A$4:$I$18,SEG_6P!$A$4:$I$18,SOL_4P!$A$4:$I$18,RW_2P!$A$4:$I$18,RW2_4P!$A$4:$I$18,FLAP_4P!$A$4:$I$18,TUBE_4P!$A$4:$I$18),7,0),0))</f>
        <v>14</v>
      </c>
      <c r="L46" s="4" t="n">
        <f aca="false">IF($A46="","",K46*D46)</f>
        <v>28</v>
      </c>
      <c r="M46" s="57" t="n">
        <f aca="false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46436.9126984127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S2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</row>
    <row r="47" customFormat="false" ht="28.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IF($A47="","",IFERROR(INDEX(Machine_List!$B$72:$B$81,MATCH("*"&amp;$B47&amp;"*",Machine_List!$J$72:$J$81,0)),"NO COMPATIBLE MACHINE"))</f>
        <v>FID-MC-01</v>
      </c>
      <c r="F47" s="54" t="str">
        <f aca="false">IF($E47="","",IFERROR(VLOOKUP($E47,Machine_List!$B:$G,6,0),""))</f>
        <v>Contract Workman</v>
      </c>
      <c r="G47" s="55" t="n">
        <f aca="false">IF($E47="","",IFERROR(VLOOKUP($E47,Machine_List!$B:$C,2,0),""))</f>
        <v>46106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IF($A47="","",IF($I47&lt;&gt;"",$I47,MAX(VENT_Plan!$M47,IFERROR(LOOKUP(2,1/($E$3:INDIRECT("E"&amp;(ROW()-1))=$E47),$M$3:INDIRECT("M"&amp;(ROW()-1))),VENT_Plan!$M47))))</f>
        <v>46446.4596560847</v>
      </c>
      <c r="K47" s="4" t="n">
        <f aca="false">IF($A47="","",IFERROR(VLOOKUP(B47,CHOOSE(MATCH(C47,Settings!$L$4:$L$10,0),OPR_2P!$A$4:$I$18,SEG_6P!$A$4:$I$18,SOL_4P!$A$4:$I$18,RW_2P!$A$4:$I$18,RW2_4P!$A$4:$I$18,FLAP_4P!$A$4:$I$18,TUBE_4P!$A$4:$I$18),7,0),0))</f>
        <v>71</v>
      </c>
      <c r="L47" s="4" t="n">
        <f aca="false">IF($A47="","",K47*D47)</f>
        <v>284</v>
      </c>
      <c r="M47" s="57" t="n">
        <f aca="false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46459.1382275132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S2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</row>
    <row r="48" customFormat="false" ht="28.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IF($A48="","",IFERROR(INDEX(Machine_List!$B$72:$B$81,MATCH("*"&amp;$B48&amp;"*",Machine_List!$J$72:$J$81,0)),"NO COMPATIBLE MACHINE"))</f>
        <v>FID-MC-01</v>
      </c>
      <c r="F48" s="54" t="str">
        <f aca="false">IF($E48="","",IFERROR(VLOOKUP($E48,Machine_List!$B:$G,6,0),""))</f>
        <v>Contract Workman</v>
      </c>
      <c r="G48" s="55" t="n">
        <f aca="false">IF($E48="","",IFERROR(VLOOKUP($E48,Machine_List!$B:$C,2,0),""))</f>
        <v>46106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IF($A48="","",IF($I48&lt;&gt;"",$I48,MAX(VENT_Plan!$M48,IFERROR(LOOKUP(2,1/($E$3:INDIRECT("E"&amp;(ROW()-1))=$E48),$M$3:INDIRECT("M"&amp;(ROW()-1))),VENT_Plan!$M48))))</f>
        <v>46459.1382275132</v>
      </c>
      <c r="K48" s="4" t="n">
        <f aca="false">IF($A48="","",IFERROR(VLOOKUP(B48,CHOOSE(MATCH(C48,Settings!$L$4:$L$10,0),OPR_2P!$A$4:$I$18,SEG_6P!$A$4:$I$18,SOL_4P!$A$4:$I$18,RW_2P!$A$4:$I$18,RW2_4P!$A$4:$I$18,FLAP_4P!$A$4:$I$18,TUBE_4P!$A$4:$I$18),7,0),0))</f>
        <v>6</v>
      </c>
      <c r="L48" s="4" t="n">
        <f aca="false">IF($A48="","",K48*D48)</f>
        <v>12</v>
      </c>
      <c r="M48" s="57" t="n">
        <f aca="false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46459.6739417989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S1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</row>
    <row r="49" customFormat="false" ht="28.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IF($A49="","",IFERROR(INDEX(Machine_List!$B$72:$B$81,MATCH("*"&amp;$B49&amp;"*",Machine_List!$J$72:$J$81,0)),"NO COMPATIBLE MACHINE"))</f>
        <v>FID-MC-01</v>
      </c>
      <c r="F49" s="54" t="str">
        <f aca="false">IF($E49="","",IFERROR(VLOOKUP($E49,Machine_List!$B:$G,6,0),""))</f>
        <v>Contract Workman</v>
      </c>
      <c r="G49" s="55" t="n">
        <f aca="false">IF($E49="","",IFERROR(VLOOKUP($E49,Machine_List!$B:$C,2,0),""))</f>
        <v>46106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IF($A49="","",IF($I49&lt;&gt;"",$I49,MAX(VENT_Plan!$M49,IFERROR(LOOKUP(2,1/($E$3:INDIRECT("E"&amp;(ROW()-1))=$E49),$M$3:INDIRECT("M"&amp;(ROW()-1))),VENT_Plan!$M49))))</f>
        <v>46459.6739417989</v>
      </c>
      <c r="K49" s="4" t="n">
        <f aca="false">IF($A49="","",IFERROR(VLOOKUP(B49,CHOOSE(MATCH(C49,Settings!$L$4:$L$10,0),OPR_2P!$A$4:$I$18,SEG_6P!$A$4:$I$18,SOL_4P!$A$4:$I$18,RW_2P!$A$4:$I$18,RW2_4P!$A$4:$I$18,FLAP_4P!$A$4:$I$18,TUBE_4P!$A$4:$I$18),7,0),0))</f>
        <v>25</v>
      </c>
      <c r="L49" s="4" t="n">
        <f aca="false">IF($A49="","",K49*D49)</f>
        <v>100</v>
      </c>
      <c r="M49" s="57" t="n">
        <f aca="false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46464.1382275132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S2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</row>
    <row r="50" customFormat="false" ht="28.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IF($A50="","",IFERROR(INDEX(Machine_List!$B$72:$B$81,MATCH("*"&amp;$B50&amp;"*",Machine_List!$J$72:$J$81,0)),"NO COMPATIBLE MACHINE"))</f>
        <v>FID-MC-01</v>
      </c>
      <c r="F50" s="54" t="str">
        <f aca="false">IF($E50="","",IFERROR(VLOOKUP($E50,Machine_List!$B:$G,6,0),""))</f>
        <v>Contract Workman</v>
      </c>
      <c r="G50" s="55" t="n">
        <f aca="false">IF($E50="","",IFERROR(VLOOKUP($E50,Machine_List!$B:$C,2,0),""))</f>
        <v>46106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IF($A50="","",IF($I50&lt;&gt;"",$I50,MAX(VENT_Plan!$M50,IFERROR(LOOKUP(2,1/($E$3:INDIRECT("E"&amp;(ROW()-1))=$E50),$M$3:INDIRECT("M"&amp;(ROW()-1))),VENT_Plan!$M50))))</f>
        <v>46464.1514550265</v>
      </c>
      <c r="K50" s="4" t="n">
        <f aca="false">IF($A50="","",IFERROR(VLOOKUP(B50,CHOOSE(MATCH(C50,Settings!$L$4:$L$10,0),OPR_2P!$A$4:$I$18,SEG_6P!$A$4:$I$18,SOL_4P!$A$4:$I$18,RW_2P!$A$4:$I$18,RW2_4P!$A$4:$I$18,FLAP_4P!$A$4:$I$18,TUBE_4P!$A$4:$I$18),7,0),0))</f>
        <v>25</v>
      </c>
      <c r="L50" s="4" t="n">
        <f aca="false">IF($A50="","",K50*D50)</f>
        <v>100</v>
      </c>
      <c r="M50" s="57" t="n">
        <f aca="false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46468.6157407407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S1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</row>
    <row r="51" customFormat="false" ht="28.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IF($A51="","",IFERROR(INDEX(Machine_List!$B$72:$B$81,MATCH("*"&amp;$B51&amp;"*",Machine_List!$J$72:$J$81,0)),"NO COMPATIBLE MACHINE"))</f>
        <v>FID-MC-01</v>
      </c>
      <c r="F51" s="54" t="str">
        <f aca="false">IF($E51="","",IFERROR(VLOOKUP($E51,Machine_List!$B:$G,6,0),""))</f>
        <v>Contract Workman</v>
      </c>
      <c r="G51" s="55" t="n">
        <f aca="false">IF($E51="","",IFERROR(VLOOKUP($E51,Machine_List!$B:$C,2,0),""))</f>
        <v>46106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IF($A51="","",IF($I51&lt;&gt;"",$I51,MAX(VENT_Plan!$M51,IFERROR(LOOKUP(2,1/($E$3:INDIRECT("E"&amp;(ROW()-1))=$E51),$M$3:INDIRECT("M"&amp;(ROW()-1))),VENT_Plan!$M51))))</f>
        <v>46468.6157407407</v>
      </c>
      <c r="K51" s="4" t="n">
        <f aca="false">IF($A51="","",IFERROR(VLOOKUP(B51,CHOOSE(MATCH(C51,Settings!$L$4:$L$10,0),OPR_2P!$A$4:$I$18,SEG_6P!$A$4:$I$18,SOL_4P!$A$4:$I$18,RW_2P!$A$4:$I$18,RW2_4P!$A$4:$I$18,FLAP_4P!$A$4:$I$18,TUBE_4P!$A$4:$I$18),7,0),0))</f>
        <v>23</v>
      </c>
      <c r="L51" s="4" t="n">
        <f aca="false">IF($A51="","",K51*D51)</f>
        <v>92</v>
      </c>
      <c r="M51" s="57" t="n">
        <f aca="false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46472.7228835979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S1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</row>
    <row r="52" customFormat="false" ht="28.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IF($A52="","",IFERROR(INDEX(Machine_List!$B$72:$B$81,MATCH("*"&amp;$B52&amp;"*",Machine_List!$J$72:$J$81,0)),"NO COMPATIBLE MACHINE"))</f>
        <v>FID-MC-01</v>
      </c>
      <c r="F52" s="54" t="str">
        <f aca="false">IF($E52="","",IFERROR(VLOOKUP($E52,Machine_List!$B:$G,6,0),""))</f>
        <v>Contract Workman</v>
      </c>
      <c r="G52" s="55" t="n">
        <f aca="false">IF($E52="","",IFERROR(VLOOKUP($E52,Machine_List!$B:$C,2,0),""))</f>
        <v>46106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IF($A52="","",IF($I52&lt;&gt;"",$I52,MAX(VENT_Plan!$M52,IFERROR(LOOKUP(2,1/($E$3:INDIRECT("E"&amp;(ROW()-1))=$E52),$M$3:INDIRECT("M"&amp;(ROW()-1))),VENT_Plan!$M52))))</f>
        <v>46472.7228835979</v>
      </c>
      <c r="K52" s="4" t="n">
        <f aca="false">IF($A52="","",IFERROR(VLOOKUP(B52,CHOOSE(MATCH(C52,Settings!$L$4:$L$10,0),OPR_2P!$A$4:$I$18,SEG_6P!$A$4:$I$18,SOL_4P!$A$4:$I$18,RW_2P!$A$4:$I$18,RW2_4P!$A$4:$I$18,FLAP_4P!$A$4:$I$18,TUBE_4P!$A$4:$I$18),7,0),0))</f>
        <v>37</v>
      </c>
      <c r="L52" s="4" t="n">
        <f aca="false">IF($A52="","",K52*D52)</f>
        <v>74</v>
      </c>
      <c r="M52" s="57" t="n">
        <f aca="false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46476.0264550265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S2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</row>
    <row r="53" customFormat="false" ht="28.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IF($A53="","",IFERROR(INDEX(Machine_List!$B$72:$B$81,MATCH("*"&amp;$B53&amp;"*",Machine_List!$J$72:$J$81,0)),"NO COMPATIBLE MACHINE"))</f>
        <v>FID-MC-01</v>
      </c>
      <c r="F53" s="54" t="str">
        <f aca="false">IF($E53="","",IFERROR(VLOOKUP($E53,Machine_List!$B:$G,6,0),""))</f>
        <v>Contract Workman</v>
      </c>
      <c r="G53" s="55" t="n">
        <f aca="false">IF($E53="","",IFERROR(VLOOKUP($E53,Machine_List!$B:$C,2,0),""))</f>
        <v>46106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IF($A53="","",IF($I53&lt;&gt;"",$I53,MAX(VENT_Plan!$M53,IFERROR(LOOKUP(2,1/($E$3:INDIRECT("E"&amp;(ROW()-1))=$E53),$M$3:INDIRECT("M"&amp;(ROW()-1))),VENT_Plan!$M53))))</f>
        <v>46476.0264550265</v>
      </c>
      <c r="K53" s="4" t="n">
        <f aca="false">IF($A53="","",IFERROR(VLOOKUP(B53,CHOOSE(MATCH(C53,Settings!$L$4:$L$10,0),OPR_2P!$A$4:$I$18,SEG_6P!$A$4:$I$18,SOL_4P!$A$4:$I$18,RW_2P!$A$4:$I$18,RW2_4P!$A$4:$I$18,FLAP_4P!$A$4:$I$18,TUBE_4P!$A$4:$I$18),7,0),0))</f>
        <v>11</v>
      </c>
      <c r="L53" s="4" t="n">
        <f aca="false">IF($A53="","",K53*D53)</f>
        <v>44</v>
      </c>
      <c r="M53" s="57" t="n">
        <f aca="false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46477.9907407407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S2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</row>
    <row r="54" customFormat="false" ht="28.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IF($A54="","",IFERROR(INDEX(Machine_List!$B$72:$B$81,MATCH("*"&amp;$B54&amp;"*",Machine_List!$J$72:$J$81,0)),"NO COMPATIBLE MACHINE"))</f>
        <v>FID-MC-01</v>
      </c>
      <c r="F54" s="54" t="str">
        <f aca="false">IF($E54="","",IFERROR(VLOOKUP($E54,Machine_List!$B:$G,6,0),""))</f>
        <v>Contract Workman</v>
      </c>
      <c r="G54" s="55" t="n">
        <f aca="false">IF($E54="","",IFERROR(VLOOKUP($E54,Machine_List!$B:$C,2,0),""))</f>
        <v>46106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IF($A54="","",IF($I54&lt;&gt;"",$I54,MAX(VENT_Plan!$M54,IFERROR(LOOKUP(2,1/($E$3:INDIRECT("E"&amp;(ROW()-1))=$E54),$M$3:INDIRECT("M"&amp;(ROW()-1))),VENT_Plan!$M54))))</f>
        <v>46477.9907407407</v>
      </c>
      <c r="K54" s="4" t="n">
        <f aca="false">IF($A54="","",IFERROR(VLOOKUP(B54,CHOOSE(MATCH(C54,Settings!$L$4:$L$10,0),OPR_2P!$A$4:$I$18,SEG_6P!$A$4:$I$18,SOL_4P!$A$4:$I$18,RW_2P!$A$4:$I$18,RW2_4P!$A$4:$I$18,FLAP_4P!$A$4:$I$18,TUBE_4P!$A$4:$I$18),7,0),0))</f>
        <v>18</v>
      </c>
      <c r="L54" s="4" t="n">
        <f aca="false">IF($A54="","",K54*D54)</f>
        <v>36</v>
      </c>
      <c r="M54" s="57" t="n">
        <f aca="false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46479.5978835979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S1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</row>
    <row r="55" customFormat="false" ht="28.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IF($A55="","",IFERROR(INDEX(Machine_List!$B$72:$B$81,MATCH("*"&amp;$B55&amp;"*",Machine_List!$J$72:$J$81,0)),"NO COMPATIBLE MACHINE"))</f>
        <v>FID-MC-01</v>
      </c>
      <c r="F55" s="54" t="str">
        <f aca="false">IF($E55="","",IFERROR(VLOOKUP($E55,Machine_List!$B:$G,6,0),""))</f>
        <v>Contract Workman</v>
      </c>
      <c r="G55" s="55" t="n">
        <f aca="false">IF($E55="","",IFERROR(VLOOKUP($E55,Machine_List!$B:$C,2,0),""))</f>
        <v>46106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IF($A55="","",IF($I55&lt;&gt;"",$I55,MAX(VENT_Plan!$M55,IFERROR(LOOKUP(2,1/($E$3:INDIRECT("E"&amp;(ROW()-1))=$E55),$M$3:INDIRECT("M"&amp;(ROW()-1))),VENT_Plan!$M55))))</f>
        <v>46479.5978835979</v>
      </c>
      <c r="K55" s="4" t="n">
        <f aca="false">IF($A55="","",IFERROR(VLOOKUP(B55,CHOOSE(MATCH(C55,Settings!$L$4:$L$10,0),OPR_2P!$A$4:$I$18,SEG_6P!$A$4:$I$18,SOL_4P!$A$4:$I$18,RW_2P!$A$4:$I$18,RW2_4P!$A$4:$I$18,FLAP_4P!$A$4:$I$18,TUBE_4P!$A$4:$I$18),7,0),0))</f>
        <v>24</v>
      </c>
      <c r="L55" s="4" t="n">
        <f aca="false">IF($A55="","",K55*D55)</f>
        <v>48</v>
      </c>
      <c r="M55" s="57" t="n">
        <f aca="false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46481.7407407407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S1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</row>
    <row r="56" customFormat="false" ht="28.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IF($A56="","",IFERROR(INDEX(Machine_List!$B$72:$B$81,MATCH("*"&amp;$B56&amp;"*",Machine_List!$J$72:$J$81,0)),"NO COMPATIBLE MACHINE"))</f>
        <v>FID-MC-01</v>
      </c>
      <c r="F56" s="54" t="str">
        <f aca="false">IF($E56="","",IFERROR(VLOOKUP($E56,Machine_List!$B:$G,6,0),""))</f>
        <v>Contract Workman</v>
      </c>
      <c r="G56" s="55" t="n">
        <f aca="false">IF($E56="","",IFERROR(VLOOKUP($E56,Machine_List!$B:$C,2,0),""))</f>
        <v>46106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IF($A56="","",IF($I56&lt;&gt;"",$I56,MAX(VENT_Plan!$M56,IFERROR(LOOKUP(2,1/($E$3:INDIRECT("E"&amp;(ROW()-1))=$E56),$M$3:INDIRECT("M"&amp;(ROW()-1))),VENT_Plan!$M56))))</f>
        <v>46481.7407407407</v>
      </c>
      <c r="K56" s="4" t="n">
        <f aca="false">IF($A56="","",IFERROR(VLOOKUP(B56,CHOOSE(MATCH(C56,Settings!$L$4:$L$10,0),OPR_2P!$A$4:$I$18,SEG_6P!$A$4:$I$18,SOL_4P!$A$4:$I$18,RW_2P!$A$4:$I$18,RW2_4P!$A$4:$I$18,FLAP_4P!$A$4:$I$18,TUBE_4P!$A$4:$I$18),7,0),0))</f>
        <v>12</v>
      </c>
      <c r="L56" s="4" t="n">
        <f aca="false">IF($A56="","",K56*D56)</f>
        <v>24</v>
      </c>
      <c r="M56" s="57" t="n">
        <f aca="false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46482.8121693122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S1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</row>
    <row r="57" customFormat="false" ht="28.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IF($A57="","",IFERROR(INDEX(Machine_List!$B$72:$B$81,MATCH("*"&amp;$B57&amp;"*",Machine_List!$J$72:$J$81,0)),"NO COMPATIBLE MACHINE"))</f>
        <v>FID-MC-01</v>
      </c>
      <c r="F57" s="54" t="str">
        <f aca="false">IF($E57="","",IFERROR(VLOOKUP($E57,Machine_List!$B:$G,6,0),""))</f>
        <v>Contract Workman</v>
      </c>
      <c r="G57" s="55" t="n">
        <f aca="false">IF($E57="","",IFERROR(VLOOKUP($E57,Machine_List!$B:$C,2,0),""))</f>
        <v>46106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IF($A57="","",IF($I57&lt;&gt;"",$I57,MAX(VENT_Plan!$M57,IFERROR(LOOKUP(2,1/($E$3:INDIRECT("E"&amp;(ROW()-1))=$E57),$M$3:INDIRECT("M"&amp;(ROW()-1))),VENT_Plan!$M57))))</f>
        <v>46507.0482804233</v>
      </c>
      <c r="K57" s="4" t="n">
        <f aca="false">IF($A57="","",IFERROR(VLOOKUP(B57,CHOOSE(MATCH(C57,Settings!$L$4:$L$10,0),OPR_2P!$A$4:$I$18,SEG_6P!$A$4:$I$18,SOL_4P!$A$4:$I$18,RW_2P!$A$4:$I$18,RW2_4P!$A$4:$I$18,FLAP_4P!$A$4:$I$18,TUBE_4P!$A$4:$I$18),7,0),0))</f>
        <v>33</v>
      </c>
      <c r="L57" s="4" t="n">
        <f aca="false">IF($A57="","",K57*D57)</f>
        <v>198</v>
      </c>
      <c r="M57" s="57" t="n">
        <f aca="false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46515.8875661376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S2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</row>
    <row r="58" customFormat="false" ht="28.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IF($A58="","",IFERROR(INDEX(Machine_List!$B$72:$B$81,MATCH("*"&amp;$B58&amp;"*",Machine_List!$J$72:$J$81,0)),"NO COMPATIBLE MACHINE"))</f>
        <v>FID-MC-01</v>
      </c>
      <c r="F58" s="54" t="str">
        <f aca="false">IF($E58="","",IFERROR(VLOOKUP($E58,Machine_List!$B:$G,6,0),""))</f>
        <v>Contract Workman</v>
      </c>
      <c r="G58" s="55" t="n">
        <f aca="false">IF($E58="","",IFERROR(VLOOKUP($E58,Machine_List!$B:$C,2,0),""))</f>
        <v>46106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IF($A58="","",IF($I58&lt;&gt;"",$I58,MAX(VENT_Plan!$M58,IFERROR(LOOKUP(2,1/($E$3:INDIRECT("E"&amp;(ROW()-1))=$E58),$M$3:INDIRECT("M"&amp;(ROW()-1))),VENT_Plan!$M58))))</f>
        <v>46515.8875661376</v>
      </c>
      <c r="K58" s="4" t="n">
        <f aca="false">IF($A58="","",IFERROR(VLOOKUP(B58,CHOOSE(MATCH(C58,Settings!$L$4:$L$10,0),OPR_2P!$A$4:$I$18,SEG_6P!$A$4:$I$18,SOL_4P!$A$4:$I$18,RW_2P!$A$4:$I$18,RW2_4P!$A$4:$I$18,FLAP_4P!$A$4:$I$18,TUBE_4P!$A$4:$I$18),7,0),0))</f>
        <v>37</v>
      </c>
      <c r="L58" s="4" t="n">
        <f aca="false">IF($A58="","",K58*D58)</f>
        <v>74</v>
      </c>
      <c r="M58" s="57" t="n">
        <f aca="false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46519.1911375661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S2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</row>
    <row r="59" customFormat="false" ht="28.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IF($A59="","",IFERROR(INDEX(Machine_List!$B$72:$B$81,MATCH("*"&amp;$B59&amp;"*",Machine_List!$J$72:$J$81,0)),"NO COMPATIBLE MACHINE"))</f>
        <v>FID-MC-01</v>
      </c>
      <c r="F59" s="54" t="str">
        <f aca="false">IF($E59="","",IFERROR(VLOOKUP($E59,Machine_List!$B:$G,6,0),""))</f>
        <v>Contract Workman</v>
      </c>
      <c r="G59" s="55" t="n">
        <f aca="false">IF($E59="","",IFERROR(VLOOKUP($E59,Machine_List!$B:$C,2,0),""))</f>
        <v>46106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IF($A59="","",IF($I59&lt;&gt;"",$I59,MAX(VENT_Plan!$M59,IFERROR(LOOKUP(2,1/($E$3:INDIRECT("E"&amp;(ROW()-1))=$E59),$M$3:INDIRECT("M"&amp;(ROW()-1))),VENT_Plan!$M59))))</f>
        <v>46519.1911375661</v>
      </c>
      <c r="K59" s="4" t="n">
        <f aca="false">IF($A59="","",IFERROR(VLOOKUP(B59,CHOOSE(MATCH(C59,Settings!$L$4:$L$10,0),OPR_2P!$A$4:$I$18,SEG_6P!$A$4:$I$18,SOL_4P!$A$4:$I$18,RW_2P!$A$4:$I$18,RW2_4P!$A$4:$I$18,FLAP_4P!$A$4:$I$18,TUBE_4P!$A$4:$I$18),7,0),0))</f>
        <v>77</v>
      </c>
      <c r="L59" s="4" t="n">
        <f aca="false">IF($A59="","",K59*D59)</f>
        <v>154</v>
      </c>
      <c r="M59" s="57" t="n">
        <f aca="false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46526.0661375661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S2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</row>
    <row r="60" customFormat="false" ht="28.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IF($A60="","",IFERROR(INDEX(Machine_List!$B$72:$B$81,MATCH("*"&amp;$B60&amp;"*",Machine_List!$J$72:$J$81,0)),"NO COMPATIBLE MACHINE"))</f>
        <v>FID-MC-01</v>
      </c>
      <c r="F60" s="54" t="str">
        <f aca="false">IF($E60="","",IFERROR(VLOOKUP($E60,Machine_List!$B:$G,6,0),""))</f>
        <v>Contract Workman</v>
      </c>
      <c r="G60" s="55" t="n">
        <f aca="false">IF($E60="","",IFERROR(VLOOKUP($E60,Machine_List!$B:$C,2,0),""))</f>
        <v>46106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IF($A60="","",IF($I60&lt;&gt;"",$I60,MAX(VENT_Plan!$M60,IFERROR(LOOKUP(2,1/($E$3:INDIRECT("E"&amp;(ROW()-1))=$E60),$M$3:INDIRECT("M"&amp;(ROW()-1))),VENT_Plan!$M60))))</f>
        <v>46560.7288359788</v>
      </c>
      <c r="K60" s="4" t="n">
        <f aca="false">IF($A60="","",IFERROR(VLOOKUP(B60,CHOOSE(MATCH(C60,Settings!$L$4:$L$10,0),OPR_2P!$A$4:$I$18,SEG_6P!$A$4:$I$18,SOL_4P!$A$4:$I$18,RW_2P!$A$4:$I$18,RW2_4P!$A$4:$I$18,FLAP_4P!$A$4:$I$18,TUBE_4P!$A$4:$I$18),7,0),0))</f>
        <v>59</v>
      </c>
      <c r="L60" s="4" t="n">
        <f aca="false">IF($A60="","",K60*D60)</f>
        <v>354</v>
      </c>
      <c r="M60" s="57" t="n">
        <f aca="false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46576.5324074074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S1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</row>
    <row r="61" customFormat="false" ht="28.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IF($A61="","",IFERROR(INDEX(Machine_List!$B$72:$B$81,MATCH("*"&amp;$B61&amp;"*",Machine_List!$J$72:$J$81,0)),"NO COMPATIBLE MACHINE"))</f>
        <v>FID-MC-01</v>
      </c>
      <c r="F61" s="54" t="str">
        <f aca="false">IF($E61="","",IFERROR(VLOOKUP($E61,Machine_List!$B:$G,6,0),""))</f>
        <v>Contract Workman</v>
      </c>
      <c r="G61" s="55" t="n">
        <f aca="false">IF($E61="","",IFERROR(VLOOKUP($E61,Machine_List!$B:$C,2,0),""))</f>
        <v>46106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IF($A61="","",IF($I61&lt;&gt;"",$I61,MAX(VENT_Plan!$M61,IFERROR(LOOKUP(2,1/($E$3:INDIRECT("E"&amp;(ROW()-1))=$E61),$M$3:INDIRECT("M"&amp;(ROW()-1))),VENT_Plan!$M61))))</f>
        <v>46576.5324074074</v>
      </c>
      <c r="K61" s="4" t="n">
        <f aca="false">IF($A61="","",IFERROR(VLOOKUP(B61,CHOOSE(MATCH(C61,Settings!$L$4:$L$10,0),OPR_2P!$A$4:$I$18,SEG_6P!$A$4:$I$18,SOL_4P!$A$4:$I$18,RW_2P!$A$4:$I$18,RW2_4P!$A$4:$I$18,FLAP_4P!$A$4:$I$18,TUBE_4P!$A$4:$I$18),7,0),0))</f>
        <v>54</v>
      </c>
      <c r="L61" s="4" t="n">
        <f aca="false">IF($A61="","",K61*D61)</f>
        <v>108</v>
      </c>
      <c r="M61" s="57" t="n">
        <f aca="false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46581.3538359788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S1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</row>
    <row r="62" customFormat="false" ht="28.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IF($A62="","",IFERROR(INDEX(Machine_List!$B$72:$B$81,MATCH("*"&amp;$B62&amp;"*",Machine_List!$J$72:$J$81,0)),"NO COMPATIBLE MACHINE"))</f>
        <v>FID-MC-01</v>
      </c>
      <c r="F62" s="54" t="str">
        <f aca="false">IF($E62="","",IFERROR(VLOOKUP($E62,Machine_List!$B:$G,6,0),""))</f>
        <v>Contract Workman</v>
      </c>
      <c r="G62" s="55" t="n">
        <f aca="false">IF($E62="","",IFERROR(VLOOKUP($E62,Machine_List!$B:$C,2,0),""))</f>
        <v>46106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IF($A62="","",IF($I62&lt;&gt;"",$I62,MAX(VENT_Plan!$M62,IFERROR(LOOKUP(2,1/($E$3:INDIRECT("E"&amp;(ROW()-1))=$E62),$M$3:INDIRECT("M"&amp;(ROW()-1))),VENT_Plan!$M62))))</f>
        <v>46581.3538359788</v>
      </c>
      <c r="K62" s="4" t="n">
        <f aca="false">IF($A62="","",IFERROR(VLOOKUP(B62,CHOOSE(MATCH(C62,Settings!$L$4:$L$10,0),OPR_2P!$A$4:$I$18,SEG_6P!$A$4:$I$18,SOL_4P!$A$4:$I$18,RW_2P!$A$4:$I$18,RW2_4P!$A$4:$I$18,FLAP_4P!$A$4:$I$18,TUBE_4P!$A$4:$I$18),7,0),0))</f>
        <v>2</v>
      </c>
      <c r="L62" s="4" t="n">
        <f aca="false">IF($A62="","",K62*D62)</f>
        <v>12</v>
      </c>
      <c r="M62" s="57" t="n">
        <f aca="false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46581.8895502646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S2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</row>
    <row r="63" customFormat="false" ht="28.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IF($A63="","",IFERROR(INDEX(Machine_List!$B$72:$B$81,MATCH("*"&amp;$B63&amp;"*",Machine_List!$J$72:$J$81,0)),"NO COMPATIBLE MACHINE"))</f>
        <v>FID-MC-01</v>
      </c>
      <c r="F63" s="54" t="str">
        <f aca="false">IF($E63="","",IFERROR(VLOOKUP($E63,Machine_List!$B:$G,6,0),""))</f>
        <v>Contract Workman</v>
      </c>
      <c r="G63" s="55" t="n">
        <f aca="false">IF($E63="","",IFERROR(VLOOKUP($E63,Machine_List!$B:$C,2,0),""))</f>
        <v>46106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IF($A63="","",IF($I63&lt;&gt;"",$I63,MAX(VENT_Plan!$M63,IFERROR(LOOKUP(2,1/($E$3:INDIRECT("E"&amp;(ROW()-1))=$E63),$M$3:INDIRECT("M"&amp;(ROW()-1))),VENT_Plan!$M63))))</f>
        <v>46581.8895502646</v>
      </c>
      <c r="K63" s="4" t="n">
        <f aca="false">IF($A63="","",IFERROR(VLOOKUP(B63,CHOOSE(MATCH(C63,Settings!$L$4:$L$10,0),OPR_2P!$A$4:$I$18,SEG_6P!$A$4:$I$18,SOL_4P!$A$4:$I$18,RW_2P!$A$4:$I$18,RW2_4P!$A$4:$I$18,FLAP_4P!$A$4:$I$18,TUBE_4P!$A$4:$I$18),7,0),0))</f>
        <v>27</v>
      </c>
      <c r="L63" s="4" t="n">
        <f aca="false">IF($A63="","",K63*D63)</f>
        <v>162</v>
      </c>
      <c r="M63" s="57" t="n">
        <f aca="false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46589.1216931217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S2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</row>
    <row r="64" customFormat="false" ht="28.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IF($A64="","",IFERROR(INDEX(Machine_List!$B$72:$B$81,MATCH("*"&amp;$B64&amp;"*",Machine_List!$J$72:$J$81,0)),"NO COMPATIBLE MACHINE"))</f>
        <v>FID-MC-01</v>
      </c>
      <c r="F64" s="54" t="str">
        <f aca="false">IF($E64="","",IFERROR(VLOOKUP($E64,Machine_List!$B:$G,6,0),""))</f>
        <v>Contract Workman</v>
      </c>
      <c r="G64" s="55" t="n">
        <f aca="false">IF($E64="","",IFERROR(VLOOKUP($E64,Machine_List!$B:$C,2,0),""))</f>
        <v>46106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IF($A64="","",IF($I64&lt;&gt;"",$I64,MAX(VENT_Plan!$M64,IFERROR(LOOKUP(2,1/($E$3:INDIRECT("E"&amp;(ROW()-1))=$E64),$M$3:INDIRECT("M"&amp;(ROW()-1))),VENT_Plan!$M64))))</f>
        <v>46589.1216931217</v>
      </c>
      <c r="K64" s="4" t="n">
        <f aca="false">IF($A64="","",IFERROR(VLOOKUP(B64,CHOOSE(MATCH(C64,Settings!$L$4:$L$10,0),OPR_2P!$A$4:$I$18,SEG_6P!$A$4:$I$18,SOL_4P!$A$4:$I$18,RW_2P!$A$4:$I$18,RW2_4P!$A$4:$I$18,FLAP_4P!$A$4:$I$18,TUBE_4P!$A$4:$I$18),7,0),0))</f>
        <v>1</v>
      </c>
      <c r="L64" s="4" t="n">
        <f aca="false">IF($A64="","",K64*D64)</f>
        <v>2</v>
      </c>
      <c r="M64" s="57" t="n">
        <f aca="false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46589.210978836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S2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</row>
    <row r="65" customFormat="false" ht="28.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IF($A65="","",IFERROR(INDEX(Machine_List!$B$72:$B$81,MATCH("*"&amp;$B65&amp;"*",Machine_List!$J$72:$J$81,0)),"NO COMPATIBLE MACHINE"))</f>
        <v>FID-MC-01</v>
      </c>
      <c r="F65" s="54" t="str">
        <f aca="false">IF($E65="","",IFERROR(VLOOKUP($E65,Machine_List!$B:$G,6,0),""))</f>
        <v>Contract Workman</v>
      </c>
      <c r="G65" s="55" t="n">
        <f aca="false">IF($E65="","",IFERROR(VLOOKUP($E65,Machine_List!$B:$C,2,0),""))</f>
        <v>46106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IF($A65="","",IF($I65&lt;&gt;"",$I65,MAX(VENT_Plan!$M65,IFERROR(LOOKUP(2,1/($E$3:INDIRECT("E"&amp;(ROW()-1))=$E65),$M$3:INDIRECT("M"&amp;(ROW()-1))),VENT_Plan!$M65))))</f>
        <v>46610.6858465608</v>
      </c>
      <c r="K65" s="4" t="n">
        <f aca="false">IF($A65="","",IFERROR(VLOOKUP(B65,CHOOSE(MATCH(C65,Settings!$L$4:$L$10,0),OPR_2P!$A$4:$I$18,SEG_6P!$A$4:$I$18,SOL_4P!$A$4:$I$18,RW_2P!$A$4:$I$18,RW2_4P!$A$4:$I$18,FLAP_4P!$A$4:$I$18,TUBE_4P!$A$4:$I$18),7,0),0))</f>
        <v>84</v>
      </c>
      <c r="L65" s="4" t="n">
        <f aca="false">IF($A65="","",K65*D65)</f>
        <v>336</v>
      </c>
      <c r="M65" s="57" t="n">
        <f aca="false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46625.6858465608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S1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</row>
    <row r="66" customFormat="false" ht="28.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IF($A66="","",IFERROR(INDEX(Machine_List!$B$72:$B$81,MATCH("*"&amp;$B66&amp;"*",Machine_List!$J$72:$J$81,0)),"NO COMPATIBLE MACHINE"))</f>
        <v>FID-MC-01</v>
      </c>
      <c r="F66" s="54" t="str">
        <f aca="false">IF($E66="","",IFERROR(VLOOKUP($E66,Machine_List!$B:$G,6,0),""))</f>
        <v>Contract Workman</v>
      </c>
      <c r="G66" s="55" t="n">
        <f aca="false">IF($E66="","",IFERROR(VLOOKUP($E66,Machine_List!$B:$C,2,0),""))</f>
        <v>46106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IF($A66="","",IF($I66&lt;&gt;"",$I66,MAX(VENT_Plan!$M66,IFERROR(LOOKUP(2,1/($E$3:INDIRECT("E"&amp;(ROW()-1))=$E66),$M$3:INDIRECT("M"&amp;(ROW()-1))),VENT_Plan!$M66))))</f>
        <v>46625.6858465608</v>
      </c>
      <c r="K66" s="4" t="n">
        <f aca="false">IF($A66="","",IFERROR(VLOOKUP(B66,CHOOSE(MATCH(C66,Settings!$L$4:$L$10,0),OPR_2P!$A$4:$I$18,SEG_6P!$A$4:$I$18,SOL_4P!$A$4:$I$18,RW_2P!$A$4:$I$18,RW2_4P!$A$4:$I$18,FLAP_4P!$A$4:$I$18,TUBE_4P!$A$4:$I$18),7,0),0))</f>
        <v>41</v>
      </c>
      <c r="L66" s="4" t="n">
        <f aca="false">IF($A66="","",K66*D66)</f>
        <v>164</v>
      </c>
      <c r="M66" s="57" t="n">
        <f aca="false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46633.0072751323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S2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</row>
    <row r="67" customFormat="false" ht="28.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IF($A67="","",IFERROR(INDEX(Machine_List!$B$72:$B$81,MATCH("*"&amp;$B67&amp;"*",Machine_List!$J$72:$J$81,0)),"NO COMPATIBLE MACHINE"))</f>
        <v>FID-MC-01</v>
      </c>
      <c r="F67" s="54" t="str">
        <f aca="false">IF($E67="","",IFERROR(VLOOKUP($E67,Machine_List!$B:$G,6,0),""))</f>
        <v>Contract Workman</v>
      </c>
      <c r="G67" s="55" t="n">
        <f aca="false">IF($E67="","",IFERROR(VLOOKUP($E67,Machine_List!$B:$C,2,0),""))</f>
        <v>46106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IF($A67="","",IF($I67&lt;&gt;"",$I67,MAX(VENT_Plan!$M67,IFERROR(LOOKUP(2,1/($E$3:INDIRECT("E"&amp;(ROW()-1))=$E67),$M$3:INDIRECT("M"&amp;(ROW()-1))),VENT_Plan!$M67))))</f>
        <v>46633.0072751323</v>
      </c>
      <c r="K67" s="4" t="n">
        <f aca="false">IF($A67="","",IFERROR(VLOOKUP(B67,CHOOSE(MATCH(C67,Settings!$L$4:$L$10,0),OPR_2P!$A$4:$I$18,SEG_6P!$A$4:$I$18,SOL_4P!$A$4:$I$18,RW_2P!$A$4:$I$18,RW2_4P!$A$4:$I$18,FLAP_4P!$A$4:$I$18,TUBE_4P!$A$4:$I$18),7,0),0))</f>
        <v>14</v>
      </c>
      <c r="L67" s="4" t="n">
        <f aca="false">IF($A67="","",K67*D67)</f>
        <v>28</v>
      </c>
      <c r="M67" s="57" t="n">
        <f aca="false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46634.2572751323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S2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</row>
    <row r="68" customFormat="false" ht="28.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IF($A68="","",IFERROR(INDEX(Machine_List!$B$72:$B$81,MATCH("*"&amp;$B68&amp;"*",Machine_List!$J$72:$J$81,0)),"NO COMPATIBLE MACHINE"))</f>
        <v>FID-MC-01</v>
      </c>
      <c r="F68" s="54" t="str">
        <f aca="false">IF($E68="","",IFERROR(VLOOKUP($E68,Machine_List!$B:$G,6,0),""))</f>
        <v>Contract Workman</v>
      </c>
      <c r="G68" s="55" t="n">
        <f aca="false">IF($E68="","",IFERROR(VLOOKUP($E68,Machine_List!$B:$C,2,0),""))</f>
        <v>46106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IF($A68="","",IF($I68&lt;&gt;"",$I68,MAX(VENT_Plan!$M68,IFERROR(LOOKUP(2,1/($E$3:INDIRECT("E"&amp;(ROW()-1))=$E68),$M$3:INDIRECT("M"&amp;(ROW()-1))),VENT_Plan!$M68))))</f>
        <v>46634.2572751323</v>
      </c>
      <c r="K68" s="4" t="n">
        <f aca="false">IF($A68="","",IFERROR(VLOOKUP(B68,CHOOSE(MATCH(C68,Settings!$L$4:$L$10,0),OPR_2P!$A$4:$I$18,SEG_6P!$A$4:$I$18,SOL_4P!$A$4:$I$18,RW_2P!$A$4:$I$18,RW2_4P!$A$4:$I$18,FLAP_4P!$A$4:$I$18,TUBE_4P!$A$4:$I$18),7,0),0))</f>
        <v>11</v>
      </c>
      <c r="L68" s="4" t="n">
        <f aca="false">IF($A68="","",K68*D68)</f>
        <v>22</v>
      </c>
      <c r="M68" s="57" t="n">
        <f aca="false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46635.2394179894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S2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</row>
    <row r="69" customFormat="false" ht="28.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IF($A69="","",IFERROR(INDEX(Machine_List!$B$72:$B$81,MATCH("*"&amp;$B69&amp;"*",Machine_List!$J$72:$J$81,0)),"NO COMPATIBLE MACHINE"))</f>
        <v>FID-MC-01</v>
      </c>
      <c r="F69" s="54" t="str">
        <f aca="false">IF($E69="","",IFERROR(VLOOKUP($E69,Machine_List!$B:$G,6,0),""))</f>
        <v>Contract Workman</v>
      </c>
      <c r="G69" s="55" t="n">
        <f aca="false">IF($E69="","",IFERROR(VLOOKUP($E69,Machine_List!$B:$C,2,0),""))</f>
        <v>46106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IF($A69="","",IF($I69&lt;&gt;"",$I69,MAX(VENT_Plan!$M69,IFERROR(LOOKUP(2,1/($E$3:INDIRECT("E"&amp;(ROW()-1))=$E69),$M$3:INDIRECT("M"&amp;(ROW()-1))),VENT_Plan!$M69))))</f>
        <v>46635.2394179894</v>
      </c>
      <c r="K69" s="4" t="n">
        <f aca="false">IF($A69="","",IFERROR(VLOOKUP(B69,CHOOSE(MATCH(C69,Settings!$L$4:$L$10,0),OPR_2P!$A$4:$I$18,SEG_6P!$A$4:$I$18,SOL_4P!$A$4:$I$18,RW_2P!$A$4:$I$18,RW2_4P!$A$4:$I$18,FLAP_4P!$A$4:$I$18,TUBE_4P!$A$4:$I$18),7,0),0))</f>
        <v>77</v>
      </c>
      <c r="L69" s="4" t="n">
        <f aca="false">IF($A69="","",K69*D69)</f>
        <v>154</v>
      </c>
      <c r="M69" s="57" t="n">
        <f aca="false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46642.1144179894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S2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</row>
    <row r="70" customFormat="false" ht="28.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IF($A70="","",IFERROR(INDEX(Machine_List!$B$72:$B$81,MATCH("*"&amp;$B70&amp;"*",Machine_List!$J$72:$J$81,0)),"NO COMPATIBLE MACHINE"))</f>
        <v>FID-MC-01</v>
      </c>
      <c r="F70" s="54" t="str">
        <f aca="false">IF($E70="","",IFERROR(VLOOKUP($E70,Machine_List!$B:$G,6,0),""))</f>
        <v>Contract Workman</v>
      </c>
      <c r="G70" s="55" t="n">
        <f aca="false">IF($E70="","",IFERROR(VLOOKUP($E70,Machine_List!$B:$C,2,0),""))</f>
        <v>46106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IF($A70="","",IF($I70&lt;&gt;"",$I70,MAX(VENT_Plan!$M70,IFERROR(LOOKUP(2,1/($E$3:INDIRECT("E"&amp;(ROW()-1))=$E70),$M$3:INDIRECT("M"&amp;(ROW()-1))),VENT_Plan!$M70))))</f>
        <v>46642.1144179894</v>
      </c>
      <c r="K70" s="4" t="n">
        <f aca="false">IF($A70="","",IFERROR(VLOOKUP(B70,CHOOSE(MATCH(C70,Settings!$L$4:$L$10,0),OPR_2P!$A$4:$I$18,SEG_6P!$A$4:$I$18,SOL_4P!$A$4:$I$18,RW_2P!$A$4:$I$18,RW2_4P!$A$4:$I$18,FLAP_4P!$A$4:$I$18,TUBE_4P!$A$4:$I$18),7,0),0))</f>
        <v>71</v>
      </c>
      <c r="L70" s="4" t="n">
        <f aca="false">IF($A70="","",K70*D70)</f>
        <v>284</v>
      </c>
      <c r="M70" s="57" t="n">
        <f aca="false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46654.792989418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S1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</row>
    <row r="71" customFormat="false" ht="28.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IF($A71="","",IFERROR(INDEX(Machine_List!$B$72:$B$81,MATCH("*"&amp;$B71&amp;"*",Machine_List!$J$72:$J$81,0)),"NO COMPATIBLE MACHINE"))</f>
        <v>FID-MC-01</v>
      </c>
      <c r="F71" s="54" t="str">
        <f aca="false">IF($E71="","",IFERROR(VLOOKUP($E71,Machine_List!$B:$G,6,0),""))</f>
        <v>Contract Workman</v>
      </c>
      <c r="G71" s="55" t="n">
        <f aca="false">IF($E71="","",IFERROR(VLOOKUP($E71,Machine_List!$B:$C,2,0),""))</f>
        <v>46106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IF($A71="","",IF($I71&lt;&gt;"",$I71,MAX(VENT_Plan!$M71,IFERROR(LOOKUP(2,1/($E$3:INDIRECT("E"&amp;(ROW()-1))=$E71),$M$3:INDIRECT("M"&amp;(ROW()-1))),VENT_Plan!$M71))))</f>
        <v>46654.792989418</v>
      </c>
      <c r="K71" s="4" t="n">
        <f aca="false">IF($A71="","",IFERROR(VLOOKUP(B71,CHOOSE(MATCH(C71,Settings!$L$4:$L$10,0),OPR_2P!$A$4:$I$18,SEG_6P!$A$4:$I$18,SOL_4P!$A$4:$I$18,RW_2P!$A$4:$I$18,RW2_4P!$A$4:$I$18,FLAP_4P!$A$4:$I$18,TUBE_4P!$A$4:$I$18),7,0),0))</f>
        <v>11</v>
      </c>
      <c r="L71" s="4" t="n">
        <f aca="false">IF($A71="","",K71*D71)</f>
        <v>44</v>
      </c>
      <c r="M71" s="57" t="n">
        <f aca="false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46656.7572751323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S1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</row>
    <row r="72" customFormat="false" ht="28.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IF($A72="","",IFERROR(INDEX(Machine_List!$B$72:$B$81,MATCH("*"&amp;$B72&amp;"*",Machine_List!$J$72:$J$81,0)),"NO COMPATIBLE MACHINE"))</f>
        <v>FID-MC-01</v>
      </c>
      <c r="F72" s="54" t="str">
        <f aca="false">IF($E72="","",IFERROR(VLOOKUP($E72,Machine_List!$B:$G,6,0),""))</f>
        <v>Contract Workman</v>
      </c>
      <c r="G72" s="55" t="n">
        <f aca="false">IF($E72="","",IFERROR(VLOOKUP($E72,Machine_List!$B:$C,2,0),""))</f>
        <v>46106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IF($A72="","",IF($I72&lt;&gt;"",$I72,MAX(VENT_Plan!$M72,IFERROR(LOOKUP(2,1/($E$3:INDIRECT("E"&amp;(ROW()-1))=$E72),$M$3:INDIRECT("M"&amp;(ROW()-1))),VENT_Plan!$M72))))</f>
        <v>46656.7572751323</v>
      </c>
      <c r="K72" s="4" t="n">
        <f aca="false">IF($A72="","",IFERROR(VLOOKUP(B72,CHOOSE(MATCH(C72,Settings!$L$4:$L$10,0),OPR_2P!$A$4:$I$18,SEG_6P!$A$4:$I$18,SOL_4P!$A$4:$I$18,RW_2P!$A$4:$I$18,RW2_4P!$A$4:$I$18,FLAP_4P!$A$4:$I$18,TUBE_4P!$A$4:$I$18),7,0),0))</f>
        <v>17</v>
      </c>
      <c r="L72" s="4" t="n">
        <f aca="false">IF($A72="","",K72*D72)</f>
        <v>34</v>
      </c>
      <c r="M72" s="57" t="n">
        <f aca="false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46658.2751322751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S2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</row>
    <row r="73" customFormat="false" ht="28.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IF($A73="","",IFERROR(INDEX(Machine_List!$B$72:$B$81,MATCH("*"&amp;$B73&amp;"*",Machine_List!$J$72:$J$81,0)),"NO COMPATIBLE MACHINE"))</f>
        <v>FID-MC-01</v>
      </c>
      <c r="F73" s="54" t="str">
        <f aca="false">IF($E73="","",IFERROR(VLOOKUP($E73,Machine_List!$B:$G,6,0),""))</f>
        <v>Contract Workman</v>
      </c>
      <c r="G73" s="55" t="n">
        <f aca="false">IF($E73="","",IFERROR(VLOOKUP($E73,Machine_List!$B:$C,2,0),""))</f>
        <v>46106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IF($A73="","",IF($I73&lt;&gt;"",$I73,MAX(VENT_Plan!$M73,IFERROR(LOOKUP(2,1/($E$3:INDIRECT("E"&amp;(ROW()-1))=$E73),$M$3:INDIRECT("M"&amp;(ROW()-1))),VENT_Plan!$M73))))</f>
        <v>46658.2751322751</v>
      </c>
      <c r="K73" s="4" t="n">
        <f aca="false">IF($A73="","",IFERROR(VLOOKUP(B73,CHOOSE(MATCH(C73,Settings!$L$4:$L$10,0),OPR_2P!$A$4:$I$18,SEG_6P!$A$4:$I$18,SOL_4P!$A$4:$I$18,RW_2P!$A$4:$I$18,RW2_4P!$A$4:$I$18,FLAP_4P!$A$4:$I$18,TUBE_4P!$A$4:$I$18),7,0),0))</f>
        <v>17</v>
      </c>
      <c r="L73" s="4" t="n">
        <f aca="false">IF($A73="","",K73*D73)</f>
        <v>102</v>
      </c>
      <c r="M73" s="57" t="n">
        <f aca="false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46662.8287037037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S1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</row>
    <row r="74" customFormat="false" ht="14.2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IF($A74="","",IFERROR(INDEX(Machine_List!$B$72:$B$81,MATCH("*"&amp;$B74&amp;"*",Machine_List!$J$72:$J$81,0)),"NO COMPATIBLE MACHINE"))</f>
        <v/>
      </c>
      <c r="F74" s="5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IF($A74="","",IF($I74&lt;&gt;"",$I74,MAX(VENT_Plan!$M74,IFERROR(LOOKUP(2,1/($E$3:INDIRECT("E"&amp;(ROW()-1))=$E74),$M$3:INDIRECT("M"&amp;(ROW()-1))),VENT_Plan!$M74))))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IF($A74="","",IFERROR(VLOOKUP(B74,CHOOSE(MATCH(C74,Settings!$L$4:$L$10,0),OPR_2P!$A$4:$I$18,SEG_6P!$A$4:$I$18,SOL_4P!$A$4:$I$18,RW_2P!$A$4:$I$18,RW2_4P!$A$4:$I$18,FLAP_4P!$A$4:$I$18,TUBE_4P!$A$4:$I$18),7,0),0))</f>
        <v/>
      </c>
      <c r="L74" s="4" t="str">
        <f aca="false">IF($A74="","",K74*D74)</f>
        <v/>
      </c>
      <c r="M74" s="57" t="str">
        <f aca="false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</row>
    <row r="75" customFormat="false" ht="14.2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IF($A75="","",IFERROR(INDEX(Machine_List!$B$72:$B$81,MATCH("*"&amp;$B75&amp;"*",Machine_List!$J$72:$J$81,0)),"NO COMPATIBLE MACHINE"))</f>
        <v/>
      </c>
      <c r="F75" s="5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IF($A75="","",IF($I75&lt;&gt;"",$I75,MAX(VENT_Plan!$M75,IFERROR(LOOKUP(2,1/($E$3:INDIRECT("E"&amp;(ROW()-1))=$E75),$M$3:INDIRECT("M"&amp;(ROW()-1))),VENT_Plan!$M75))))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IF($A75="","",IFERROR(VLOOKUP(B75,CHOOSE(MATCH(C75,Settings!$L$4:$L$10,0),OPR_2P!$A$4:$I$18,SEG_6P!$A$4:$I$18,SOL_4P!$A$4:$I$18,RW_2P!$A$4:$I$18,RW2_4P!$A$4:$I$18,FLAP_4P!$A$4:$I$18,TUBE_4P!$A$4:$I$18),7,0),0))</f>
        <v/>
      </c>
      <c r="L75" s="4" t="str">
        <f aca="false">IF($A75="","",K75*D75)</f>
        <v/>
      </c>
      <c r="M75" s="57" t="str">
        <f aca="false"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</row>
    <row r="76" customFormat="false" ht="14.2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IF($A76="","",IFERROR(INDEX(Machine_List!$B$72:$B$81,MATCH("*"&amp;$B76&amp;"*",Machine_List!$J$72:$J$81,0)),"NO COMPATIBLE MACHINE"))</f>
        <v/>
      </c>
      <c r="F76" s="5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IF($A76="","",IF($I76&lt;&gt;"",$I76,MAX(VENT_Plan!$M76,IFERROR(LOOKUP(2,1/($E$3:INDIRECT("E"&amp;(ROW()-1))=$E76),$M$3:INDIRECT("M"&amp;(ROW()-1))),VENT_Plan!$M76))))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IF($A76="","",IFERROR(VLOOKUP(B76,CHOOSE(MATCH(C76,Settings!$L$4:$L$10,0),OPR_2P!$A$4:$I$18,SEG_6P!$A$4:$I$18,SOL_4P!$A$4:$I$18,RW_2P!$A$4:$I$18,RW2_4P!$A$4:$I$18,FLAP_4P!$A$4:$I$18,TUBE_4P!$A$4:$I$18),7,0),0))</f>
        <v/>
      </c>
      <c r="L76" s="4" t="str">
        <f aca="false">IF($A76="","",K76*D76)</f>
        <v/>
      </c>
      <c r="M76" s="57" t="str">
        <f aca="false"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</row>
    <row r="77" customFormat="false" ht="14.2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IF($A77="","",IFERROR(INDEX(Machine_List!$B$72:$B$81,MATCH("*"&amp;$B77&amp;"*",Machine_List!$J$72:$J$81,0)),"NO COMPATIBLE MACHINE"))</f>
        <v/>
      </c>
      <c r="F77" s="5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IF($A77="","",IF($I77&lt;&gt;"",$I77,MAX(VENT_Plan!$M77,IFERROR(LOOKUP(2,1/($E$3:INDIRECT("E"&amp;(ROW()-1))=$E77),$M$3:INDIRECT("M"&amp;(ROW()-1))),VENT_Plan!$M77))))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IF($A77="","",IFERROR(VLOOKUP(B77,CHOOSE(MATCH(C77,Settings!$L$4:$L$10,0),OPR_2P!$A$4:$I$18,SEG_6P!$A$4:$I$18,SOL_4P!$A$4:$I$18,RW_2P!$A$4:$I$18,RW2_4P!$A$4:$I$18,FLAP_4P!$A$4:$I$18,TUBE_4P!$A$4:$I$18),7,0),0))</f>
        <v/>
      </c>
      <c r="L77" s="4" t="str">
        <f aca="false">IF($A77="","",K77*D77)</f>
        <v/>
      </c>
      <c r="M77" s="57" t="str">
        <f aca="false"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</row>
    <row r="78" customFormat="false" ht="14.2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IF($A78="","",IFERROR(INDEX(Machine_List!$B$72:$B$81,MATCH("*"&amp;$B78&amp;"*",Machine_List!$J$72:$J$81,0)),"NO COMPATIBLE MACHINE"))</f>
        <v/>
      </c>
      <c r="F78" s="5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IF($A78="","",IF($I78&lt;&gt;"",$I78,MAX(VENT_Plan!$M78,IFERROR(LOOKUP(2,1/($E$3:INDIRECT("E"&amp;(ROW()-1))=$E78),$M$3:INDIRECT("M"&amp;(ROW()-1))),VENT_Plan!$M78))))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IF($A78="","",IFERROR(VLOOKUP(B78,CHOOSE(MATCH(C78,Settings!$L$4:$L$10,0),OPR_2P!$A$4:$I$18,SEG_6P!$A$4:$I$18,SOL_4P!$A$4:$I$18,RW_2P!$A$4:$I$18,RW2_4P!$A$4:$I$18,FLAP_4P!$A$4:$I$18,TUBE_4P!$A$4:$I$18),7,0),0))</f>
        <v/>
      </c>
      <c r="L78" s="4" t="str">
        <f aca="false">IF($A78="","",K78*D78)</f>
        <v/>
      </c>
      <c r="M78" s="57" t="str">
        <f aca="false"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</row>
    <row r="79" customFormat="false" ht="14.2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IF($A79="","",IFERROR(INDEX(Machine_List!$B$72:$B$81,MATCH("*"&amp;$B79&amp;"*",Machine_List!$J$72:$J$81,0)),"NO COMPATIBLE MACHINE"))</f>
        <v/>
      </c>
      <c r="F79" s="5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IF($A79="","",IF($I79&lt;&gt;"",$I79,MAX(VENT_Plan!$M79,IFERROR(LOOKUP(2,1/($E$3:INDIRECT("E"&amp;(ROW()-1))=$E79),$M$3:INDIRECT("M"&amp;(ROW()-1))),VENT_Plan!$M79))))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IF($A79="","",IFERROR(VLOOKUP(B79,CHOOSE(MATCH(C79,Settings!$L$4:$L$10,0),OPR_2P!$A$4:$I$18,SEG_6P!$A$4:$I$18,SOL_4P!$A$4:$I$18,RW_2P!$A$4:$I$18,RW2_4P!$A$4:$I$18,FLAP_4P!$A$4:$I$18,TUBE_4P!$A$4:$I$18),7,0),0))</f>
        <v/>
      </c>
      <c r="L79" s="4" t="str">
        <f aca="false">IF($A79="","",K79*D79)</f>
        <v/>
      </c>
      <c r="M79" s="57" t="str">
        <f aca="false"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</row>
    <row r="80" customFormat="false" ht="14.2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IF($A80="","",IFERROR(INDEX(Machine_List!$B$72:$B$81,MATCH("*"&amp;$B80&amp;"*",Machine_List!$J$72:$J$81,0)),"NO COMPATIBLE MACHINE"))</f>
        <v/>
      </c>
      <c r="F80" s="5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IF($A80="","",IF($I80&lt;&gt;"",$I80,MAX(VENT_Plan!$M80,IFERROR(LOOKUP(2,1/($E$3:INDIRECT("E"&amp;(ROW()-1))=$E80),$M$3:INDIRECT("M"&amp;(ROW()-1))),VENT_Plan!$M80))))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IF($A80="","",IFERROR(VLOOKUP(B80,CHOOSE(MATCH(C80,Settings!$L$4:$L$10,0),OPR_2P!$A$4:$I$18,SEG_6P!$A$4:$I$18,SOL_4P!$A$4:$I$18,RW_2P!$A$4:$I$18,RW2_4P!$A$4:$I$18,FLAP_4P!$A$4:$I$18,TUBE_4P!$A$4:$I$18),7,0),0))</f>
        <v/>
      </c>
      <c r="L80" s="4" t="str">
        <f aca="false">IF($A80="","",K80*D80)</f>
        <v/>
      </c>
      <c r="M80" s="57" t="str">
        <f aca="false"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IF($A81="","",IFERROR(INDEX(Machine_List!$B$72:$B$81,MATCH("*"&amp;$B81&amp;"*",Machine_List!$J$72:$J$81,0)),"NO COMPATIBLE MACHINE"))</f>
        <v/>
      </c>
      <c r="F81" s="5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IF($A81="","",IF($I81&lt;&gt;"",$I81,MAX(VENT_Plan!$M81,IFERROR(LOOKUP(2,1/($E$3:INDIRECT("E"&amp;(ROW()-1))=$E81),$M$3:INDIRECT("M"&amp;(ROW()-1))),VENT_Plan!$M81))))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IF($A81="","",IFERROR(VLOOKUP(B81,CHOOSE(MATCH(C81,Settings!$L$4:$L$10,0),OPR_2P!$A$4:$I$18,SEG_6P!$A$4:$I$18,SOL_4P!$A$4:$I$18,RW_2P!$A$4:$I$18,RW2_4P!$A$4:$I$18,FLAP_4P!$A$4:$I$18,TUBE_4P!$A$4:$I$18),7,0),0))</f>
        <v/>
      </c>
      <c r="L81" s="4" t="str">
        <f aca="false">IF($A81="","",K81*D81)</f>
        <v/>
      </c>
      <c r="M81" s="57" t="str">
        <f aca="false"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IF($A82="","",IFERROR(INDEX(Machine_List!$B$72:$B$81,MATCH("*"&amp;$B82&amp;"*",Machine_List!$J$72:$J$81,0)),"NO COMPATIBLE MACHINE"))</f>
        <v/>
      </c>
      <c r="F82" s="5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IF($A82="","",IF($I82&lt;&gt;"",$I82,MAX(VENT_Plan!$M82,IFERROR(LOOKUP(2,1/($E$3:INDIRECT("E"&amp;(ROW()-1))=$E82),$M$3:INDIRECT("M"&amp;(ROW()-1))),VENT_Plan!$M82))))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IF($A82="","",IFERROR(VLOOKUP(B82,CHOOSE(MATCH(C82,Settings!$L$4:$L$10,0),OPR_2P!$A$4:$I$18,SEG_6P!$A$4:$I$18,SOL_4P!$A$4:$I$18,RW_2P!$A$4:$I$18,RW2_4P!$A$4:$I$18,FLAP_4P!$A$4:$I$18,TUBE_4P!$A$4:$I$18),7,0),0))</f>
        <v/>
      </c>
      <c r="L82" s="4" t="str">
        <f aca="false">IF($A82="","",K82*D82)</f>
        <v/>
      </c>
      <c r="M82" s="57" t="str">
        <f aca="false"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IF($A83="","",IFERROR(INDEX(Machine_List!$B$72:$B$81,MATCH("*"&amp;$B83&amp;"*",Machine_List!$J$72:$J$81,0)),"NO COMPATIBLE MACHINE"))</f>
        <v/>
      </c>
      <c r="F83" s="5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IF($A83="","",IF($I83&lt;&gt;"",$I83,MAX(VENT_Plan!$M83,IFERROR(LOOKUP(2,1/($E$3:INDIRECT("E"&amp;(ROW()-1))=$E83),$M$3:INDIRECT("M"&amp;(ROW()-1))),VENT_Plan!$M83))))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IF($A83="","",IFERROR(VLOOKUP(B83,CHOOSE(MATCH(C83,Settings!$L$4:$L$10,0),OPR_2P!$A$4:$I$18,SEG_6P!$A$4:$I$18,SOL_4P!$A$4:$I$18,RW_2P!$A$4:$I$18,RW2_4P!$A$4:$I$18,FLAP_4P!$A$4:$I$18,TUBE_4P!$A$4:$I$18),7,0),0))</f>
        <v/>
      </c>
      <c r="L83" s="4" t="str">
        <f aca="false">IF($A83="","",K83*D83)</f>
        <v/>
      </c>
      <c r="M83" s="57" t="str">
        <f aca="false"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IF($A84="","",IFERROR(INDEX(Machine_List!$B$72:$B$81,MATCH("*"&amp;$B84&amp;"*",Machine_List!$J$72:$J$81,0)),"NO COMPATIBLE MACHINE"))</f>
        <v/>
      </c>
      <c r="F84" s="5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IF($A84="","",IF($I84&lt;&gt;"",$I84,MAX(VENT_Plan!$M84,IFERROR(LOOKUP(2,1/($E$3:INDIRECT("E"&amp;(ROW()-1))=$E84),$M$3:INDIRECT("M"&amp;(ROW()-1))),VENT_Plan!$M84))))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IF($A84="","",IFERROR(VLOOKUP(B84,CHOOSE(MATCH(C84,Settings!$L$4:$L$10,0),OPR_2P!$A$4:$I$18,SEG_6P!$A$4:$I$18,SOL_4P!$A$4:$I$18,RW_2P!$A$4:$I$18,RW2_4P!$A$4:$I$18,FLAP_4P!$A$4:$I$18,TUBE_4P!$A$4:$I$18),7,0),0))</f>
        <v/>
      </c>
      <c r="L84" s="4" t="str">
        <f aca="false">IF($A84="","",K84*D84)</f>
        <v/>
      </c>
      <c r="M84" s="57" t="str">
        <f aca="false"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IF($A85="","",IFERROR(INDEX(Machine_List!$B$72:$B$81,MATCH("*"&amp;$B85&amp;"*",Machine_List!$J$72:$J$81,0)),"NO COMPATIBLE MACHINE"))</f>
        <v/>
      </c>
      <c r="F85" s="5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IF($A85="","",IF($I85&lt;&gt;"",$I85,MAX(VENT_Plan!$M85,IFERROR(LOOKUP(2,1/($E$3:INDIRECT("E"&amp;(ROW()-1))=$E85),$M$3:INDIRECT("M"&amp;(ROW()-1))),VENT_Plan!$M85))))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IF($A85="","",IFERROR(VLOOKUP(B85,CHOOSE(MATCH(C85,Settings!$L$4:$L$10,0),OPR_2P!$A$4:$I$18,SEG_6P!$A$4:$I$18,SOL_4P!$A$4:$I$18,RW_2P!$A$4:$I$18,RW2_4P!$A$4:$I$18,FLAP_4P!$A$4:$I$18,TUBE_4P!$A$4:$I$18),7,0),0))</f>
        <v/>
      </c>
      <c r="L85" s="4" t="str">
        <f aca="false">IF($A85="","",K85*D85)</f>
        <v/>
      </c>
      <c r="M85" s="57" t="str">
        <f aca="false"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IF($A86="","",IFERROR(INDEX(Machine_List!$B$72:$B$81,MATCH("*"&amp;$B86&amp;"*",Machine_List!$J$72:$J$81,0)),"NO COMPATIBLE MACHINE"))</f>
        <v/>
      </c>
      <c r="F86" s="5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IF($A86="","",IF($I86&lt;&gt;"",$I86,MAX(VENT_Plan!$M86,IFERROR(LOOKUP(2,1/($E$3:INDIRECT("E"&amp;(ROW()-1))=$E86),$M$3:INDIRECT("M"&amp;(ROW()-1))),VENT_Plan!$M86))))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IF($A86="","",IFERROR(VLOOKUP(B86,CHOOSE(MATCH(C86,Settings!$L$4:$L$10,0),OPR_2P!$A$4:$I$18,SEG_6P!$A$4:$I$18,SOL_4P!$A$4:$I$18,RW_2P!$A$4:$I$18,RW2_4P!$A$4:$I$18,FLAP_4P!$A$4:$I$18,TUBE_4P!$A$4:$I$18),7,0),0))</f>
        <v/>
      </c>
      <c r="L86" s="4" t="str">
        <f aca="false">IF($A86="","",K86*D86)</f>
        <v/>
      </c>
      <c r="M86" s="57" t="str">
        <f aca="false"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IF($A87="","",IFERROR(INDEX(Machine_List!$B$72:$B$81,MATCH("*"&amp;$B87&amp;"*",Machine_List!$J$72:$J$81,0)),"NO COMPATIBLE MACHINE"))</f>
        <v/>
      </c>
      <c r="F87" s="5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IF($A87="","",IF($I87&lt;&gt;"",$I87,MAX(VENT_Plan!$M87,IFERROR(LOOKUP(2,1/($E$3:INDIRECT("E"&amp;(ROW()-1))=$E87),$M$3:INDIRECT("M"&amp;(ROW()-1))),VENT_Plan!$M87))))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IF($A87="","",IFERROR(VLOOKUP(B87,CHOOSE(MATCH(C87,Settings!$L$4:$L$10,0),OPR_2P!$A$4:$I$18,SEG_6P!$A$4:$I$18,SOL_4P!$A$4:$I$18,RW_2P!$A$4:$I$18,RW2_4P!$A$4:$I$18,FLAP_4P!$A$4:$I$18,TUBE_4P!$A$4:$I$18),7,0),0))</f>
        <v/>
      </c>
      <c r="L87" s="4" t="str">
        <f aca="false">IF($A87="","",K87*D87)</f>
        <v/>
      </c>
      <c r="M87" s="57" t="str">
        <f aca="false"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IF($A88="","",IFERROR(INDEX(Machine_List!$B$72:$B$81,MATCH("*"&amp;$B88&amp;"*",Machine_List!$J$72:$J$81,0)),"NO COMPATIBLE MACHINE"))</f>
        <v/>
      </c>
      <c r="F88" s="5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IF($A88="","",IF($I88&lt;&gt;"",$I88,MAX(VENT_Plan!$M88,IFERROR(LOOKUP(2,1/($E$3:INDIRECT("E"&amp;(ROW()-1))=$E88),$M$3:INDIRECT("M"&amp;(ROW()-1))),VENT_Plan!$M88))))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IF($A88="","",IFERROR(VLOOKUP(B88,CHOOSE(MATCH(C88,Settings!$L$4:$L$10,0),OPR_2P!$A$4:$I$18,SEG_6P!$A$4:$I$18,SOL_4P!$A$4:$I$18,RW_2P!$A$4:$I$18,RW2_4P!$A$4:$I$18,FLAP_4P!$A$4:$I$18,TUBE_4P!$A$4:$I$18),7,0),0))</f>
        <v/>
      </c>
      <c r="L88" s="4" t="str">
        <f aca="false">IF($A88="","",K88*D88)</f>
        <v/>
      </c>
      <c r="M88" s="57" t="str">
        <f aca="false"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IF($A89="","",IFERROR(INDEX(Machine_List!$B$72:$B$81,MATCH("*"&amp;$B89&amp;"*",Machine_List!$J$72:$J$81,0)),"NO COMPATIBLE MACHINE"))</f>
        <v/>
      </c>
      <c r="F89" s="5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IF($A89="","",IF($I89&lt;&gt;"",$I89,MAX(VENT_Plan!$M89,IFERROR(LOOKUP(2,1/($E$3:INDIRECT("E"&amp;(ROW()-1))=$E89),$M$3:INDIRECT("M"&amp;(ROW()-1))),VENT_Plan!$M89))))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IF($A89="","",IFERROR(VLOOKUP(B89,CHOOSE(MATCH(C89,Settings!$L$4:$L$10,0),OPR_2P!$A$4:$I$18,SEG_6P!$A$4:$I$18,SOL_4P!$A$4:$I$18,RW_2P!$A$4:$I$18,RW2_4P!$A$4:$I$18,FLAP_4P!$A$4:$I$18,TUBE_4P!$A$4:$I$18),7,0),0))</f>
        <v/>
      </c>
      <c r="L89" s="4" t="str">
        <f aca="false">IF($A89="","",K89*D89)</f>
        <v/>
      </c>
      <c r="M89" s="57" t="str">
        <f aca="false"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IF($A90="","",IFERROR(INDEX(Machine_List!$B$72:$B$81,MATCH("*"&amp;$B90&amp;"*",Machine_List!$J$72:$J$81,0)),"NO COMPATIBLE MACHINE"))</f>
        <v/>
      </c>
      <c r="F90" s="5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IF($A90="","",IF($I90&lt;&gt;"",$I90,MAX(VENT_Plan!$M90,IFERROR(LOOKUP(2,1/($E$3:INDIRECT("E"&amp;(ROW()-1))=$E90),$M$3:INDIRECT("M"&amp;(ROW()-1))),VENT_Plan!$M90))))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IF($A90="","",IFERROR(VLOOKUP(B90,CHOOSE(MATCH(C90,Settings!$L$4:$L$10,0),OPR_2P!$A$4:$I$18,SEG_6P!$A$4:$I$18,SOL_4P!$A$4:$I$18,RW_2P!$A$4:$I$18,RW2_4P!$A$4:$I$18,FLAP_4P!$A$4:$I$18,TUBE_4P!$A$4:$I$18),7,0),0))</f>
        <v/>
      </c>
      <c r="L90" s="4" t="str">
        <f aca="false">IF($A90="","",K90*D90)</f>
        <v/>
      </c>
      <c r="M90" s="57" t="str">
        <f aca="false"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IF($A91="","",IFERROR(INDEX(Machine_List!$B$72:$B$81,MATCH("*"&amp;$B91&amp;"*",Machine_List!$J$72:$J$81,0)),"NO COMPATIBLE MACHINE"))</f>
        <v/>
      </c>
      <c r="F91" s="5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IF($A91="","",IF($I91&lt;&gt;"",$I91,MAX(VENT_Plan!$M91,IFERROR(LOOKUP(2,1/($E$3:INDIRECT("E"&amp;(ROW()-1))=$E91),$M$3:INDIRECT("M"&amp;(ROW()-1))),VENT_Plan!$M91))))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IF($A91="","",IFERROR(VLOOKUP(B91,CHOOSE(MATCH(C91,Settings!$L$4:$L$10,0),OPR_2P!$A$4:$I$18,SEG_6P!$A$4:$I$18,SOL_4P!$A$4:$I$18,RW_2P!$A$4:$I$18,RW2_4P!$A$4:$I$18,FLAP_4P!$A$4:$I$18,TUBE_4P!$A$4:$I$18),7,0),0))</f>
        <v/>
      </c>
      <c r="L91" s="4" t="str">
        <f aca="false">IF($A91="","",K91*D91)</f>
        <v/>
      </c>
      <c r="M91" s="57" t="str">
        <f aca="false"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IF($A92="","",IFERROR(INDEX(Machine_List!$B$72:$B$81,MATCH("*"&amp;$B92&amp;"*",Machine_List!$J$72:$J$81,0)),"NO COMPATIBLE MACHINE"))</f>
        <v/>
      </c>
      <c r="F92" s="5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IF($A92="","",IF($I92&lt;&gt;"",$I92,MAX(VENT_Plan!$M92,IFERROR(LOOKUP(2,1/($E$3:INDIRECT("E"&amp;(ROW()-1))=$E92),$M$3:INDIRECT("M"&amp;(ROW()-1))),VENT_Plan!$M92))))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IF($A92="","",IFERROR(VLOOKUP(B92,CHOOSE(MATCH(C92,Settings!$L$4:$L$10,0),OPR_2P!$A$4:$I$18,SEG_6P!$A$4:$I$18,SOL_4P!$A$4:$I$18,RW_2P!$A$4:$I$18,RW2_4P!$A$4:$I$18,FLAP_4P!$A$4:$I$18,TUBE_4P!$A$4:$I$18),7,0),0))</f>
        <v/>
      </c>
      <c r="L92" s="4" t="str">
        <f aca="false">IF($A92="","",K92*D92)</f>
        <v/>
      </c>
      <c r="M92" s="57" t="str">
        <f aca="false"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IF($A93="","",IFERROR(INDEX(Machine_List!$B$72:$B$81,MATCH("*"&amp;$B93&amp;"*",Machine_List!$J$72:$J$81,0)),"NO COMPATIBLE MACHINE"))</f>
        <v/>
      </c>
      <c r="F93" s="5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IF($A93="","",IF($I93&lt;&gt;"",$I93,MAX(VENT_Plan!$M93,IFERROR(LOOKUP(2,1/($E$3:INDIRECT("E"&amp;(ROW()-1))=$E93),$M$3:INDIRECT("M"&amp;(ROW()-1))),VENT_Plan!$M93))))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IF($A93="","",IFERROR(VLOOKUP(B93,CHOOSE(MATCH(C93,Settings!$L$4:$L$10,0),OPR_2P!$A$4:$I$18,SEG_6P!$A$4:$I$18,SOL_4P!$A$4:$I$18,RW_2P!$A$4:$I$18,RW2_4P!$A$4:$I$18,FLAP_4P!$A$4:$I$18,TUBE_4P!$A$4:$I$18),7,0),0))</f>
        <v/>
      </c>
      <c r="L93" s="4" t="str">
        <f aca="false">IF($A93="","",K93*D93)</f>
        <v/>
      </c>
      <c r="M93" s="57" t="str">
        <f aca="false"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IF($A94="","",IFERROR(INDEX(Machine_List!$B$72:$B$81,MATCH("*"&amp;$B94&amp;"*",Machine_List!$J$72:$J$81,0)),"NO COMPATIBLE MACHINE"))</f>
        <v/>
      </c>
      <c r="F94" s="5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IF($A94="","",IF($I94&lt;&gt;"",$I94,MAX(VENT_Plan!$M94,IFERROR(LOOKUP(2,1/($E$3:INDIRECT("E"&amp;(ROW()-1))=$E94),$M$3:INDIRECT("M"&amp;(ROW()-1))),VENT_Plan!$M94))))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IF($A94="","",IFERROR(VLOOKUP(B94,CHOOSE(MATCH(C94,Settings!$L$4:$L$10,0),OPR_2P!$A$4:$I$18,SEG_6P!$A$4:$I$18,SOL_4P!$A$4:$I$18,RW_2P!$A$4:$I$18,RW2_4P!$A$4:$I$18,FLAP_4P!$A$4:$I$18,TUBE_4P!$A$4:$I$18),7,0),0))</f>
        <v/>
      </c>
      <c r="L94" s="4" t="str">
        <f aca="false">IF($A94="","",K94*D94)</f>
        <v/>
      </c>
      <c r="M94" s="57" t="str">
        <f aca="false"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IF($A95="","",IFERROR(INDEX(Machine_List!$B$72:$B$81,MATCH("*"&amp;$B95&amp;"*",Machine_List!$J$72:$J$81,0)),"NO COMPATIBLE MACHINE"))</f>
        <v/>
      </c>
      <c r="F95" s="5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IF($A95="","",IF($I95&lt;&gt;"",$I95,MAX(VENT_Plan!$M95,IFERROR(LOOKUP(2,1/($E$3:INDIRECT("E"&amp;(ROW()-1))=$E95),$M$3:INDIRECT("M"&amp;(ROW()-1))),VENT_Plan!$M95))))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IF($A95="","",IFERROR(VLOOKUP(B95,CHOOSE(MATCH(C95,Settings!$L$4:$L$10,0),OPR_2P!$A$4:$I$18,SEG_6P!$A$4:$I$18,SOL_4P!$A$4:$I$18,RW_2P!$A$4:$I$18,RW2_4P!$A$4:$I$18,FLAP_4P!$A$4:$I$18,TUBE_4P!$A$4:$I$18),7,0),0))</f>
        <v/>
      </c>
      <c r="L95" s="4" t="str">
        <f aca="false">IF($A95="","",K95*D95)</f>
        <v/>
      </c>
      <c r="M95" s="57" t="str">
        <f aca="false"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IF($A96="","",IFERROR(INDEX(Machine_List!$B$72:$B$81,MATCH("*"&amp;$B96&amp;"*",Machine_List!$J$72:$J$81,0)),"NO COMPATIBLE MACHINE"))</f>
        <v/>
      </c>
      <c r="F96" s="5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IF($A96="","",IF($I96&lt;&gt;"",$I96,MAX(VENT_Plan!$M96,IFERROR(LOOKUP(2,1/($E$3:INDIRECT("E"&amp;(ROW()-1))=$E96),$M$3:INDIRECT("M"&amp;(ROW()-1))),VENT_Plan!$M96))))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IF($A96="","",IFERROR(VLOOKUP(B96,CHOOSE(MATCH(C96,Settings!$L$4:$L$10,0),OPR_2P!$A$4:$I$18,SEG_6P!$A$4:$I$18,SOL_4P!$A$4:$I$18,RW_2P!$A$4:$I$18,RW2_4P!$A$4:$I$18,FLAP_4P!$A$4:$I$18,TUBE_4P!$A$4:$I$18),7,0),0))</f>
        <v/>
      </c>
      <c r="L96" s="4" t="str">
        <f aca="false">IF($A96="","",K96*D96)</f>
        <v/>
      </c>
      <c r="M96" s="57" t="str">
        <f aca="false"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IF($A97="","",IFERROR(INDEX(Machine_List!$B$72:$B$81,MATCH("*"&amp;$B97&amp;"*",Machine_List!$J$72:$J$81,0)),"NO COMPATIBLE MACHINE"))</f>
        <v/>
      </c>
      <c r="F97" s="5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IF($A97="","",IF($I97&lt;&gt;"",$I97,MAX(VENT_Plan!$M97,IFERROR(LOOKUP(2,1/($E$3:INDIRECT("E"&amp;(ROW()-1))=$E97),$M$3:INDIRECT("M"&amp;(ROW()-1))),VENT_Plan!$M97))))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IF($A97="","",IFERROR(VLOOKUP(B97,CHOOSE(MATCH(C97,Settings!$L$4:$L$10,0),OPR_2P!$A$4:$I$18,SEG_6P!$A$4:$I$18,SOL_4P!$A$4:$I$18,RW_2P!$A$4:$I$18,RW2_4P!$A$4:$I$18,FLAP_4P!$A$4:$I$18,TUBE_4P!$A$4:$I$18),7,0),0))</f>
        <v/>
      </c>
      <c r="L97" s="4" t="str">
        <f aca="false">IF($A97="","",K97*D97)</f>
        <v/>
      </c>
      <c r="M97" s="57" t="str">
        <f aca="false"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IF($A98="","",IFERROR(INDEX(Machine_List!$B$72:$B$81,MATCH("*"&amp;$B98&amp;"*",Machine_List!$J$72:$J$81,0)),"NO COMPATIBLE MACHINE"))</f>
        <v/>
      </c>
      <c r="F98" s="5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IF($A98="","",IF($I98&lt;&gt;"",$I98,MAX(VENT_Plan!$M98,IFERROR(LOOKUP(2,1/($E$3:INDIRECT("E"&amp;(ROW()-1))=$E98),$M$3:INDIRECT("M"&amp;(ROW()-1))),VENT_Plan!$M98))))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IF($A98="","",IFERROR(VLOOKUP(B98,CHOOSE(MATCH(C98,Settings!$L$4:$L$10,0),OPR_2P!$A$4:$I$18,SEG_6P!$A$4:$I$18,SOL_4P!$A$4:$I$18,RW_2P!$A$4:$I$18,RW2_4P!$A$4:$I$18,FLAP_4P!$A$4:$I$18,TUBE_4P!$A$4:$I$18),7,0),0))</f>
        <v/>
      </c>
      <c r="L98" s="4" t="str">
        <f aca="false">IF($A98="","",K98*D98)</f>
        <v/>
      </c>
      <c r="M98" s="57" t="str">
        <f aca="false"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IF($A99="","",IFERROR(INDEX(Machine_List!$B$72:$B$81,MATCH("*"&amp;$B99&amp;"*",Machine_List!$J$72:$J$81,0)),"NO COMPATIBLE MACHINE"))</f>
        <v/>
      </c>
      <c r="F99" s="5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IF($A99="","",IF($I99&lt;&gt;"",$I99,MAX(VENT_Plan!$M99,IFERROR(LOOKUP(2,1/($E$3:INDIRECT("E"&amp;(ROW()-1))=$E99),$M$3:INDIRECT("M"&amp;(ROW()-1))),VENT_Plan!$M99))))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IF($A99="","",IFERROR(VLOOKUP(B99,CHOOSE(MATCH(C99,Settings!$L$4:$L$10,0),OPR_2P!$A$4:$I$18,SEG_6P!$A$4:$I$18,SOL_4P!$A$4:$I$18,RW_2P!$A$4:$I$18,RW2_4P!$A$4:$I$18,FLAP_4P!$A$4:$I$18,TUBE_4P!$A$4:$I$18),7,0),0))</f>
        <v/>
      </c>
      <c r="L99" s="4" t="str">
        <f aca="false">IF($A99="","",K99*D99)</f>
        <v/>
      </c>
      <c r="M99" s="57" t="str">
        <f aca="false"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IF($A100="","",IFERROR(INDEX(Machine_List!$B$72:$B$81,MATCH("*"&amp;$B100&amp;"*",Machine_List!$J$72:$J$81,0)),"NO COMPATIBLE MACHINE"))</f>
        <v/>
      </c>
      <c r="F100" s="5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IF($A100="","",IF($I100&lt;&gt;"",$I100,MAX(VENT_Plan!$M100,IFERROR(LOOKUP(2,1/($E$3:INDIRECT("E"&amp;(ROW()-1))=$E100),$M$3:INDIRECT("M"&amp;(ROW()-1))),VENT_Plan!$M100))))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IF($A100="","",IFERROR(VLOOKUP(B100,CHOOSE(MATCH(C100,Settings!$L$4:$L$10,0),OPR_2P!$A$4:$I$18,SEG_6P!$A$4:$I$18,SOL_4P!$A$4:$I$18,RW_2P!$A$4:$I$18,RW2_4P!$A$4:$I$18,FLAP_4P!$A$4:$I$18,TUBE_4P!$A$4:$I$18),7,0),0))</f>
        <v/>
      </c>
      <c r="L100" s="4" t="str">
        <f aca="false">IF($A100="","",K100*D100)</f>
        <v/>
      </c>
      <c r="M100" s="57" t="str">
        <f aca="false"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IF($A101="","",IFERROR(INDEX(Machine_List!$B$72:$B$81,MATCH("*"&amp;$B101&amp;"*",Machine_List!$J$72:$J$81,0)),"NO COMPATIBLE MACHINE"))</f>
        <v/>
      </c>
      <c r="F101" s="5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IF($A101="","",IF($I101&lt;&gt;"",$I101,MAX(VENT_Plan!$M101,IFERROR(LOOKUP(2,1/($E$3:INDIRECT("E"&amp;(ROW()-1))=$E101),$M$3:INDIRECT("M"&amp;(ROW()-1))),VENT_Plan!$M101))))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IF($A101="","",IFERROR(VLOOKUP(B101,CHOOSE(MATCH(C101,Settings!$L$4:$L$10,0),OPR_2P!$A$4:$I$18,SEG_6P!$A$4:$I$18,SOL_4P!$A$4:$I$18,RW_2P!$A$4:$I$18,RW2_4P!$A$4:$I$18,FLAP_4P!$A$4:$I$18,TUBE_4P!$A$4:$I$18),7,0),0))</f>
        <v/>
      </c>
      <c r="L101" s="4" t="str">
        <f aca="false">IF($A101="","",K101*D101)</f>
        <v/>
      </c>
      <c r="M101" s="57" t="str">
        <f aca="false"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IF($A102="","",IFERROR(INDEX(Machine_List!$B$72:$B$81,MATCH("*"&amp;$B102&amp;"*",Machine_List!$J$72:$J$81,0)),"NO COMPATIBLE MACHINE"))</f>
        <v/>
      </c>
      <c r="F102" s="5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IF($A102="","",IF($I102&lt;&gt;"",$I102,MAX(VENT_Plan!$M102,IFERROR(LOOKUP(2,1/($E$3:INDIRECT("E"&amp;(ROW()-1))=$E102),$M$3:INDIRECT("M"&amp;(ROW()-1))),VENT_Plan!$M102))))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IF($A102="","",IFERROR(VLOOKUP(B102,CHOOSE(MATCH(C102,Settings!$L$4:$L$10,0),OPR_2P!$A$4:$I$18,SEG_6P!$A$4:$I$18,SOL_4P!$A$4:$I$18,RW_2P!$A$4:$I$18,RW2_4P!$A$4:$I$18,FLAP_4P!$A$4:$I$18,TUBE_4P!$A$4:$I$18),7,0),0))</f>
        <v/>
      </c>
      <c r="L102" s="4" t="str">
        <f aca="false">IF($A102="","",K102*D102)</f>
        <v/>
      </c>
      <c r="M102" s="57" t="str">
        <f aca="false"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IF($A103="","",IFERROR(INDEX(Machine_List!$B$72:$B$81,MATCH("*"&amp;$B103&amp;"*",Machine_List!$J$72:$J$81,0)),"NO COMPATIBLE MACHINE"))</f>
        <v/>
      </c>
      <c r="F103" s="5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IF($A103="","",IF($I103&lt;&gt;"",$I103,MAX(VENT_Plan!$M103,IFERROR(LOOKUP(2,1/($E$3:INDIRECT("E"&amp;(ROW()-1))=$E103),$M$3:INDIRECT("M"&amp;(ROW()-1))),VENT_Plan!$M103))))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IF($A103="","",IFERROR(VLOOKUP(B103,CHOOSE(MATCH(C103,Settings!$L$4:$L$10,0),OPR_2P!$A$4:$I$18,SEG_6P!$A$4:$I$18,SOL_4P!$A$4:$I$18,RW_2P!$A$4:$I$18,RW2_4P!$A$4:$I$18,FLAP_4P!$A$4:$I$18,TUBE_4P!$A$4:$I$18),7,0),0))</f>
        <v/>
      </c>
      <c r="L103" s="4" t="str">
        <f aca="false">IF($A103="","",K103*D103)</f>
        <v/>
      </c>
      <c r="M103" s="57" t="str">
        <f aca="false"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J104" s="1" t="str">
        <f aca="false">IF($A104="","",IF($I104&lt;&gt;"", $I104, VENT_Plan!$M104))</f>
        <v/>
      </c>
      <c r="L104" s="1" t="str">
        <f aca="false">IF($A104="","",K104*D104)</f>
        <v/>
      </c>
      <c r="O104" s="52"/>
    </row>
    <row r="105" customFormat="false" ht="15" hidden="false" customHeight="true" outlineLevel="0" collapsed="false">
      <c r="J105" s="1" t="str">
        <f aca="false">IF($A105="","",IF($I105&lt;&gt;"", $I105, VENT_Plan!$M105))</f>
        <v/>
      </c>
      <c r="L105" s="1" t="str">
        <f aca="false">IF($A105="","",K105*D105)</f>
        <v/>
      </c>
      <c r="O105" s="52"/>
    </row>
    <row r="106" customFormat="false" ht="15" hidden="false" customHeight="true" outlineLevel="0" collapsed="false">
      <c r="J106" s="1" t="str">
        <f aca="false">IF($A106="","",IF($I106&lt;&gt;"", $I106, VENT_Plan!$M106))</f>
        <v/>
      </c>
      <c r="L106" s="1" t="str">
        <f aca="false">IF($A106="","",K106*D106)</f>
        <v/>
      </c>
      <c r="O106" s="52"/>
    </row>
    <row r="107" customFormat="false" ht="15" hidden="false" customHeight="true" outlineLevel="0" collapsed="false">
      <c r="J107" s="1" t="str">
        <f aca="false">IF($A107="","",IF($I107&lt;&gt;"", $I107, VENT_Plan!$M107))</f>
        <v/>
      </c>
      <c r="L107" s="1" t="str">
        <f aca="false">IF($A107="","",K107*D107)</f>
        <v/>
      </c>
      <c r="O107" s="52"/>
    </row>
    <row r="108" customFormat="false" ht="15" hidden="false" customHeight="true" outlineLevel="0" collapsed="false">
      <c r="J108" s="1" t="str">
        <f aca="false">IF($A108="","",IF($I108&lt;&gt;"", $I108, VENT_Plan!$M108))</f>
        <v/>
      </c>
      <c r="L108" s="1" t="str">
        <f aca="false">IF($A108="","",K108*D108)</f>
        <v/>
      </c>
      <c r="O108" s="52"/>
    </row>
    <row r="109" customFormat="false" ht="15" hidden="false" customHeight="true" outlineLevel="0" collapsed="false">
      <c r="J109" s="1" t="str">
        <f aca="false">IF($A109="","",IF($I109&lt;&gt;"", $I109, VENT_Plan!$M109))</f>
        <v/>
      </c>
      <c r="L109" s="1" t="str">
        <f aca="false">IF($A109="","",K109*D109)</f>
        <v/>
      </c>
      <c r="O109" s="52"/>
    </row>
    <row r="110" customFormat="false" ht="15" hidden="false" customHeight="true" outlineLevel="0" collapsed="false">
      <c r="J110" s="1" t="str">
        <f aca="false">IF($A110="","",IF($I110&lt;&gt;"", $I110, VENT_Plan!$M110))</f>
        <v/>
      </c>
      <c r="L110" s="1" t="str">
        <f aca="false">IF($A110="","",K110*D110)</f>
        <v/>
      </c>
      <c r="O110" s="52"/>
    </row>
    <row r="111" customFormat="false" ht="15" hidden="false" customHeight="true" outlineLevel="0" collapsed="false">
      <c r="J111" s="1" t="str">
        <f aca="false">IF($A111="","",IF($I111&lt;&gt;"", $I111, VENT_Plan!$M111))</f>
        <v/>
      </c>
      <c r="L111" s="1" t="str">
        <f aca="false">IF($A111="","",K111*D111)</f>
        <v/>
      </c>
      <c r="O111" s="52"/>
    </row>
    <row r="112" customFormat="false" ht="15" hidden="false" customHeight="true" outlineLevel="0" collapsed="false">
      <c r="J112" s="1" t="str">
        <f aca="false">IF($A112="","",IF($I112&lt;&gt;"", $I112, VENT_Plan!$M112))</f>
        <v/>
      </c>
      <c r="L112" s="1" t="str">
        <f aca="false">IF($A112="","",K112*D112)</f>
        <v/>
      </c>
      <c r="O112" s="52"/>
    </row>
    <row r="113" customFormat="false" ht="15" hidden="false" customHeight="true" outlineLevel="0" collapsed="false">
      <c r="J113" s="1" t="str">
        <f aca="false">IF($A113="","",IF($I113&lt;&gt;"", $I113, VENT_Plan!$M113))</f>
        <v/>
      </c>
      <c r="L113" s="1" t="str">
        <f aca="false">IF($A113="","",K113*D113)</f>
        <v/>
      </c>
      <c r="O113" s="52"/>
    </row>
    <row r="114" customFormat="false" ht="15" hidden="false" customHeight="true" outlineLevel="0" collapsed="false">
      <c r="J114" s="1" t="str">
        <f aca="false">IF($A114="","",IF($I114&lt;&gt;"", $I114, VENT_Plan!$M114))</f>
        <v/>
      </c>
      <c r="L114" s="1" t="str">
        <f aca="false">IF($A114="","",K114*D114)</f>
        <v/>
      </c>
      <c r="O114" s="52"/>
    </row>
    <row r="115" customFormat="false" ht="15" hidden="false" customHeight="true" outlineLevel="0" collapsed="false">
      <c r="J115" s="1" t="str">
        <f aca="false">IF($A115="","",IF($I115&lt;&gt;"", $I115, VENT_Plan!$M115))</f>
        <v/>
      </c>
      <c r="L115" s="1" t="str">
        <f aca="false">IF($A115="","",K115*D115)</f>
        <v/>
      </c>
      <c r="O115" s="52"/>
    </row>
    <row r="116" customFormat="false" ht="15" hidden="false" customHeight="true" outlineLevel="0" collapsed="false">
      <c r="J116" s="1" t="str">
        <f aca="false">IF($A116="","",IF($I116&lt;&gt;"", $I116, VENT_Plan!$M116))</f>
        <v/>
      </c>
      <c r="L116" s="1" t="str">
        <f aca="false">IF($A116="","",K116*D116)</f>
        <v/>
      </c>
      <c r="O116" s="52"/>
    </row>
    <row r="117" customFormat="false" ht="15" hidden="false" customHeight="true" outlineLevel="0" collapsed="false">
      <c r="J117" s="1" t="str">
        <f aca="false">IF($A117="","",IF($I117&lt;&gt;"", $I117, VENT_Plan!$M117))</f>
        <v/>
      </c>
      <c r="L117" s="1" t="str">
        <f aca="false">IF($A117="","",K117*D117)</f>
        <v/>
      </c>
      <c r="O117" s="52"/>
    </row>
    <row r="118" customFormat="false" ht="15" hidden="false" customHeight="true" outlineLevel="0" collapsed="false">
      <c r="J118" s="1" t="str">
        <f aca="false">IF($A118="","",IF($I118&lt;&gt;"", $I118, VENT_Plan!$M118))</f>
        <v/>
      </c>
      <c r="L118" s="1" t="str">
        <f aca="false">IF($A118="","",K118*D118)</f>
        <v/>
      </c>
      <c r="O118" s="52"/>
    </row>
    <row r="119" customFormat="false" ht="15" hidden="false" customHeight="true" outlineLevel="0" collapsed="false">
      <c r="J119" s="1" t="str">
        <f aca="false">IF($A119="","",IF($I119&lt;&gt;"", $I119, VENT_Plan!$M119))</f>
        <v/>
      </c>
      <c r="L119" s="1" t="str">
        <f aca="false">IF($A119="","",K119*D119)</f>
        <v/>
      </c>
      <c r="O119" s="52"/>
    </row>
    <row r="120" customFormat="false" ht="15" hidden="false" customHeight="true" outlineLevel="0" collapsed="false">
      <c r="J120" s="1" t="str">
        <f aca="false">IF($A120="","",IF($I120&lt;&gt;"", $I120, VENT_Plan!$M120))</f>
        <v/>
      </c>
      <c r="L120" s="1" t="str">
        <f aca="false">IF($A120="","",K120*D120)</f>
        <v/>
      </c>
      <c r="O120" s="52"/>
    </row>
    <row r="121" customFormat="false" ht="15" hidden="false" customHeight="true" outlineLevel="0" collapsed="false">
      <c r="J121" s="1" t="str">
        <f aca="false">IF($A121="","",IF($I121&lt;&gt;"", $I121, VENT_Plan!$M121))</f>
        <v/>
      </c>
      <c r="L121" s="1" t="str">
        <f aca="false">IF($A121="","",K121*D121)</f>
        <v/>
      </c>
      <c r="O121" s="52"/>
    </row>
    <row r="122" customFormat="false" ht="15" hidden="false" customHeight="true" outlineLevel="0" collapsed="false">
      <c r="J122" s="1" t="str">
        <f aca="false">IF($A122="","",IF($I122&lt;&gt;"", $I122, VENT_Plan!$M122))</f>
        <v/>
      </c>
      <c r="L122" s="1" t="str">
        <f aca="false">IF($A122="","",K122*D122)</f>
        <v/>
      </c>
      <c r="O122" s="52"/>
    </row>
    <row r="123" customFormat="false" ht="15" hidden="false" customHeight="true" outlineLevel="0" collapsed="false">
      <c r="J123" s="1" t="str">
        <f aca="false">IF($A123="","",IF($I123&lt;&gt;"", $I123, VENT_Plan!$M123))</f>
        <v/>
      </c>
      <c r="L123" s="1" t="str">
        <f aca="false">IF($A123="","",K123*D123)</f>
        <v/>
      </c>
      <c r="O123" s="52"/>
    </row>
    <row r="124" customFormat="false" ht="15" hidden="false" customHeight="true" outlineLevel="0" collapsed="false">
      <c r="J124" s="1" t="str">
        <f aca="false">IF($A124="","",IF($I124&lt;&gt;"", $I124, VENT_Plan!$M124))</f>
        <v/>
      </c>
      <c r="L124" s="1" t="str">
        <f aca="false">IF($A124="","",K124*D124)</f>
        <v/>
      </c>
      <c r="O124" s="52"/>
    </row>
    <row r="125" customFormat="false" ht="15" hidden="false" customHeight="true" outlineLevel="0" collapsed="false">
      <c r="J125" s="1" t="str">
        <f aca="false">IF($A125="","",IF($I125&lt;&gt;"", $I125, VENT_Plan!$M125))</f>
        <v/>
      </c>
      <c r="L125" s="1" t="str">
        <f aca="false">IF($A125="","",K125*D125)</f>
        <v/>
      </c>
      <c r="O125" s="52"/>
    </row>
    <row r="126" customFormat="false" ht="15" hidden="false" customHeight="true" outlineLevel="0" collapsed="false">
      <c r="J126" s="1" t="str">
        <f aca="false">IF($A126="","",IF($I126&lt;&gt;"", $I126, VENT_Plan!$M126))</f>
        <v/>
      </c>
      <c r="L126" s="1" t="str">
        <f aca="false">IF($A126="","",K126*D126)</f>
        <v/>
      </c>
      <c r="O126" s="52"/>
    </row>
    <row r="127" customFormat="false" ht="15" hidden="false" customHeight="true" outlineLevel="0" collapsed="false">
      <c r="J127" s="1" t="str">
        <f aca="false">IF($A127="","",IF($I127&lt;&gt;"", $I127, VENT_Plan!$M127))</f>
        <v/>
      </c>
      <c r="L127" s="1" t="str">
        <f aca="false">IF($A127="","",K127*D127)</f>
        <v/>
      </c>
      <c r="O127" s="52"/>
    </row>
    <row r="128" customFormat="false" ht="15" hidden="false" customHeight="true" outlineLevel="0" collapsed="false">
      <c r="J128" s="1" t="str">
        <f aca="false">IF($A128="","",IF($I128&lt;&gt;"", $I128, VENT_Plan!$M128))</f>
        <v/>
      </c>
      <c r="L128" s="1" t="str">
        <f aca="false">IF($A128="","",K128*D128)</f>
        <v/>
      </c>
      <c r="O128" s="52"/>
    </row>
    <row r="129" customFormat="false" ht="15" hidden="false" customHeight="true" outlineLevel="0" collapsed="false">
      <c r="J129" s="1" t="str">
        <f aca="false">IF($A129="","",IF($I129&lt;&gt;"", $I129, VENT_Plan!$M129))</f>
        <v/>
      </c>
      <c r="L129" s="1" t="str">
        <f aca="false">IF($A129="","",K129*D129)</f>
        <v/>
      </c>
      <c r="O129" s="52"/>
    </row>
    <row r="130" customFormat="false" ht="15" hidden="false" customHeight="true" outlineLevel="0" collapsed="false">
      <c r="J130" s="1" t="str">
        <f aca="false">IF($A130="","",IF($I130&lt;&gt;"", $I130, VENT_Plan!$M130))</f>
        <v/>
      </c>
      <c r="L130" s="1" t="str">
        <f aca="false">IF($A130="","",K130*D130)</f>
        <v/>
      </c>
      <c r="O130" s="52"/>
    </row>
    <row r="131" customFormat="false" ht="15" hidden="false" customHeight="true" outlineLevel="0" collapsed="false">
      <c r="J131" s="1" t="str">
        <f aca="false">IF($A131="","",IF($I131&lt;&gt;"", $I131, VENT_Plan!$M131))</f>
        <v/>
      </c>
      <c r="L131" s="1" t="str">
        <f aca="false">IF($A131="","",K131*D131)</f>
        <v/>
      </c>
      <c r="O131" s="52"/>
    </row>
    <row r="132" customFormat="false" ht="15" hidden="false" customHeight="true" outlineLevel="0" collapsed="false">
      <c r="J132" s="1" t="str">
        <f aca="false">IF($A132="","",IF($I132&lt;&gt;"", $I132, VENT_Plan!$M132))</f>
        <v/>
      </c>
      <c r="L132" s="1" t="str">
        <f aca="false">IF($A132="","",K132*D132)</f>
        <v/>
      </c>
      <c r="O132" s="52"/>
    </row>
    <row r="133" customFormat="false" ht="15" hidden="false" customHeight="true" outlineLevel="0" collapsed="false">
      <c r="J133" s="1" t="str">
        <f aca="false">IF($A133="","",IF($I133&lt;&gt;"", $I133, VENT_Plan!$M133))</f>
        <v/>
      </c>
      <c r="L133" s="1" t="str">
        <f aca="false">IF($A133="","",K133*D133)</f>
        <v/>
      </c>
      <c r="O133" s="52"/>
    </row>
    <row r="134" customFormat="false" ht="15" hidden="false" customHeight="true" outlineLevel="0" collapsed="false">
      <c r="J134" s="1" t="str">
        <f aca="false">IF($A134="","",IF($I134&lt;&gt;"", $I134, VENT_Plan!$M134))</f>
        <v/>
      </c>
      <c r="L134" s="1" t="str">
        <f aca="false">IF($A134="","",K134*D134)</f>
        <v/>
      </c>
      <c r="O134" s="52"/>
    </row>
    <row r="135" customFormat="false" ht="15" hidden="false" customHeight="true" outlineLevel="0" collapsed="false">
      <c r="J135" s="1" t="str">
        <f aca="false">IF($A135="","",IF($I135&lt;&gt;"", $I135, VENT_Plan!$M135))</f>
        <v/>
      </c>
      <c r="L135" s="1" t="str">
        <f aca="false">IF($A135="","",K135*D135)</f>
        <v/>
      </c>
      <c r="O135" s="52"/>
    </row>
    <row r="136" customFormat="false" ht="15" hidden="false" customHeight="true" outlineLevel="0" collapsed="false">
      <c r="J136" s="1" t="str">
        <f aca="false">IF($A136="","",IF($I136&lt;&gt;"", $I136, VENT_Plan!$M136))</f>
        <v/>
      </c>
      <c r="L136" s="1" t="str">
        <f aca="false">IF($A136="","",K136*D136)</f>
        <v/>
      </c>
      <c r="O136" s="52"/>
    </row>
    <row r="137" customFormat="false" ht="15" hidden="false" customHeight="true" outlineLevel="0" collapsed="false">
      <c r="J137" s="1" t="str">
        <f aca="false">IF($A137="","",IF($I137&lt;&gt;"", $I137, VENT_Plan!$M137))</f>
        <v/>
      </c>
      <c r="L137" s="1" t="str">
        <f aca="false">IF($A137="","",K137*D137)</f>
        <v/>
      </c>
      <c r="O137" s="52"/>
    </row>
    <row r="138" customFormat="false" ht="15" hidden="false" customHeight="true" outlineLevel="0" collapsed="false">
      <c r="J138" s="1" t="str">
        <f aca="false">IF($A138="","",IF($I138&lt;&gt;"", $I138, VENT_Plan!$M138))</f>
        <v/>
      </c>
      <c r="L138" s="1" t="str">
        <f aca="false">IF($A138="","",K138*D138)</f>
        <v/>
      </c>
      <c r="O138" s="52"/>
    </row>
    <row r="139" customFormat="false" ht="15" hidden="false" customHeight="true" outlineLevel="0" collapsed="false">
      <c r="J139" s="1" t="str">
        <f aca="false">IF($A139="","",IF($I139&lt;&gt;"", $I139, VENT_Plan!$M139))</f>
        <v/>
      </c>
      <c r="L139" s="1" t="str">
        <f aca="false">IF($A139="","",K139*D139)</f>
        <v/>
      </c>
      <c r="O139" s="52"/>
    </row>
    <row r="140" customFormat="false" ht="15" hidden="false" customHeight="true" outlineLevel="0" collapsed="false">
      <c r="J140" s="1" t="str">
        <f aca="false">IF($A140="","",IF($I140&lt;&gt;"", $I140, VENT_Plan!$M140))</f>
        <v/>
      </c>
      <c r="L140" s="1" t="str">
        <f aca="false">IF($A140="","",K140*D140)</f>
        <v/>
      </c>
      <c r="O140" s="52"/>
    </row>
    <row r="141" customFormat="false" ht="15" hidden="false" customHeight="true" outlineLevel="0" collapsed="false">
      <c r="J141" s="1" t="str">
        <f aca="false">IF($A141="","",IF($I141&lt;&gt;"", $I141, VENT_Plan!$M141))</f>
        <v/>
      </c>
      <c r="L141" s="1" t="str">
        <f aca="false">IF($A141="","",K141*D141)</f>
        <v/>
      </c>
      <c r="O141" s="52"/>
    </row>
    <row r="142" customFormat="false" ht="15" hidden="false" customHeight="true" outlineLevel="0" collapsed="false">
      <c r="J142" s="1" t="str">
        <f aca="false">IF($A142="","",IF($I142&lt;&gt;"", $I142, VENT_Plan!$M142))</f>
        <v/>
      </c>
      <c r="L142" s="1" t="str">
        <f aca="false">IF($A142="","",K142*D142)</f>
        <v/>
      </c>
      <c r="O142" s="52"/>
    </row>
    <row r="143" customFormat="false" ht="15" hidden="false" customHeight="true" outlineLevel="0" collapsed="false">
      <c r="J143" s="1" t="str">
        <f aca="false">IF($A143="","",IF($I143&lt;&gt;"", $I143, VENT_Plan!$M143))</f>
        <v/>
      </c>
      <c r="L143" s="1" t="str">
        <f aca="false">IF($A143="","",K143*D143)</f>
        <v/>
      </c>
      <c r="O143" s="52"/>
    </row>
    <row r="144" customFormat="false" ht="15" hidden="false" customHeight="true" outlineLevel="0" collapsed="false">
      <c r="J144" s="1" t="str">
        <f aca="false">IF($A144="","",IF($I144&lt;&gt;"", $I144, VENT_Plan!$M144))</f>
        <v/>
      </c>
      <c r="L144" s="1" t="str">
        <f aca="false">IF($A144="","",K144*D144)</f>
        <v/>
      </c>
      <c r="O144" s="52"/>
    </row>
    <row r="145" customFormat="false" ht="15" hidden="false" customHeight="true" outlineLevel="0" collapsed="false">
      <c r="J145" s="1" t="str">
        <f aca="false">IF($A145="","",IF($I145&lt;&gt;"", $I145, VENT_Plan!$M145))</f>
        <v/>
      </c>
      <c r="L145" s="1" t="str">
        <f aca="false">IF($A145="","",K145*D145)</f>
        <v/>
      </c>
      <c r="O145" s="52"/>
    </row>
    <row r="146" customFormat="false" ht="15" hidden="false" customHeight="true" outlineLevel="0" collapsed="false">
      <c r="J146" s="1" t="str">
        <f aca="false">IF($A146="","",IF($I146&lt;&gt;"", $I146, VENT_Plan!$M146))</f>
        <v/>
      </c>
      <c r="L146" s="1" t="str">
        <f aca="false">IF($A146="","",K146*D146)</f>
        <v/>
      </c>
      <c r="O146" s="52"/>
    </row>
    <row r="147" customFormat="false" ht="15" hidden="false" customHeight="true" outlineLevel="0" collapsed="false">
      <c r="J147" s="1" t="str">
        <f aca="false">IF($A147="","",IF($I147&lt;&gt;"", $I147, VENT_Plan!$M147))</f>
        <v/>
      </c>
      <c r="L147" s="1" t="str">
        <f aca="false">IF($A147="","",K147*D147)</f>
        <v/>
      </c>
      <c r="O147" s="52"/>
    </row>
    <row r="148" customFormat="false" ht="15" hidden="false" customHeight="true" outlineLevel="0" collapsed="false">
      <c r="J148" s="1" t="str">
        <f aca="false">IF($A148="","",IF($I148&lt;&gt;"", $I148, VENT_Plan!$M148))</f>
        <v/>
      </c>
      <c r="L148" s="1" t="str">
        <f aca="false">IF($A148="","",K148*D148)</f>
        <v/>
      </c>
      <c r="O148" s="52"/>
    </row>
    <row r="149" customFormat="false" ht="15" hidden="false" customHeight="true" outlineLevel="0" collapsed="false">
      <c r="J149" s="1" t="str">
        <f aca="false">IF($A149="","",IF($I149&lt;&gt;"", $I149, VENT_Plan!$M149))</f>
        <v/>
      </c>
      <c r="L149" s="1" t="str">
        <f aca="false">IF($A149="","",K149*D149)</f>
        <v/>
      </c>
      <c r="O149" s="52"/>
    </row>
    <row r="150" customFormat="false" ht="15" hidden="false" customHeight="true" outlineLevel="0" collapsed="false">
      <c r="J150" s="1" t="str">
        <f aca="false">IF($A150="","",IF($I150&lt;&gt;"", $I150, VENT_Plan!$M150))</f>
        <v/>
      </c>
      <c r="L150" s="1" t="str">
        <f aca="false">IF($A150="","",K150*D150)</f>
        <v/>
      </c>
      <c r="O150" s="52"/>
    </row>
    <row r="151" customFormat="false" ht="15" hidden="false" customHeight="true" outlineLevel="0" collapsed="false">
      <c r="J151" s="1" t="str">
        <f aca="false">IF($A151="","",IF($I151&lt;&gt;"", $I151, VENT_Plan!$M151))</f>
        <v/>
      </c>
      <c r="L151" s="1" t="str">
        <f aca="false">IF($A151="","",K151*D151)</f>
        <v/>
      </c>
      <c r="O151" s="52"/>
    </row>
    <row r="152" customFormat="false" ht="15" hidden="false" customHeight="true" outlineLevel="0" collapsed="false">
      <c r="J152" s="1" t="str">
        <f aca="false">IF($A152="","",IF($I152&lt;&gt;"", $I152, VENT_Plan!$M152))</f>
        <v/>
      </c>
      <c r="L152" s="1" t="str">
        <f aca="false">IF($A152="","",K152*D152)</f>
        <v/>
      </c>
      <c r="O152" s="52"/>
    </row>
    <row r="153" customFormat="false" ht="15" hidden="false" customHeight="true" outlineLevel="0" collapsed="false">
      <c r="J153" s="1" t="str">
        <f aca="false">IF($A153="","",IF($I153&lt;&gt;"", $I153, VENT_Plan!$M153))</f>
        <v/>
      </c>
      <c r="L153" s="1" t="str">
        <f aca="false">IF($A153="","",K153*D153)</f>
        <v/>
      </c>
      <c r="O153" s="52"/>
    </row>
    <row r="154" customFormat="false" ht="15" hidden="false" customHeight="true" outlineLevel="0" collapsed="false">
      <c r="J154" s="1" t="str">
        <f aca="false">IF($A154="","",IF($I154&lt;&gt;"", $I154, VENT_Plan!$M154))</f>
        <v/>
      </c>
      <c r="L154" s="1" t="str">
        <f aca="false">IF($A154="","",K154*D154)</f>
        <v/>
      </c>
      <c r="O154" s="52"/>
    </row>
    <row r="155" customFormat="false" ht="15" hidden="false" customHeight="true" outlineLevel="0" collapsed="false">
      <c r="J155" s="1" t="str">
        <f aca="false">IF($A155="","",IF($I155&lt;&gt;"", $I155, VENT_Plan!$M155))</f>
        <v/>
      </c>
      <c r="L155" s="1" t="str">
        <f aca="false">IF($A155="","",K155*D155)</f>
        <v/>
      </c>
      <c r="O155" s="52"/>
    </row>
    <row r="156" customFormat="false" ht="15" hidden="false" customHeight="true" outlineLevel="0" collapsed="false">
      <c r="J156" s="1" t="str">
        <f aca="false">IF($A156="","",IF($I156&lt;&gt;"", $I156, VENT_Plan!$M156))</f>
        <v/>
      </c>
      <c r="L156" s="1" t="str">
        <f aca="false">IF($A156="","",K156*D156)</f>
        <v/>
      </c>
      <c r="O156" s="52"/>
    </row>
    <row r="157" customFormat="false" ht="15" hidden="false" customHeight="true" outlineLevel="0" collapsed="false">
      <c r="J157" s="1" t="str">
        <f aca="false">IF($A157="","",IF($I157&lt;&gt;"", $I157, VENT_Plan!$M157))</f>
        <v/>
      </c>
      <c r="L157" s="1" t="str">
        <f aca="false">IF($A157="","",K157*D157)</f>
        <v/>
      </c>
      <c r="O157" s="52"/>
    </row>
    <row r="158" customFormat="false" ht="15" hidden="false" customHeight="true" outlineLevel="0" collapsed="false">
      <c r="J158" s="1" t="str">
        <f aca="false">IF($A158="","",IF($I158&lt;&gt;"", $I158, VENT_Plan!$M158))</f>
        <v/>
      </c>
      <c r="L158" s="1" t="str">
        <f aca="false">IF($A158="","",K158*D158)</f>
        <v/>
      </c>
      <c r="O158" s="52"/>
    </row>
    <row r="159" customFormat="false" ht="15" hidden="false" customHeight="true" outlineLevel="0" collapsed="false">
      <c r="J159" s="1" t="str">
        <f aca="false">IF($A159="","",IF($I159&lt;&gt;"", $I159, VENT_Plan!$M159))</f>
        <v/>
      </c>
      <c r="L159" s="1" t="str">
        <f aca="false">IF($A159="","",K159*D159)</f>
        <v/>
      </c>
      <c r="O159" s="52"/>
    </row>
    <row r="160" customFormat="false" ht="15" hidden="false" customHeight="true" outlineLevel="0" collapsed="false">
      <c r="J160" s="1" t="str">
        <f aca="false">IF($A160="","",IF($I160&lt;&gt;"", $I160, VENT_Plan!$M160))</f>
        <v/>
      </c>
      <c r="L160" s="1" t="str">
        <f aca="false">IF($A160="","",K160*D160)</f>
        <v/>
      </c>
      <c r="O160" s="52"/>
    </row>
    <row r="161" customFormat="false" ht="15" hidden="false" customHeight="true" outlineLevel="0" collapsed="false">
      <c r="J161" s="1" t="str">
        <f aca="false">IF($A161="","",IF($I161&lt;&gt;"", $I161, VENT_Plan!$M161))</f>
        <v/>
      </c>
      <c r="L161" s="1" t="str">
        <f aca="false">IF($A161="","",K161*D161)</f>
        <v/>
      </c>
      <c r="O161" s="52"/>
    </row>
    <row r="162" customFormat="false" ht="15" hidden="false" customHeight="true" outlineLevel="0" collapsed="false">
      <c r="J162" s="1" t="str">
        <f aca="false">IF($A162="","",IF($I162&lt;&gt;"", $I162, VENT_Plan!$M162))</f>
        <v/>
      </c>
      <c r="L162" s="1" t="str">
        <f aca="false">IF($A162="","",K162*D162)</f>
        <v/>
      </c>
      <c r="O162" s="52"/>
    </row>
    <row r="163" customFormat="false" ht="15" hidden="false" customHeight="true" outlineLevel="0" collapsed="false">
      <c r="J163" s="1" t="str">
        <f aca="false">IF($A163="","",IF($I163&lt;&gt;"", $I163, VENT_Plan!$M163))</f>
        <v/>
      </c>
      <c r="L163" s="1" t="str">
        <f aca="false">IF($A163="","",K163*D163)</f>
        <v/>
      </c>
      <c r="O163" s="52"/>
    </row>
    <row r="164" customFormat="false" ht="15" hidden="false" customHeight="true" outlineLevel="0" collapsed="false">
      <c r="J164" s="1" t="str">
        <f aca="false">IF($A164="","",IF($I164&lt;&gt;"", $I164, VENT_Plan!$M164))</f>
        <v/>
      </c>
      <c r="L164" s="1" t="str">
        <f aca="false">IF($A164="","",K164*D164)</f>
        <v/>
      </c>
      <c r="O164" s="52"/>
    </row>
    <row r="165" customFormat="false" ht="15" hidden="false" customHeight="true" outlineLevel="0" collapsed="false">
      <c r="J165" s="1" t="str">
        <f aca="false">IF($A165="","",IF($I165&lt;&gt;"", $I165, VENT_Plan!$M165))</f>
        <v/>
      </c>
      <c r="L165" s="1" t="str">
        <f aca="false">IF($A165="","",K165*D165)</f>
        <v/>
      </c>
      <c r="O165" s="52"/>
    </row>
    <row r="166" customFormat="false" ht="15" hidden="false" customHeight="true" outlineLevel="0" collapsed="false">
      <c r="J166" s="1" t="str">
        <f aca="false">IF($A166="","",IF($I166&lt;&gt;"", $I166, VENT_Plan!$M166))</f>
        <v/>
      </c>
      <c r="L166" s="1" t="str">
        <f aca="false">IF($A166="","",K166*D166)</f>
        <v/>
      </c>
      <c r="O166" s="52"/>
    </row>
    <row r="167" customFormat="false" ht="15" hidden="false" customHeight="true" outlineLevel="0" collapsed="false">
      <c r="J167" s="1" t="str">
        <f aca="false">IF($A167="","",IF($I167&lt;&gt;"", $I167, VENT_Plan!$M167))</f>
        <v/>
      </c>
      <c r="L167" s="1" t="str">
        <f aca="false">IF($A167="","",K167*D167)</f>
        <v/>
      </c>
      <c r="O167" s="52"/>
    </row>
    <row r="168" customFormat="false" ht="15" hidden="false" customHeight="true" outlineLevel="0" collapsed="false">
      <c r="J168" s="1" t="str">
        <f aca="false">IF($A168="","",IF($I168&lt;&gt;"", $I168, VENT_Plan!$M168))</f>
        <v/>
      </c>
      <c r="L168" s="1" t="str">
        <f aca="false">IF($A168="","",K168*D168)</f>
        <v/>
      </c>
      <c r="O168" s="52"/>
    </row>
    <row r="169" customFormat="false" ht="15" hidden="false" customHeight="true" outlineLevel="0" collapsed="false">
      <c r="J169" s="1" t="str">
        <f aca="false">IF($A169="","",IF($I169&lt;&gt;"", $I169, VENT_Plan!$M169))</f>
        <v/>
      </c>
      <c r="L169" s="1" t="str">
        <f aca="false">IF($A169="","",K169*D169)</f>
        <v/>
      </c>
      <c r="O169" s="52"/>
    </row>
    <row r="170" customFormat="false" ht="15" hidden="false" customHeight="true" outlineLevel="0" collapsed="false">
      <c r="J170" s="1" t="str">
        <f aca="false">IF($A170="","",IF($I170&lt;&gt;"", $I170, VENT_Plan!$M170))</f>
        <v/>
      </c>
      <c r="L170" s="1" t="str">
        <f aca="false">IF($A170="","",K170*D170)</f>
        <v/>
      </c>
      <c r="O170" s="52"/>
    </row>
    <row r="171" customFormat="false" ht="15" hidden="false" customHeight="true" outlineLevel="0" collapsed="false">
      <c r="J171" s="1" t="str">
        <f aca="false">IF($A171="","",IF($I171&lt;&gt;"", $I171, VENT_Plan!$M171))</f>
        <v/>
      </c>
      <c r="L171" s="1" t="str">
        <f aca="false">IF($A171="","",K171*D171)</f>
        <v/>
      </c>
      <c r="O171" s="52"/>
    </row>
    <row r="172" customFormat="false" ht="15" hidden="false" customHeight="true" outlineLevel="0" collapsed="false">
      <c r="J172" s="1" t="str">
        <f aca="false">IF($A172="","",IF($I172&lt;&gt;"", $I172, VENT_Plan!$M172))</f>
        <v/>
      </c>
      <c r="L172" s="1" t="str">
        <f aca="false">IF($A172="","",K172*D172)</f>
        <v/>
      </c>
      <c r="O172" s="52"/>
    </row>
    <row r="173" customFormat="false" ht="15" hidden="false" customHeight="true" outlineLevel="0" collapsed="false">
      <c r="J173" s="1" t="str">
        <f aca="false">IF($A173="","",IF($I173&lt;&gt;"", $I173, VENT_Plan!$M173))</f>
        <v/>
      </c>
      <c r="L173" s="1" t="str">
        <f aca="false">IF($A173="","",K173*D173)</f>
        <v/>
      </c>
      <c r="O173" s="52"/>
    </row>
    <row r="174" customFormat="false" ht="15" hidden="false" customHeight="true" outlineLevel="0" collapsed="false">
      <c r="J174" s="1" t="str">
        <f aca="false">IF($A174="","",IF($I174&lt;&gt;"", $I174, VENT_Plan!$M174))</f>
        <v/>
      </c>
      <c r="L174" s="1" t="str">
        <f aca="false">IF($A174="","",K174*D174)</f>
        <v/>
      </c>
      <c r="O174" s="52"/>
    </row>
    <row r="175" customFormat="false" ht="15" hidden="false" customHeight="true" outlineLevel="0" collapsed="false">
      <c r="J175" s="1" t="str">
        <f aca="false">IF($A175="","",IF($I175&lt;&gt;"", $I175, VENT_Plan!$M175))</f>
        <v/>
      </c>
      <c r="L175" s="1" t="str">
        <f aca="false">IF($A175="","",K175*D175)</f>
        <v/>
      </c>
      <c r="O175" s="52"/>
    </row>
    <row r="176" customFormat="false" ht="15" hidden="false" customHeight="true" outlineLevel="0" collapsed="false">
      <c r="J176" s="1" t="str">
        <f aca="false">IF($A176="","",IF($I176&lt;&gt;"", $I176, VENT_Plan!$M176))</f>
        <v/>
      </c>
      <c r="L176" s="1" t="str">
        <f aca="false">IF($A176="","",K176*D176)</f>
        <v/>
      </c>
      <c r="O176" s="52"/>
    </row>
    <row r="177" customFormat="false" ht="15" hidden="false" customHeight="true" outlineLevel="0" collapsed="false">
      <c r="J177" s="1" t="str">
        <f aca="false">IF($A177="","",IF($I177&lt;&gt;"", $I177, VENT_Plan!$M177))</f>
        <v/>
      </c>
      <c r="L177" s="1" t="str">
        <f aca="false">IF($A177="","",K177*D177)</f>
        <v/>
      </c>
      <c r="O177" s="52"/>
    </row>
    <row r="178" customFormat="false" ht="15" hidden="false" customHeight="true" outlineLevel="0" collapsed="false">
      <c r="J178" s="1" t="str">
        <f aca="false">IF($A178="","",IF($I178&lt;&gt;"", $I178, VENT_Plan!$M178))</f>
        <v/>
      </c>
      <c r="L178" s="1" t="str">
        <f aca="false">IF($A178="","",K178*D178)</f>
        <v/>
      </c>
      <c r="O178" s="52"/>
    </row>
    <row r="179" customFormat="false" ht="15" hidden="false" customHeight="true" outlineLevel="0" collapsed="false">
      <c r="J179" s="1" t="str">
        <f aca="false">IF($A179="","",IF($I179&lt;&gt;"", $I179, VENT_Plan!$M179))</f>
        <v/>
      </c>
      <c r="L179" s="1" t="str">
        <f aca="false">IF($A179="","",K179*D179)</f>
        <v/>
      </c>
      <c r="O179" s="52"/>
    </row>
    <row r="180" customFormat="false" ht="15" hidden="false" customHeight="true" outlineLevel="0" collapsed="false">
      <c r="J180" s="1" t="str">
        <f aca="false">IF($A180="","",IF($I180&lt;&gt;"", $I180, VENT_Plan!$M180))</f>
        <v/>
      </c>
      <c r="L180" s="1" t="str">
        <f aca="false">IF($A180="","",K180*D180)</f>
        <v/>
      </c>
      <c r="O180" s="52"/>
    </row>
    <row r="181" customFormat="false" ht="15" hidden="false" customHeight="true" outlineLevel="0" collapsed="false">
      <c r="J181" s="1" t="str">
        <f aca="false">IF($A181="","",IF($I181&lt;&gt;"", $I181, VENT_Plan!$M181))</f>
        <v/>
      </c>
      <c r="L181" s="1" t="str">
        <f aca="false">IF($A181="","",K181*D181)</f>
        <v/>
      </c>
      <c r="O181" s="52"/>
    </row>
    <row r="182" customFormat="false" ht="15" hidden="false" customHeight="true" outlineLevel="0" collapsed="false">
      <c r="J182" s="1" t="str">
        <f aca="false">IF($A182="","",IF($I182&lt;&gt;"", $I182, VENT_Plan!$M182))</f>
        <v/>
      </c>
      <c r="L182" s="1" t="str">
        <f aca="false">IF($A182="","",K182*D182)</f>
        <v/>
      </c>
      <c r="O182" s="52"/>
    </row>
    <row r="183" customFormat="false" ht="15" hidden="false" customHeight="true" outlineLevel="0" collapsed="false">
      <c r="J183" s="1" t="str">
        <f aca="false">IF($A183="","",IF($I183&lt;&gt;"", $I183, VENT_Plan!$M183))</f>
        <v/>
      </c>
      <c r="L183" s="1" t="str">
        <f aca="false">IF($A183="","",K183*D183)</f>
        <v/>
      </c>
      <c r="O183" s="52"/>
    </row>
    <row r="184" customFormat="false" ht="15" hidden="false" customHeight="true" outlineLevel="0" collapsed="false">
      <c r="J184" s="1" t="str">
        <f aca="false">IF($A184="","",IF($I184&lt;&gt;"", $I184, VENT_Plan!$M184))</f>
        <v/>
      </c>
      <c r="L184" s="1" t="str">
        <f aca="false">IF($A184="","",K184*D184)</f>
        <v/>
      </c>
      <c r="O184" s="52"/>
    </row>
    <row r="185" customFormat="false" ht="15" hidden="false" customHeight="true" outlineLevel="0" collapsed="false">
      <c r="J185" s="1" t="str">
        <f aca="false">IF($A185="","",IF($I185&lt;&gt;"", $I185, VENT_Plan!$M185))</f>
        <v/>
      </c>
      <c r="L185" s="1" t="str">
        <f aca="false">IF($A185="","",K185*D185)</f>
        <v/>
      </c>
      <c r="O185" s="52"/>
    </row>
    <row r="186" customFormat="false" ht="15" hidden="false" customHeight="true" outlineLevel="0" collapsed="false">
      <c r="J186" s="1" t="str">
        <f aca="false">IF($A186="","",IF($I186&lt;&gt;"", $I186, VENT_Plan!$M186))</f>
        <v/>
      </c>
      <c r="L186" s="1" t="str">
        <f aca="false">IF($A186="","",K186*D186)</f>
        <v/>
      </c>
      <c r="O186" s="52"/>
    </row>
    <row r="187" customFormat="false" ht="15" hidden="false" customHeight="true" outlineLevel="0" collapsed="false">
      <c r="J187" s="1" t="str">
        <f aca="false">IF($A187="","",IF($I187&lt;&gt;"", $I187, VENT_Plan!$M187))</f>
        <v/>
      </c>
      <c r="L187" s="1" t="str">
        <f aca="false">IF($A187="","",K187*D187)</f>
        <v/>
      </c>
      <c r="O187" s="52"/>
    </row>
    <row r="188" customFormat="false" ht="15" hidden="false" customHeight="true" outlineLevel="0" collapsed="false">
      <c r="J188" s="1" t="str">
        <f aca="false">IF($A188="","",IF($I188&lt;&gt;"", $I188, VENT_Plan!$M188))</f>
        <v/>
      </c>
      <c r="L188" s="1" t="str">
        <f aca="false">IF($A188="","",K188*D188)</f>
        <v/>
      </c>
      <c r="O188" s="52"/>
    </row>
    <row r="189" customFormat="false" ht="15" hidden="false" customHeight="true" outlineLevel="0" collapsed="false">
      <c r="J189" s="1" t="str">
        <f aca="false">IF($A189="","",IF($I189&lt;&gt;"", $I189, VENT_Plan!$M189))</f>
        <v/>
      </c>
      <c r="L189" s="1" t="str">
        <f aca="false">IF($A189="","",K189*D189)</f>
        <v/>
      </c>
      <c r="O189" s="52"/>
    </row>
    <row r="190" customFormat="false" ht="15" hidden="false" customHeight="true" outlineLevel="0" collapsed="false">
      <c r="J190" s="1" t="str">
        <f aca="false">IF($A190="","",IF($I190&lt;&gt;"", $I190, VENT_Plan!$M190))</f>
        <v/>
      </c>
      <c r="L190" s="1" t="str">
        <f aca="false">IF($A190="","",K190*D190)</f>
        <v/>
      </c>
      <c r="O190" s="52"/>
    </row>
    <row r="191" customFormat="false" ht="15" hidden="false" customHeight="true" outlineLevel="0" collapsed="false">
      <c r="J191" s="1" t="str">
        <f aca="false">IF($A191="","",IF($I191&lt;&gt;"", $I191, VENT_Plan!$M191))</f>
        <v/>
      </c>
      <c r="L191" s="1" t="str">
        <f aca="false">IF($A191="","",K191*D191)</f>
        <v/>
      </c>
      <c r="O191" s="52"/>
    </row>
    <row r="192" customFormat="false" ht="15" hidden="false" customHeight="true" outlineLevel="0" collapsed="false">
      <c r="J192" s="1" t="str">
        <f aca="false">IF($A192="","",IF($I192&lt;&gt;"", $I192, VENT_Plan!$M192))</f>
        <v/>
      </c>
      <c r="L192" s="1" t="str">
        <f aca="false">IF($A192="","",K192*D192)</f>
        <v/>
      </c>
      <c r="O192" s="52"/>
    </row>
    <row r="193" customFormat="false" ht="15" hidden="false" customHeight="true" outlineLevel="0" collapsed="false">
      <c r="J193" s="1" t="str">
        <f aca="false">IF($A193="","",IF($I193&lt;&gt;"", $I193, VENT_Plan!$M193))</f>
        <v/>
      </c>
      <c r="L193" s="1" t="str">
        <f aca="false">IF($A193="","",K193*D193)</f>
        <v/>
      </c>
      <c r="O193" s="52"/>
    </row>
    <row r="194" customFormat="false" ht="15" hidden="false" customHeight="true" outlineLevel="0" collapsed="false">
      <c r="J194" s="1" t="str">
        <f aca="false">IF($A194="","",IF($I194&lt;&gt;"", $I194, VENT_Plan!$M194))</f>
        <v/>
      </c>
      <c r="L194" s="1" t="str">
        <f aca="false">IF($A194="","",K194*D194)</f>
        <v/>
      </c>
      <c r="O194" s="52"/>
    </row>
    <row r="195" customFormat="false" ht="15" hidden="false" customHeight="true" outlineLevel="0" collapsed="false">
      <c r="J195" s="1" t="str">
        <f aca="false">IF($A195="","",IF($I195&lt;&gt;"", $I195, VENT_Plan!$M195))</f>
        <v/>
      </c>
      <c r="L195" s="1" t="str">
        <f aca="false">IF($A195="","",K195*D195)</f>
        <v/>
      </c>
      <c r="O195" s="52"/>
    </row>
    <row r="196" customFormat="false" ht="15" hidden="false" customHeight="true" outlineLevel="0" collapsed="false">
      <c r="J196" s="1" t="str">
        <f aca="false">IF($A196="","",IF($I196&lt;&gt;"", $I196, VENT_Plan!$M196))</f>
        <v/>
      </c>
      <c r="L196" s="1" t="str">
        <f aca="false">IF($A196="","",K196*D196)</f>
        <v/>
      </c>
      <c r="O196" s="52"/>
    </row>
    <row r="197" customFormat="false" ht="15" hidden="false" customHeight="true" outlineLevel="0" collapsed="false">
      <c r="J197" s="1" t="str">
        <f aca="false">IF($A197="","",IF($I197&lt;&gt;"", $I197, VENT_Plan!$M197))</f>
        <v/>
      </c>
      <c r="L197" s="1" t="str">
        <f aca="false">IF($A197="","",K197*D197)</f>
        <v/>
      </c>
      <c r="O197" s="52"/>
    </row>
    <row r="198" customFormat="false" ht="15" hidden="false" customHeight="true" outlineLevel="0" collapsed="false">
      <c r="J198" s="1" t="str">
        <f aca="false">IF($A198="","",IF($I198&lt;&gt;"", $I198, VENT_Plan!$M198))</f>
        <v/>
      </c>
      <c r="L198" s="1" t="str">
        <f aca="false">IF($A198="","",K198*D198)</f>
        <v/>
      </c>
      <c r="O198" s="52"/>
    </row>
    <row r="199" customFormat="false" ht="15" hidden="false" customHeight="true" outlineLevel="0" collapsed="false">
      <c r="J199" s="1" t="str">
        <f aca="false">IF($A199="","",IF($I199&lt;&gt;"", $I199, VENT_Plan!$M199))</f>
        <v/>
      </c>
      <c r="L199" s="1" t="str">
        <f aca="false">IF($A199="","",K199*D199)</f>
        <v/>
      </c>
      <c r="O199" s="52"/>
    </row>
    <row r="200" customFormat="false" ht="15" hidden="false" customHeight="true" outlineLevel="0" collapsed="false">
      <c r="J200" s="1" t="str">
        <f aca="false">IF($A200="","",IF($I200&lt;&gt;"", $I200, VENT_Plan!$M200))</f>
        <v/>
      </c>
      <c r="L200" s="1" t="str">
        <f aca="false">IF($A200="","",K200*D200)</f>
        <v/>
      </c>
      <c r="O200" s="52"/>
    </row>
    <row r="201" customFormat="false" ht="15" hidden="false" customHeight="true" outlineLevel="0" collapsed="false">
      <c r="J201" s="1" t="str">
        <f aca="false">IF($A201="","",IF($I201&lt;&gt;"", $I201, VENT_Plan!$M201))</f>
        <v/>
      </c>
      <c r="L201" s="1" t="str">
        <f aca="false">IF($A201="","",K201*D201)</f>
        <v/>
      </c>
      <c r="O201" s="52"/>
    </row>
    <row r="202" customFormat="false" ht="15" hidden="false" customHeight="true" outlineLevel="0" collapsed="false">
      <c r="J202" s="1" t="str">
        <f aca="false">IF($A202="","",IF($I202&lt;&gt;"", $I202, VENT_Plan!$M202))</f>
        <v/>
      </c>
      <c r="L202" s="1" t="str">
        <f aca="false">IF($A202="","",K202*D202)</f>
        <v/>
      </c>
      <c r="O202" s="52"/>
    </row>
    <row r="203" customFormat="false" ht="15" hidden="false" customHeight="true" outlineLevel="0" collapsed="false">
      <c r="J203" s="1" t="str">
        <f aca="false">IF($A203="","",IF($I203&lt;&gt;"", $I203, VENT_Plan!$M203))</f>
        <v/>
      </c>
      <c r="L203" s="1" t="str">
        <f aca="false">IF($A203="","",K203*D203)</f>
        <v/>
      </c>
      <c r="O203" s="52"/>
    </row>
    <row r="204" customFormat="false" ht="15" hidden="false" customHeight="true" outlineLevel="0" collapsed="false">
      <c r="J204" s="1" t="str">
        <f aca="false">IF($A204="","",IF($I204&lt;&gt;"", $I204, VENT_Plan!$M204))</f>
        <v/>
      </c>
      <c r="L204" s="1" t="str">
        <f aca="false">IF($A204="","",K204*D204)</f>
        <v/>
      </c>
      <c r="O204" s="52"/>
    </row>
    <row r="205" customFormat="false" ht="15" hidden="false" customHeight="true" outlineLevel="0" collapsed="false">
      <c r="J205" s="1" t="str">
        <f aca="false">IF($A205="","",IF($I205&lt;&gt;"", $I205, VENT_Plan!$M205))</f>
        <v/>
      </c>
      <c r="L205" s="1" t="str">
        <f aca="false">IF($A205="","",K205*D205)</f>
        <v/>
      </c>
      <c r="O205" s="52"/>
    </row>
    <row r="206" customFormat="false" ht="15" hidden="false" customHeight="true" outlineLevel="0" collapsed="false">
      <c r="J206" s="1" t="str">
        <f aca="false">IF($A206="","",IF($I206&lt;&gt;"", $I206, VENT_Plan!$M206))</f>
        <v/>
      </c>
      <c r="L206" s="1" t="str">
        <f aca="false">IF($A206="","",K206*D206)</f>
        <v/>
      </c>
      <c r="O206" s="52"/>
    </row>
    <row r="207" customFormat="false" ht="15" hidden="false" customHeight="true" outlineLevel="0" collapsed="false">
      <c r="J207" s="1" t="str">
        <f aca="false">IF($A207="","",IF($I207&lt;&gt;"", $I207, VENT_Plan!$M207))</f>
        <v/>
      </c>
      <c r="L207" s="1" t="str">
        <f aca="false">IF($A207="","",K207*D207)</f>
        <v/>
      </c>
      <c r="O207" s="52"/>
    </row>
    <row r="208" customFormat="false" ht="15" hidden="false" customHeight="true" outlineLevel="0" collapsed="false">
      <c r="J208" s="1" t="str">
        <f aca="false">IF($A208="","",IF($I208&lt;&gt;"", $I208, VENT_Plan!$M208))</f>
        <v/>
      </c>
      <c r="L208" s="1" t="str">
        <f aca="false">IF($A208="","",K208*D208)</f>
        <v/>
      </c>
      <c r="O208" s="52"/>
    </row>
    <row r="209" customFormat="false" ht="15" hidden="false" customHeight="true" outlineLevel="0" collapsed="false">
      <c r="J209" s="1" t="str">
        <f aca="false">IF($A209="","",IF($I209&lt;&gt;"", $I209, VENT_Plan!$M209))</f>
        <v/>
      </c>
      <c r="L209" s="1" t="str">
        <f aca="false">IF($A209="","",K209*D209)</f>
        <v/>
      </c>
      <c r="O209" s="52"/>
    </row>
    <row r="210" customFormat="false" ht="15" hidden="false" customHeight="true" outlineLevel="0" collapsed="false">
      <c r="J210" s="1" t="str">
        <f aca="false">IF($A210="","",IF($I210&lt;&gt;"", $I210, VENT_Plan!$M210))</f>
        <v/>
      </c>
      <c r="L210" s="1" t="str">
        <f aca="false">IF($A210="","",K210*D210)</f>
        <v/>
      </c>
      <c r="O210" s="52"/>
    </row>
    <row r="211" customFormat="false" ht="15" hidden="false" customHeight="true" outlineLevel="0" collapsed="false">
      <c r="J211" s="1" t="str">
        <f aca="false">IF($A211="","",IF($I211&lt;&gt;"", $I211, VENT_Plan!$M211))</f>
        <v/>
      </c>
      <c r="L211" s="1" t="str">
        <f aca="false">IF($A211="","",K211*D211)</f>
        <v/>
      </c>
      <c r="O211" s="52"/>
    </row>
    <row r="212" customFormat="false" ht="15" hidden="false" customHeight="true" outlineLevel="0" collapsed="false">
      <c r="J212" s="1" t="str">
        <f aca="false">IF($A212="","",IF($I212&lt;&gt;"", $I212, VENT_Plan!$M212))</f>
        <v/>
      </c>
      <c r="L212" s="1" t="str">
        <f aca="false">IF($A212="","",K212*D212)</f>
        <v/>
      </c>
      <c r="O212" s="52"/>
    </row>
    <row r="213" customFormat="false" ht="15" hidden="false" customHeight="true" outlineLevel="0" collapsed="false">
      <c r="J213" s="1" t="str">
        <f aca="false">IF($A213="","",IF($I213&lt;&gt;"", $I213, VENT_Plan!$M213))</f>
        <v/>
      </c>
      <c r="L213" s="1" t="str">
        <f aca="false">IF($A213="","",K213*D213)</f>
        <v/>
      </c>
      <c r="O213" s="52"/>
    </row>
    <row r="214" customFormat="false" ht="15" hidden="false" customHeight="true" outlineLevel="0" collapsed="false">
      <c r="J214" s="1" t="str">
        <f aca="false">IF($A214="","",IF($I214&lt;&gt;"", $I214, VENT_Plan!$M214))</f>
        <v/>
      </c>
      <c r="L214" s="1" t="str">
        <f aca="false">IF($A214="","",K214*D214)</f>
        <v/>
      </c>
      <c r="O214" s="52"/>
    </row>
    <row r="215" customFormat="false" ht="15" hidden="false" customHeight="true" outlineLevel="0" collapsed="false">
      <c r="J215" s="1" t="str">
        <f aca="false">IF($A215="","",IF($I215&lt;&gt;"", $I215, VENT_Plan!$M215))</f>
        <v/>
      </c>
      <c r="L215" s="1" t="str">
        <f aca="false">IF($A215="","",K215*D215)</f>
        <v/>
      </c>
      <c r="O215" s="52"/>
    </row>
    <row r="216" customFormat="false" ht="15" hidden="false" customHeight="true" outlineLevel="0" collapsed="false">
      <c r="J216" s="1" t="str">
        <f aca="false">IF($A216="","",IF($I216&lt;&gt;"", $I216, VENT_Plan!$M216))</f>
        <v/>
      </c>
      <c r="L216" s="1" t="str">
        <f aca="false">IF($A216="","",K216*D216)</f>
        <v/>
      </c>
      <c r="O216" s="52"/>
    </row>
    <row r="217" customFormat="false" ht="15" hidden="false" customHeight="true" outlineLevel="0" collapsed="false">
      <c r="J217" s="1" t="str">
        <f aca="false">IF($A217="","",IF($I217&lt;&gt;"", $I217, VENT_Plan!$M217))</f>
        <v/>
      </c>
      <c r="L217" s="1" t="str">
        <f aca="false">IF($A217="","",K217*D217)</f>
        <v/>
      </c>
      <c r="O217" s="52"/>
    </row>
    <row r="218" customFormat="false" ht="15" hidden="false" customHeight="true" outlineLevel="0" collapsed="false">
      <c r="J218" s="1" t="str">
        <f aca="false">IF($A218="","",IF($I218&lt;&gt;"", $I218, VENT_Plan!$M218))</f>
        <v/>
      </c>
      <c r="L218" s="1" t="str">
        <f aca="false">IF($A218="","",K218*D218)</f>
        <v/>
      </c>
      <c r="O218" s="52"/>
    </row>
    <row r="219" customFormat="false" ht="15" hidden="false" customHeight="true" outlineLevel="0" collapsed="false">
      <c r="J219" s="1" t="str">
        <f aca="false">IF($A219="","",IF($I219&lt;&gt;"", $I219, VENT_Plan!$M219))</f>
        <v/>
      </c>
      <c r="L219" s="1" t="str">
        <f aca="false">IF($A219="","",K219*D219)</f>
        <v/>
      </c>
      <c r="O219" s="52"/>
    </row>
    <row r="220" customFormat="false" ht="15" hidden="false" customHeight="true" outlineLevel="0" collapsed="false">
      <c r="J220" s="1" t="str">
        <f aca="false">IF($A220="","",IF($I220&lt;&gt;"", $I220, VENT_Plan!$M220))</f>
        <v/>
      </c>
      <c r="L220" s="1" t="str">
        <f aca="false">IF($A220="","",K220*D220)</f>
        <v/>
      </c>
      <c r="O220" s="52"/>
    </row>
    <row r="221" customFormat="false" ht="15" hidden="false" customHeight="true" outlineLevel="0" collapsed="false">
      <c r="J221" s="1" t="str">
        <f aca="false">IF($A221="","",IF($I221&lt;&gt;"", $I221, VENT_Plan!$M221))</f>
        <v/>
      </c>
      <c r="L221" s="1" t="str">
        <f aca="false">IF($A221="","",K221*D221)</f>
        <v/>
      </c>
      <c r="O221" s="52"/>
    </row>
    <row r="222" customFormat="false" ht="15" hidden="false" customHeight="true" outlineLevel="0" collapsed="false">
      <c r="J222" s="1" t="str">
        <f aca="false">IF($A222="","",IF($I222&lt;&gt;"", $I222, VENT_Plan!$M222))</f>
        <v/>
      </c>
      <c r="L222" s="1" t="str">
        <f aca="false">IF($A222="","",K222*D222)</f>
        <v/>
      </c>
      <c r="O222" s="52"/>
    </row>
    <row r="223" customFormat="false" ht="15" hidden="false" customHeight="true" outlineLevel="0" collapsed="false">
      <c r="J223" s="1" t="str">
        <f aca="false">IF($A223="","",IF($I223&lt;&gt;"", $I223, VENT_Plan!$M223))</f>
        <v/>
      </c>
      <c r="L223" s="1" t="str">
        <f aca="false">IF($A223="","",K223*D223)</f>
        <v/>
      </c>
      <c r="O223" s="52"/>
    </row>
    <row r="224" customFormat="false" ht="15" hidden="false" customHeight="true" outlineLevel="0" collapsed="false">
      <c r="J224" s="1" t="str">
        <f aca="false">IF($A224="","",IF($I224&lt;&gt;"", $I224, VENT_Plan!$M224))</f>
        <v/>
      </c>
      <c r="L224" s="1" t="str">
        <f aca="false">IF($A224="","",K224*D224)</f>
        <v/>
      </c>
      <c r="O224" s="52"/>
    </row>
    <row r="225" customFormat="false" ht="15" hidden="false" customHeight="true" outlineLevel="0" collapsed="false">
      <c r="J225" s="1" t="str">
        <f aca="false">IF($A225="","",IF($I225&lt;&gt;"", $I225, VENT_Plan!$M225))</f>
        <v/>
      </c>
      <c r="L225" s="1" t="str">
        <f aca="false">IF($A225="","",K225*D225)</f>
        <v/>
      </c>
      <c r="O225" s="52"/>
    </row>
    <row r="226" customFormat="false" ht="15" hidden="false" customHeight="true" outlineLevel="0" collapsed="false">
      <c r="J226" s="1" t="str">
        <f aca="false">IF($A226="","",IF($I226&lt;&gt;"", $I226, VENT_Plan!$M226))</f>
        <v/>
      </c>
      <c r="L226" s="1" t="str">
        <f aca="false">IF($A226="","",K226*D226)</f>
        <v/>
      </c>
      <c r="O226" s="52"/>
    </row>
    <row r="227" customFormat="false" ht="15" hidden="false" customHeight="true" outlineLevel="0" collapsed="false">
      <c r="J227" s="1" t="str">
        <f aca="false">IF($A227="","",IF($I227&lt;&gt;"", $I227, VENT_Plan!$M227))</f>
        <v/>
      </c>
      <c r="L227" s="1" t="str">
        <f aca="false">IF($A227="","",K227*D227)</f>
        <v/>
      </c>
      <c r="O227" s="52"/>
    </row>
    <row r="228" customFormat="false" ht="15" hidden="false" customHeight="true" outlineLevel="0" collapsed="false">
      <c r="J228" s="1" t="str">
        <f aca="false">IF($A228="","",IF($I228&lt;&gt;"", $I228, VENT_Plan!$M228))</f>
        <v/>
      </c>
      <c r="L228" s="1" t="str">
        <f aca="false">IF($A228="","",K228*D228)</f>
        <v/>
      </c>
      <c r="O228" s="52"/>
    </row>
    <row r="229" customFormat="false" ht="15" hidden="false" customHeight="true" outlineLevel="0" collapsed="false">
      <c r="J229" s="1" t="str">
        <f aca="false">IF($A229="","",IF($I229&lt;&gt;"", $I229, VENT_Plan!$M229))</f>
        <v/>
      </c>
      <c r="L229" s="1" t="str">
        <f aca="false">IF($A229="","",K229*D229)</f>
        <v/>
      </c>
      <c r="O229" s="52"/>
    </row>
    <row r="230" customFormat="false" ht="15" hidden="false" customHeight="true" outlineLevel="0" collapsed="false">
      <c r="J230" s="1" t="str">
        <f aca="false">IF($A230="","",IF($I230&lt;&gt;"", $I230, VENT_Plan!$M230))</f>
        <v/>
      </c>
      <c r="L230" s="1" t="str">
        <f aca="false">IF($A230="","",K230*D230)</f>
        <v/>
      </c>
      <c r="O230" s="52"/>
    </row>
    <row r="231" customFormat="false" ht="15" hidden="false" customHeight="true" outlineLevel="0" collapsed="false">
      <c r="J231" s="1" t="str">
        <f aca="false">IF($A231="","",IF($I231&lt;&gt;"", $I231, VENT_Plan!$M231))</f>
        <v/>
      </c>
      <c r="L231" s="1" t="str">
        <f aca="false">IF($A231="","",K231*D231)</f>
        <v/>
      </c>
      <c r="O231" s="52"/>
    </row>
    <row r="232" customFormat="false" ht="15" hidden="false" customHeight="true" outlineLevel="0" collapsed="false">
      <c r="J232" s="1" t="str">
        <f aca="false">IF($A232="","",IF($I232&lt;&gt;"", $I232, VENT_Plan!$M232))</f>
        <v/>
      </c>
      <c r="L232" s="1" t="str">
        <f aca="false">IF($A232="","",K232*D232)</f>
        <v/>
      </c>
      <c r="O232" s="52"/>
    </row>
    <row r="233" customFormat="false" ht="15" hidden="false" customHeight="true" outlineLevel="0" collapsed="false">
      <c r="J233" s="1" t="str">
        <f aca="false">IF($A233="","",IF($I233&lt;&gt;"", $I233, VENT_Plan!$M233))</f>
        <v/>
      </c>
      <c r="L233" s="1" t="str">
        <f aca="false">IF($A233="","",K233*D233)</f>
        <v/>
      </c>
      <c r="O233" s="52"/>
    </row>
    <row r="234" customFormat="false" ht="15" hidden="false" customHeight="true" outlineLevel="0" collapsed="false">
      <c r="J234" s="1" t="str">
        <f aca="false">IF($A234="","",IF($I234&lt;&gt;"", $I234, VENT_Plan!$M234))</f>
        <v/>
      </c>
      <c r="L234" s="1" t="str">
        <f aca="false">IF($A234="","",K234*D234)</f>
        <v/>
      </c>
      <c r="O234" s="52"/>
    </row>
    <row r="235" customFormat="false" ht="15" hidden="false" customHeight="true" outlineLevel="0" collapsed="false">
      <c r="J235" s="1" t="str">
        <f aca="false">IF($A235="","",IF($I235&lt;&gt;"", $I235, VENT_Plan!$M235))</f>
        <v/>
      </c>
      <c r="L235" s="1" t="str">
        <f aca="false">IF($A235="","",K235*D235)</f>
        <v/>
      </c>
      <c r="O235" s="52"/>
    </row>
    <row r="236" customFormat="false" ht="15" hidden="false" customHeight="true" outlineLevel="0" collapsed="false">
      <c r="J236" s="1" t="str">
        <f aca="false">IF($A236="","",IF($I236&lt;&gt;"", $I236, VENT_Plan!$M236))</f>
        <v/>
      </c>
      <c r="L236" s="1" t="str">
        <f aca="false">IF($A236="","",K236*D236)</f>
        <v/>
      </c>
      <c r="O236" s="52"/>
    </row>
    <row r="237" customFormat="false" ht="15" hidden="false" customHeight="true" outlineLevel="0" collapsed="false">
      <c r="J237" s="1" t="str">
        <f aca="false">IF($A237="","",IF($I237&lt;&gt;"", $I237, VENT_Plan!$M237))</f>
        <v/>
      </c>
      <c r="L237" s="1" t="str">
        <f aca="false">IF($A237="","",K237*D237)</f>
        <v/>
      </c>
      <c r="O237" s="52"/>
    </row>
    <row r="238" customFormat="false" ht="15" hidden="false" customHeight="true" outlineLevel="0" collapsed="false">
      <c r="J238" s="1" t="str">
        <f aca="false">IF($A238="","",IF($I238&lt;&gt;"", $I238, VENT_Plan!$M238))</f>
        <v/>
      </c>
      <c r="L238" s="1" t="str">
        <f aca="false">IF($A238="","",K238*D238)</f>
        <v/>
      </c>
      <c r="O238" s="52"/>
    </row>
    <row r="239" customFormat="false" ht="15" hidden="false" customHeight="true" outlineLevel="0" collapsed="false">
      <c r="J239" s="1" t="str">
        <f aca="false">IF($A239="","",IF($I239&lt;&gt;"", $I239, VENT_Plan!$M239))</f>
        <v/>
      </c>
      <c r="L239" s="1" t="str">
        <f aca="false">IF($A239="","",K239*D239)</f>
        <v/>
      </c>
      <c r="O239" s="52"/>
    </row>
    <row r="240" customFormat="false" ht="15" hidden="false" customHeight="true" outlineLevel="0" collapsed="false">
      <c r="J240" s="1" t="str">
        <f aca="false">IF($A240="","",IF($I240&lt;&gt;"", $I240, VENT_Plan!$M240))</f>
        <v/>
      </c>
      <c r="L240" s="1" t="str">
        <f aca="false">IF($A240="","",K240*D240)</f>
        <v/>
      </c>
      <c r="O240" s="52"/>
    </row>
    <row r="241" customFormat="false" ht="15" hidden="false" customHeight="true" outlineLevel="0" collapsed="false">
      <c r="J241" s="1" t="str">
        <f aca="false">IF($A241="","",IF($I241&lt;&gt;"", $I241, VENT_Plan!$M241))</f>
        <v/>
      </c>
      <c r="L241" s="1" t="str">
        <f aca="false">IF($A241="","",K241*D241)</f>
        <v/>
      </c>
      <c r="O241" s="52"/>
    </row>
    <row r="242" customFormat="false" ht="15" hidden="false" customHeight="true" outlineLevel="0" collapsed="false">
      <c r="J242" s="1" t="str">
        <f aca="false">IF($A242="","",IF($I242&lt;&gt;"", $I242, VENT_Plan!$M242))</f>
        <v/>
      </c>
      <c r="L242" s="1" t="str">
        <f aca="false">IF($A242="","",K242*D242)</f>
        <v/>
      </c>
      <c r="O242" s="52"/>
    </row>
    <row r="243" customFormat="false" ht="15" hidden="false" customHeight="true" outlineLevel="0" collapsed="false">
      <c r="J243" s="1" t="str">
        <f aca="false">IF($A243="","",IF($I243&lt;&gt;"", $I243, VENT_Plan!$M243))</f>
        <v/>
      </c>
      <c r="L243" s="1" t="str">
        <f aca="false">IF($A243="","",K243*D243)</f>
        <v/>
      </c>
      <c r="O243" s="52"/>
    </row>
    <row r="244" customFormat="false" ht="15" hidden="false" customHeight="true" outlineLevel="0" collapsed="false">
      <c r="J244" s="1" t="str">
        <f aca="false">IF($A244="","",IF($I244&lt;&gt;"", $I244, VENT_Plan!$M244))</f>
        <v/>
      </c>
      <c r="L244" s="1" t="str">
        <f aca="false">IF($A244="","",K244*D244)</f>
        <v/>
      </c>
      <c r="O244" s="52"/>
    </row>
    <row r="245" customFormat="false" ht="15" hidden="false" customHeight="true" outlineLevel="0" collapsed="false">
      <c r="J245" s="1" t="str">
        <f aca="false">IF($A245="","",IF($I245&lt;&gt;"", $I245, VENT_Plan!$M245))</f>
        <v/>
      </c>
      <c r="L245" s="1" t="str">
        <f aca="false">IF($A245="","",K245*D245)</f>
        <v/>
      </c>
      <c r="O245" s="52"/>
    </row>
    <row r="246" customFormat="false" ht="15" hidden="false" customHeight="true" outlineLevel="0" collapsed="false">
      <c r="J246" s="1" t="str">
        <f aca="false">IF($A246="","",IF($I246&lt;&gt;"", $I246, VENT_Plan!$M246))</f>
        <v/>
      </c>
      <c r="L246" s="1" t="str">
        <f aca="false">IF($A246="","",K246*D246)</f>
        <v/>
      </c>
      <c r="O246" s="52"/>
    </row>
    <row r="247" customFormat="false" ht="15" hidden="false" customHeight="true" outlineLevel="0" collapsed="false">
      <c r="J247" s="1" t="str">
        <f aca="false">IF($A247="","",IF($I247&lt;&gt;"", $I247, VENT_Plan!$M247))</f>
        <v/>
      </c>
      <c r="L247" s="1" t="str">
        <f aca="false">IF($A247="","",K247*D247)</f>
        <v/>
      </c>
      <c r="O247" s="52"/>
    </row>
    <row r="248" customFormat="false" ht="15" hidden="false" customHeight="true" outlineLevel="0" collapsed="false">
      <c r="J248" s="1" t="str">
        <f aca="false">IF($A248="","",IF($I248&lt;&gt;"", $I248, VENT_Plan!$M248))</f>
        <v/>
      </c>
      <c r="L248" s="1" t="str">
        <f aca="false">IF($A248="","",K248*D248)</f>
        <v/>
      </c>
      <c r="O248" s="52"/>
    </row>
    <row r="249" customFormat="false" ht="15" hidden="false" customHeight="true" outlineLevel="0" collapsed="false">
      <c r="J249" s="1" t="str">
        <f aca="false">IF($A249="","",IF($I249&lt;&gt;"", $I249, VENT_Plan!$M249))</f>
        <v/>
      </c>
      <c r="L249" s="1" t="str">
        <f aca="false">IF($A249="","",K249*D249)</f>
        <v/>
      </c>
      <c r="O249" s="52"/>
    </row>
    <row r="250" customFormat="false" ht="15" hidden="false" customHeight="true" outlineLevel="0" collapsed="false">
      <c r="J250" s="1" t="str">
        <f aca="false">IF($A250="","",IF($I250&lt;&gt;"", $I250, VENT_Plan!$M250))</f>
        <v/>
      </c>
      <c r="L250" s="1" t="str">
        <f aca="false">IF($A250="","",K250*D250)</f>
        <v/>
      </c>
      <c r="O250" s="52"/>
    </row>
    <row r="251" customFormat="false" ht="15" hidden="false" customHeight="true" outlineLevel="0" collapsed="false">
      <c r="J251" s="1" t="str">
        <f aca="false">IF($A251="","",IF($I251&lt;&gt;"", $I251, VENT_Plan!$M251))</f>
        <v/>
      </c>
      <c r="L251" s="1" t="str">
        <f aca="false">IF($A251="","",K251*D251)</f>
        <v/>
      </c>
      <c r="O251" s="52"/>
    </row>
    <row r="252" customFormat="false" ht="15" hidden="false" customHeight="true" outlineLevel="0" collapsed="false">
      <c r="J252" s="1" t="str">
        <f aca="false">IF($A252="","",IF($I252&lt;&gt;"", $I252, VENT_Plan!$M252))</f>
        <v/>
      </c>
      <c r="L252" s="1" t="str">
        <f aca="false">IF($A252="","",K252*D252)</f>
        <v/>
      </c>
      <c r="O252" s="52"/>
    </row>
    <row r="253" customFormat="false" ht="15" hidden="false" customHeight="true" outlineLevel="0" collapsed="false">
      <c r="J253" s="1" t="str">
        <f aca="false">IF($A253="","",IF($I253&lt;&gt;"", $I253, VENT_Plan!$M253))</f>
        <v/>
      </c>
      <c r="L253" s="1" t="str">
        <f aca="false">IF($A253="","",K253*D253)</f>
        <v/>
      </c>
      <c r="O253" s="52"/>
    </row>
    <row r="254" customFormat="false" ht="15" hidden="false" customHeight="true" outlineLevel="0" collapsed="false">
      <c r="J254" s="1" t="str">
        <f aca="false">IF($A254="","",IF($I254&lt;&gt;"", $I254, VENT_Plan!$M254))</f>
        <v/>
      </c>
      <c r="L254" s="1" t="str">
        <f aca="false">IF($A254="","",K254*D254)</f>
        <v/>
      </c>
      <c r="O254" s="52"/>
    </row>
    <row r="255" customFormat="false" ht="15" hidden="false" customHeight="true" outlineLevel="0" collapsed="false">
      <c r="J255" s="1" t="str">
        <f aca="false">IF($A255="","",IF($I255&lt;&gt;"", $I255, VENT_Plan!$M255))</f>
        <v/>
      </c>
      <c r="L255" s="1" t="str">
        <f aca="false">IF($A255="","",K255*D255)</f>
        <v/>
      </c>
      <c r="O255" s="52"/>
    </row>
    <row r="256" customFormat="false" ht="15" hidden="false" customHeight="true" outlineLevel="0" collapsed="false">
      <c r="J256" s="1" t="str">
        <f aca="false">IF($A256="","",IF($I256&lt;&gt;"", $I256, VENT_Plan!$M256))</f>
        <v/>
      </c>
      <c r="L256" s="1" t="str">
        <f aca="false">IF($A256="","",K256*D256)</f>
        <v/>
      </c>
      <c r="O256" s="52"/>
    </row>
    <row r="257" customFormat="false" ht="15" hidden="false" customHeight="true" outlineLevel="0" collapsed="false">
      <c r="J257" s="1" t="str">
        <f aca="false">IF($A257="","",IF($I257&lt;&gt;"", $I257, VENT_Plan!$M257))</f>
        <v/>
      </c>
      <c r="L257" s="1" t="str">
        <f aca="false">IF($A257="","",K257*D257)</f>
        <v/>
      </c>
      <c r="O257" s="52"/>
    </row>
    <row r="258" customFormat="false" ht="15" hidden="false" customHeight="true" outlineLevel="0" collapsed="false">
      <c r="J258" s="1" t="str">
        <f aca="false">IF($A258="","",IF($I258&lt;&gt;"", $I258, VENT_Plan!$M258))</f>
        <v/>
      </c>
      <c r="L258" s="1" t="str">
        <f aca="false">IF($A258="","",K258*D258)</f>
        <v/>
      </c>
      <c r="O258" s="52"/>
    </row>
    <row r="259" customFormat="false" ht="15" hidden="false" customHeight="true" outlineLevel="0" collapsed="false">
      <c r="J259" s="1" t="str">
        <f aca="false">IF($A259="","",IF($I259&lt;&gt;"", $I259, VENT_Plan!$M259))</f>
        <v/>
      </c>
      <c r="L259" s="1" t="str">
        <f aca="false">IF($A259="","",K259*D259)</f>
        <v/>
      </c>
      <c r="O259" s="52"/>
    </row>
    <row r="260" customFormat="false" ht="15" hidden="false" customHeight="true" outlineLevel="0" collapsed="false">
      <c r="J260" s="1" t="str">
        <f aca="false">IF($A260="","",IF($I260&lt;&gt;"", $I260, VENT_Plan!$M260))</f>
        <v/>
      </c>
      <c r="L260" s="1" t="str">
        <f aca="false">IF($A260="","",K260*D260)</f>
        <v/>
      </c>
      <c r="O260" s="52"/>
    </row>
    <row r="261" customFormat="false" ht="15" hidden="false" customHeight="true" outlineLevel="0" collapsed="false">
      <c r="J261" s="1" t="str">
        <f aca="false">IF($A261="","",IF($I261&lt;&gt;"", $I261, VENT_Plan!$M261))</f>
        <v/>
      </c>
      <c r="L261" s="1" t="str">
        <f aca="false">IF($A261="","",K261*D261)</f>
        <v/>
      </c>
      <c r="O261" s="52"/>
    </row>
    <row r="262" customFormat="false" ht="15" hidden="false" customHeight="true" outlineLevel="0" collapsed="false">
      <c r="J262" s="1" t="str">
        <f aca="false">IF($A262="","",IF($I262&lt;&gt;"", $I262, VENT_Plan!$M262))</f>
        <v/>
      </c>
      <c r="L262" s="1" t="str">
        <f aca="false">IF($A262="","",K262*D262)</f>
        <v/>
      </c>
      <c r="O262" s="52"/>
    </row>
    <row r="263" customFormat="false" ht="15" hidden="false" customHeight="true" outlineLevel="0" collapsed="false">
      <c r="J263" s="1" t="str">
        <f aca="false">IF($A263="","",IF($I263&lt;&gt;"", $I263, VENT_Plan!$M263))</f>
        <v/>
      </c>
      <c r="L263" s="1" t="str">
        <f aca="false">IF($A263="","",K263*D263)</f>
        <v/>
      </c>
      <c r="O263" s="52"/>
    </row>
    <row r="264" customFormat="false" ht="15" hidden="false" customHeight="true" outlineLevel="0" collapsed="false">
      <c r="J264" s="1" t="str">
        <f aca="false">IF($A264="","",IF($I264&lt;&gt;"", $I264, VENT_Plan!$M264))</f>
        <v/>
      </c>
      <c r="L264" s="1" t="str">
        <f aca="false">IF($A264="","",K264*D264)</f>
        <v/>
      </c>
      <c r="O264" s="52"/>
    </row>
    <row r="265" customFormat="false" ht="15" hidden="false" customHeight="true" outlineLevel="0" collapsed="false">
      <c r="J265" s="1" t="str">
        <f aca="false">IF($A265="","",IF($I265&lt;&gt;"", $I265, VENT_Plan!$M265))</f>
        <v/>
      </c>
      <c r="L265" s="1" t="str">
        <f aca="false">IF($A265="","",K265*D265)</f>
        <v/>
      </c>
      <c r="O265" s="52"/>
    </row>
    <row r="266" customFormat="false" ht="15" hidden="false" customHeight="true" outlineLevel="0" collapsed="false">
      <c r="J266" s="1" t="str">
        <f aca="false">IF($A266="","",IF($I266&lt;&gt;"", $I266, VENT_Plan!$M266))</f>
        <v/>
      </c>
      <c r="L266" s="1" t="str">
        <f aca="false">IF($A266="","",K266*D266)</f>
        <v/>
      </c>
      <c r="O266" s="52"/>
    </row>
    <row r="267" customFormat="false" ht="15" hidden="false" customHeight="true" outlineLevel="0" collapsed="false">
      <c r="J267" s="1" t="str">
        <f aca="false">IF($A267="","",IF($I267&lt;&gt;"", $I267, VENT_Plan!$M267))</f>
        <v/>
      </c>
      <c r="L267" s="1" t="str">
        <f aca="false">IF($A267="","",K267*D267)</f>
        <v/>
      </c>
      <c r="O267" s="52"/>
    </row>
    <row r="268" customFormat="false" ht="15" hidden="false" customHeight="true" outlineLevel="0" collapsed="false">
      <c r="J268" s="1" t="str">
        <f aca="false">IF($A268="","",IF($I268&lt;&gt;"", $I268, VENT_Plan!$M268))</f>
        <v/>
      </c>
      <c r="L268" s="1" t="str">
        <f aca="false">IF($A268="","",K268*D268)</f>
        <v/>
      </c>
      <c r="O268" s="52"/>
    </row>
    <row r="269" customFormat="false" ht="15" hidden="false" customHeight="true" outlineLevel="0" collapsed="false">
      <c r="J269" s="1" t="str">
        <f aca="false">IF($A269="","",IF($I269&lt;&gt;"", $I269, VENT_Plan!$M269))</f>
        <v/>
      </c>
      <c r="L269" s="1" t="str">
        <f aca="false">IF($A269="","",K269*D269)</f>
        <v/>
      </c>
      <c r="O269" s="52"/>
    </row>
    <row r="270" customFormat="false" ht="15" hidden="false" customHeight="true" outlineLevel="0" collapsed="false">
      <c r="J270" s="1" t="str">
        <f aca="false">IF($A270="","",IF($I270&lt;&gt;"", $I270, VENT_Plan!$M270))</f>
        <v/>
      </c>
      <c r="L270" s="1" t="str">
        <f aca="false">IF($A270="","",K270*D270)</f>
        <v/>
      </c>
      <c r="O270" s="52"/>
    </row>
    <row r="271" customFormat="false" ht="15" hidden="false" customHeight="true" outlineLevel="0" collapsed="false">
      <c r="J271" s="1" t="str">
        <f aca="false">IF($A271="","",IF($I271&lt;&gt;"", $I271, VENT_Plan!$M271))</f>
        <v/>
      </c>
      <c r="L271" s="1" t="str">
        <f aca="false">IF($A271="","",K271*D271)</f>
        <v/>
      </c>
      <c r="O271" s="52"/>
    </row>
    <row r="272" customFormat="false" ht="15" hidden="false" customHeight="true" outlineLevel="0" collapsed="false">
      <c r="J272" s="1" t="str">
        <f aca="false">IF($A272="","",IF($I272&lt;&gt;"", $I272, VENT_Plan!$M272))</f>
        <v/>
      </c>
      <c r="L272" s="1" t="str">
        <f aca="false">IF($A272="","",K272*D272)</f>
        <v/>
      </c>
      <c r="O272" s="52"/>
    </row>
    <row r="273" customFormat="false" ht="15" hidden="false" customHeight="true" outlineLevel="0" collapsed="false">
      <c r="J273" s="1" t="str">
        <f aca="false">IF($A273="","",IF($I273&lt;&gt;"", $I273, VENT_Plan!$M273))</f>
        <v/>
      </c>
      <c r="L273" s="1" t="str">
        <f aca="false">IF($A273="","",K273*D273)</f>
        <v/>
      </c>
      <c r="O273" s="52"/>
    </row>
    <row r="274" customFormat="false" ht="15" hidden="false" customHeight="true" outlineLevel="0" collapsed="false">
      <c r="J274" s="1" t="str">
        <f aca="false">IF($A274="","",IF($I274&lt;&gt;"", $I274, VENT_Plan!$M274))</f>
        <v/>
      </c>
      <c r="L274" s="1" t="str">
        <f aca="false">IF($A274="","",K274*D274)</f>
        <v/>
      </c>
      <c r="O274" s="52"/>
    </row>
    <row r="275" customFormat="false" ht="15" hidden="false" customHeight="true" outlineLevel="0" collapsed="false">
      <c r="J275" s="1" t="str">
        <f aca="false">IF($A275="","",IF($I275&lt;&gt;"", $I275, VENT_Plan!$M275))</f>
        <v/>
      </c>
      <c r="L275" s="1" t="str">
        <f aca="false">IF($A275="","",K275*D275)</f>
        <v/>
      </c>
      <c r="O275" s="52"/>
    </row>
    <row r="276" customFormat="false" ht="15" hidden="false" customHeight="true" outlineLevel="0" collapsed="false">
      <c r="J276" s="1" t="str">
        <f aca="false">IF($A276="","",IF($I276&lt;&gt;"", $I276, VENT_Plan!$M276))</f>
        <v/>
      </c>
      <c r="L276" s="1" t="str">
        <f aca="false">IF($A276="","",K276*D276)</f>
        <v/>
      </c>
      <c r="O276" s="52"/>
    </row>
    <row r="277" customFormat="false" ht="15" hidden="false" customHeight="true" outlineLevel="0" collapsed="false">
      <c r="J277" s="1" t="str">
        <f aca="false">IF($A277="","",IF($I277&lt;&gt;"", $I277, VENT_Plan!$M277))</f>
        <v/>
      </c>
      <c r="L277" s="1" t="str">
        <f aca="false">IF($A277="","",K277*D277)</f>
        <v/>
      </c>
      <c r="O277" s="52"/>
    </row>
    <row r="278" customFormat="false" ht="15" hidden="false" customHeight="true" outlineLevel="0" collapsed="false">
      <c r="J278" s="1" t="str">
        <f aca="false">IF($A278="","",IF($I278&lt;&gt;"", $I278, VENT_Plan!$M278))</f>
        <v/>
      </c>
      <c r="L278" s="1" t="str">
        <f aca="false">IF($A278="","",K278*D278)</f>
        <v/>
      </c>
      <c r="O278" s="52"/>
    </row>
    <row r="279" customFormat="false" ht="15" hidden="false" customHeight="true" outlineLevel="0" collapsed="false">
      <c r="J279" s="1" t="str">
        <f aca="false">IF($A279="","",IF($I279&lt;&gt;"", $I279, VENT_Plan!$M279))</f>
        <v/>
      </c>
      <c r="L279" s="1" t="str">
        <f aca="false">IF($A279="","",K279*D279)</f>
        <v/>
      </c>
      <c r="O279" s="52"/>
    </row>
    <row r="280" customFormat="false" ht="15" hidden="false" customHeight="true" outlineLevel="0" collapsed="false">
      <c r="J280" s="1" t="str">
        <f aca="false">IF($A280="","",IF($I280&lt;&gt;"", $I280, VENT_Plan!$M280))</f>
        <v/>
      </c>
      <c r="L280" s="1" t="str">
        <f aca="false">IF($A280="","",K280*D280)</f>
        <v/>
      </c>
      <c r="O280" s="52"/>
    </row>
    <row r="281" customFormat="false" ht="15" hidden="false" customHeight="true" outlineLevel="0" collapsed="false">
      <c r="J281" s="1" t="str">
        <f aca="false">IF($A281="","",IF($I281&lt;&gt;"", $I281, VENT_Plan!$M281))</f>
        <v/>
      </c>
      <c r="L281" s="1" t="str">
        <f aca="false">IF($A281="","",K281*D281)</f>
        <v/>
      </c>
      <c r="O281" s="52"/>
    </row>
    <row r="282" customFormat="false" ht="15" hidden="false" customHeight="true" outlineLevel="0" collapsed="false">
      <c r="J282" s="1" t="str">
        <f aca="false">IF($A282="","",IF($I282&lt;&gt;"", $I282, VENT_Plan!$M282))</f>
        <v/>
      </c>
      <c r="L282" s="1" t="str">
        <f aca="false">IF($A282="","",K282*D282)</f>
        <v/>
      </c>
      <c r="O282" s="52"/>
    </row>
    <row r="283" customFormat="false" ht="15" hidden="false" customHeight="true" outlineLevel="0" collapsed="false">
      <c r="J283" s="1" t="str">
        <f aca="false">IF($A283="","",IF($I283&lt;&gt;"", $I283, VENT_Plan!$M283))</f>
        <v/>
      </c>
      <c r="L283" s="1" t="str">
        <f aca="false">IF($A283="","",K283*D283)</f>
        <v/>
      </c>
      <c r="O283" s="52"/>
    </row>
    <row r="284" customFormat="false" ht="15" hidden="false" customHeight="true" outlineLevel="0" collapsed="false">
      <c r="J284" s="1" t="str">
        <f aca="false">IF($A284="","",IF($I284&lt;&gt;"", $I284, VENT_Plan!$M284))</f>
        <v/>
      </c>
      <c r="L284" s="1" t="str">
        <f aca="false">IF($A284="","",K284*D284)</f>
        <v/>
      </c>
      <c r="O284" s="52"/>
    </row>
    <row r="285" customFormat="false" ht="15" hidden="false" customHeight="true" outlineLevel="0" collapsed="false">
      <c r="J285" s="1" t="str">
        <f aca="false">IF($A285="","",IF($I285&lt;&gt;"", $I285, VENT_Plan!$M285))</f>
        <v/>
      </c>
      <c r="L285" s="1" t="str">
        <f aca="false">IF($A285="","",K285*D285)</f>
        <v/>
      </c>
      <c r="O285" s="52"/>
    </row>
    <row r="286" customFormat="false" ht="15" hidden="false" customHeight="true" outlineLevel="0" collapsed="false">
      <c r="J286" s="1" t="str">
        <f aca="false">IF($A286="","",IF($I286&lt;&gt;"", $I286, VENT_Plan!$M286))</f>
        <v/>
      </c>
      <c r="L286" s="1" t="str">
        <f aca="false">IF($A286="","",K286*D286)</f>
        <v/>
      </c>
      <c r="O286" s="52"/>
    </row>
    <row r="287" customFormat="false" ht="15" hidden="false" customHeight="true" outlineLevel="0" collapsed="false">
      <c r="J287" s="1" t="str">
        <f aca="false">IF($A287="","",IF($I287&lt;&gt;"", $I287, VENT_Plan!$M287))</f>
        <v/>
      </c>
      <c r="L287" s="1" t="str">
        <f aca="false">IF($A287="","",K287*D287)</f>
        <v/>
      </c>
      <c r="O287" s="52"/>
    </row>
    <row r="288" customFormat="false" ht="15" hidden="false" customHeight="true" outlineLevel="0" collapsed="false">
      <c r="J288" s="1" t="str">
        <f aca="false">IF($A288="","",IF($I288&lt;&gt;"", $I288, VENT_Plan!$M288))</f>
        <v/>
      </c>
      <c r="L288" s="1" t="str">
        <f aca="false">IF($A288="","",K288*D288)</f>
        <v/>
      </c>
      <c r="O288" s="52"/>
    </row>
    <row r="289" customFormat="false" ht="15" hidden="false" customHeight="true" outlineLevel="0" collapsed="false">
      <c r="J289" s="1" t="str">
        <f aca="false">IF($A289="","",IF($I289&lt;&gt;"", $I289, VENT_Plan!$M289))</f>
        <v/>
      </c>
      <c r="L289" s="1" t="str">
        <f aca="false">IF($A289="","",K289*D289)</f>
        <v/>
      </c>
      <c r="O289" s="52"/>
    </row>
    <row r="290" customFormat="false" ht="15" hidden="false" customHeight="true" outlineLevel="0" collapsed="false">
      <c r="J290" s="1" t="str">
        <f aca="false">IF($A290="","",IF($I290&lt;&gt;"", $I290, VENT_Plan!$M290))</f>
        <v/>
      </c>
      <c r="L290" s="1" t="str">
        <f aca="false">IF($A290="","",K290*D290)</f>
        <v/>
      </c>
      <c r="O290" s="52"/>
    </row>
    <row r="291" customFormat="false" ht="15" hidden="false" customHeight="true" outlineLevel="0" collapsed="false">
      <c r="J291" s="1" t="str">
        <f aca="false">IF($A291="","",IF($I291&lt;&gt;"", $I291, VENT_Plan!$M291))</f>
        <v/>
      </c>
      <c r="L291" s="1" t="str">
        <f aca="false">IF($A291="","",K291*D291)</f>
        <v/>
      </c>
      <c r="O291" s="52"/>
    </row>
    <row r="292" customFormat="false" ht="15" hidden="false" customHeight="true" outlineLevel="0" collapsed="false">
      <c r="J292" s="1" t="str">
        <f aca="false">IF($A292="","",IF($I292&lt;&gt;"", $I292, VENT_Plan!$M292))</f>
        <v/>
      </c>
      <c r="L292" s="1" t="str">
        <f aca="false">IF($A292="","",K292*D292)</f>
        <v/>
      </c>
      <c r="O292" s="52"/>
    </row>
    <row r="293" customFormat="false" ht="15" hidden="false" customHeight="true" outlineLevel="0" collapsed="false">
      <c r="J293" s="1" t="str">
        <f aca="false">IF($A293="","",IF($I293&lt;&gt;"", $I293, VENT_Plan!$M293))</f>
        <v/>
      </c>
      <c r="L293" s="1" t="str">
        <f aca="false">IF($A293="","",K293*D293)</f>
        <v/>
      </c>
      <c r="O293" s="52"/>
    </row>
    <row r="294" customFormat="false" ht="15" hidden="false" customHeight="true" outlineLevel="0" collapsed="false">
      <c r="J294" s="1" t="str">
        <f aca="false">IF($A294="","",IF($I294&lt;&gt;"", $I294, VENT_Plan!$M294))</f>
        <v/>
      </c>
      <c r="L294" s="1" t="str">
        <f aca="false">IF($A294="","",K294*D294)</f>
        <v/>
      </c>
      <c r="O294" s="52"/>
    </row>
    <row r="295" customFormat="false" ht="15" hidden="false" customHeight="true" outlineLevel="0" collapsed="false">
      <c r="J295" s="1" t="str">
        <f aca="false">IF($A295="","",IF($I295&lt;&gt;"", $I295, VENT_Plan!$M295))</f>
        <v/>
      </c>
      <c r="L295" s="1" t="str">
        <f aca="false">IF($A295="","",K295*D295)</f>
        <v/>
      </c>
      <c r="O295" s="52"/>
    </row>
    <row r="296" customFormat="false" ht="15" hidden="false" customHeight="true" outlineLevel="0" collapsed="false">
      <c r="J296" s="1" t="str">
        <f aca="false">IF($A296="","",IF($I296&lt;&gt;"", $I296, VENT_Plan!$M296))</f>
        <v/>
      </c>
      <c r="L296" s="1" t="str">
        <f aca="false">IF($A296="","",K296*D296)</f>
        <v/>
      </c>
      <c r="O296" s="52"/>
    </row>
    <row r="297" customFormat="false" ht="15" hidden="false" customHeight="true" outlineLevel="0" collapsed="false">
      <c r="J297" s="1" t="str">
        <f aca="false">IF($A297="","",IF($I297&lt;&gt;"", $I297, VENT_Plan!$M297))</f>
        <v/>
      </c>
      <c r="L297" s="1" t="str">
        <f aca="false">IF($A297="","",K297*D297)</f>
        <v/>
      </c>
      <c r="O297" s="52"/>
    </row>
    <row r="298" customFormat="false" ht="15" hidden="false" customHeight="true" outlineLevel="0" collapsed="false">
      <c r="J298" s="1" t="str">
        <f aca="false">IF($A298="","",IF($I298&lt;&gt;"", $I298, VENT_Plan!$M298))</f>
        <v/>
      </c>
      <c r="L298" s="1" t="str">
        <f aca="false">IF($A298="","",K298*D298)</f>
        <v/>
      </c>
      <c r="O298" s="52"/>
    </row>
    <row r="299" customFormat="false" ht="15" hidden="false" customHeight="true" outlineLevel="0" collapsed="false">
      <c r="J299" s="1" t="str">
        <f aca="false">IF($A299="","",IF($I299&lt;&gt;"", $I299, VENT_Plan!$M299))</f>
        <v/>
      </c>
      <c r="L299" s="1" t="str">
        <f aca="false">IF($A299="","",K299*D299)</f>
        <v/>
      </c>
      <c r="O299" s="52"/>
    </row>
    <row r="300" customFormat="false" ht="15" hidden="false" customHeight="true" outlineLevel="0" collapsed="false">
      <c r="J300" s="1" t="str">
        <f aca="false">IF($A300="","",IF($I300&lt;&gt;"", $I300, VENT_Plan!$M300))</f>
        <v/>
      </c>
      <c r="L300" s="1" t="str">
        <f aca="false">IF($A300="","",K300*D300)</f>
        <v/>
      </c>
      <c r="O300" s="52"/>
    </row>
    <row r="301" customFormat="false" ht="15" hidden="false" customHeight="true" outlineLevel="0" collapsed="false">
      <c r="J301" s="1" t="str">
        <f aca="false">IF($A301="","",IF($I301&lt;&gt;"", $I301, VENT_Plan!$M301))</f>
        <v/>
      </c>
      <c r="L301" s="1" t="str">
        <f aca="false">IF($A301="","",K301*D301)</f>
        <v/>
      </c>
      <c r="O301" s="52"/>
    </row>
    <row r="302" customFormat="false" ht="15" hidden="false" customHeight="true" outlineLevel="0" collapsed="false">
      <c r="J302" s="1" t="str">
        <f aca="false">IF($A302="","",IF($I302&lt;&gt;"", $I302, VENT_Plan!$M302))</f>
        <v/>
      </c>
      <c r="L302" s="1" t="str">
        <f aca="false">IF($A302="","",K302*D302)</f>
        <v/>
      </c>
      <c r="O302" s="52"/>
    </row>
    <row r="303" customFormat="false" ht="15" hidden="false" customHeight="true" outlineLevel="0" collapsed="false">
      <c r="J303" s="1" t="str">
        <f aca="false">IF($A303="","",IF($I303&lt;&gt;"", $I303, VENT_Plan!$M303))</f>
        <v/>
      </c>
      <c r="L303" s="1" t="str">
        <f aca="false">IF($A303="","",K303*D303)</f>
        <v/>
      </c>
      <c r="O303" s="52"/>
    </row>
    <row r="304" customFormat="false" ht="15" hidden="false" customHeight="true" outlineLevel="0" collapsed="false">
      <c r="J304" s="1" t="str">
        <f aca="false">IF($A304="","",IF($I304&lt;&gt;"", $I304, VENT_Plan!$M304))</f>
        <v/>
      </c>
      <c r="L304" s="1" t="str">
        <f aca="false">IF($A304="","",K304*D304)</f>
        <v/>
      </c>
      <c r="O304" s="52"/>
    </row>
    <row r="305" customFormat="false" ht="15" hidden="false" customHeight="true" outlineLevel="0" collapsed="false">
      <c r="J305" s="1" t="str">
        <f aca="false">IF($A305="","",IF($I305&lt;&gt;"", $I305, VENT_Plan!$M305))</f>
        <v/>
      </c>
      <c r="L305" s="1" t="str">
        <f aca="false">IF($A305="","",K305*D305)</f>
        <v/>
      </c>
      <c r="O305" s="52"/>
    </row>
    <row r="306" customFormat="false" ht="15" hidden="false" customHeight="true" outlineLevel="0" collapsed="false">
      <c r="J306" s="1" t="str">
        <f aca="false">IF($A306="","",IF($I306&lt;&gt;"", $I306, VENT_Plan!$M306))</f>
        <v/>
      </c>
      <c r="L306" s="1" t="str">
        <f aca="false">IF($A306="","",K306*D306)</f>
        <v/>
      </c>
      <c r="O306" s="52"/>
    </row>
    <row r="307" customFormat="false" ht="15" hidden="false" customHeight="true" outlineLevel="0" collapsed="false">
      <c r="J307" s="1" t="str">
        <f aca="false">IF($A307="","",IF($I307&lt;&gt;"", $I307, VENT_Plan!$M307))</f>
        <v/>
      </c>
      <c r="L307" s="1" t="str">
        <f aca="false">IF($A307="","",K307*D307)</f>
        <v/>
      </c>
      <c r="O307" s="52"/>
    </row>
    <row r="308" customFormat="false" ht="15" hidden="false" customHeight="true" outlineLevel="0" collapsed="false">
      <c r="J308" s="1" t="str">
        <f aca="false">IF($A308="","",IF($I308&lt;&gt;"", $I308, VENT_Plan!$M308))</f>
        <v/>
      </c>
      <c r="L308" s="1" t="str">
        <f aca="false">IF($A308="","",K308*D308)</f>
        <v/>
      </c>
      <c r="O308" s="52"/>
    </row>
    <row r="309" customFormat="false" ht="15" hidden="false" customHeight="true" outlineLevel="0" collapsed="false">
      <c r="J309" s="1" t="str">
        <f aca="false">IF($A309="","",IF($I309&lt;&gt;"", $I309, VENT_Plan!$M309))</f>
        <v/>
      </c>
      <c r="L309" s="1" t="str">
        <f aca="false">IF($A309="","",K309*D309)</f>
        <v/>
      </c>
      <c r="O309" s="52"/>
    </row>
    <row r="310" customFormat="false" ht="15" hidden="false" customHeight="true" outlineLevel="0" collapsed="false">
      <c r="J310" s="1" t="str">
        <f aca="false">IF($A310="","",IF($I310&lt;&gt;"", $I310, VENT_Plan!$M310))</f>
        <v/>
      </c>
      <c r="L310" s="1" t="str">
        <f aca="false">IF($A310="","",K310*D310)</f>
        <v/>
      </c>
      <c r="O310" s="52"/>
    </row>
    <row r="311" customFormat="false" ht="15" hidden="false" customHeight="true" outlineLevel="0" collapsed="false">
      <c r="J311" s="1" t="str">
        <f aca="false">IF($A311="","",IF($I311&lt;&gt;"", $I311, VENT_Plan!$M311))</f>
        <v/>
      </c>
      <c r="L311" s="1" t="str">
        <f aca="false">IF($A311="","",K311*D311)</f>
        <v/>
      </c>
      <c r="O311" s="52"/>
    </row>
    <row r="312" customFormat="false" ht="15" hidden="false" customHeight="true" outlineLevel="0" collapsed="false">
      <c r="J312" s="1" t="str">
        <f aca="false">IF($A312="","",IF($I312&lt;&gt;"", $I312, VENT_Plan!$M312))</f>
        <v/>
      </c>
      <c r="L312" s="1" t="str">
        <f aca="false">IF($A312="","",K312*D312)</f>
        <v/>
      </c>
      <c r="O312" s="52"/>
    </row>
    <row r="313" customFormat="false" ht="15" hidden="false" customHeight="true" outlineLevel="0" collapsed="false">
      <c r="J313" s="1" t="str">
        <f aca="false">IF($A313="","",IF($I313&lt;&gt;"", $I313, VENT_Plan!$M313))</f>
        <v/>
      </c>
      <c r="L313" s="1" t="str">
        <f aca="false">IF($A313="","",K313*D313)</f>
        <v/>
      </c>
      <c r="O313" s="52"/>
    </row>
    <row r="314" customFormat="false" ht="15" hidden="false" customHeight="true" outlineLevel="0" collapsed="false">
      <c r="J314" s="1" t="str">
        <f aca="false">IF($A314="","",IF($I314&lt;&gt;"", $I314, VENT_Plan!$M314))</f>
        <v/>
      </c>
      <c r="L314" s="1" t="str">
        <f aca="false">IF($A314="","",K314*D314)</f>
        <v/>
      </c>
      <c r="O314" s="52"/>
    </row>
    <row r="315" customFormat="false" ht="15" hidden="false" customHeight="true" outlineLevel="0" collapsed="false">
      <c r="J315" s="1" t="str">
        <f aca="false">IF($A315="","",IF($I315&lt;&gt;"", $I315, VENT_Plan!$M315))</f>
        <v/>
      </c>
      <c r="L315" s="1" t="str">
        <f aca="false">IF($A315="","",K315*D315)</f>
        <v/>
      </c>
      <c r="O315" s="52"/>
    </row>
    <row r="316" customFormat="false" ht="15" hidden="false" customHeight="true" outlineLevel="0" collapsed="false">
      <c r="J316" s="1" t="str">
        <f aca="false">IF($A316="","",IF($I316&lt;&gt;"", $I316, VENT_Plan!$M316))</f>
        <v/>
      </c>
      <c r="L316" s="1" t="str">
        <f aca="false">IF($A316="","",K316*D316)</f>
        <v/>
      </c>
      <c r="O316" s="52"/>
    </row>
    <row r="317" customFormat="false" ht="15" hidden="false" customHeight="true" outlineLevel="0" collapsed="false">
      <c r="J317" s="1" t="str">
        <f aca="false">IF($A317="","",IF($I317&lt;&gt;"", $I317, VENT_Plan!$M317))</f>
        <v/>
      </c>
      <c r="L317" s="1" t="str">
        <f aca="false">IF($A317="","",K317*D317)</f>
        <v/>
      </c>
      <c r="O317" s="52"/>
    </row>
    <row r="318" customFormat="false" ht="15" hidden="false" customHeight="true" outlineLevel="0" collapsed="false">
      <c r="J318" s="1" t="str">
        <f aca="false">IF($A318="","",IF($I318&lt;&gt;"", $I318, VENT_Plan!$M318))</f>
        <v/>
      </c>
      <c r="L318" s="1" t="str">
        <f aca="false">IF($A318="","",K318*D318)</f>
        <v/>
      </c>
      <c r="O318" s="52"/>
    </row>
    <row r="319" customFormat="false" ht="15" hidden="false" customHeight="true" outlineLevel="0" collapsed="false">
      <c r="J319" s="1" t="str">
        <f aca="false">IF($A319="","",IF($I319&lt;&gt;"", $I319, VENT_Plan!$M319))</f>
        <v/>
      </c>
      <c r="L319" s="1" t="str">
        <f aca="false">IF($A319="","",K319*D319)</f>
        <v/>
      </c>
      <c r="O319" s="52"/>
    </row>
    <row r="320" customFormat="false" ht="15" hidden="false" customHeight="true" outlineLevel="0" collapsed="false">
      <c r="J320" s="1" t="str">
        <f aca="false">IF($A320="","",IF($I320&lt;&gt;"", $I320, VENT_Plan!$M320))</f>
        <v/>
      </c>
      <c r="L320" s="1" t="str">
        <f aca="false">IF($A320="","",K320*D320)</f>
        <v/>
      </c>
      <c r="O320" s="52"/>
    </row>
    <row r="321" customFormat="false" ht="15" hidden="false" customHeight="true" outlineLevel="0" collapsed="false">
      <c r="J321" s="1" t="str">
        <f aca="false">IF($A321="","",IF($I321&lt;&gt;"", $I321, VENT_Plan!$M321))</f>
        <v/>
      </c>
      <c r="L321" s="1" t="str">
        <f aca="false">IF($A321="","",K321*D321)</f>
        <v/>
      </c>
      <c r="O321" s="52"/>
    </row>
    <row r="322" customFormat="false" ht="15" hidden="false" customHeight="true" outlineLevel="0" collapsed="false">
      <c r="J322" s="1" t="str">
        <f aca="false">IF($A322="","",IF($I322&lt;&gt;"", $I322, VENT_Plan!$M322))</f>
        <v/>
      </c>
      <c r="L322" s="1" t="str">
        <f aca="false">IF($A322="","",K322*D322)</f>
        <v/>
      </c>
      <c r="O322" s="52"/>
    </row>
    <row r="323" customFormat="false" ht="15" hidden="false" customHeight="true" outlineLevel="0" collapsed="false">
      <c r="J323" s="1" t="str">
        <f aca="false">IF($A323="","",IF($I323&lt;&gt;"", $I323, VENT_Plan!$M323))</f>
        <v/>
      </c>
      <c r="L323" s="1" t="str">
        <f aca="false">IF($A323="","",K323*D323)</f>
        <v/>
      </c>
      <c r="O323" s="52"/>
    </row>
    <row r="324" customFormat="false" ht="15" hidden="false" customHeight="true" outlineLevel="0" collapsed="false">
      <c r="J324" s="1" t="str">
        <f aca="false">IF($A324="","",IF($I324&lt;&gt;"", $I324, VENT_Plan!$M324))</f>
        <v/>
      </c>
      <c r="L324" s="1" t="str">
        <f aca="false">IF($A324="","",K324*D324)</f>
        <v/>
      </c>
      <c r="O324" s="52"/>
    </row>
    <row r="325" customFormat="false" ht="15" hidden="false" customHeight="true" outlineLevel="0" collapsed="false">
      <c r="J325" s="1" t="str">
        <f aca="false">IF($A325="","",IF($I325&lt;&gt;"", $I325, VENT_Plan!$M325))</f>
        <v/>
      </c>
      <c r="L325" s="1" t="str">
        <f aca="false">IF($A325="","",K325*D325)</f>
        <v/>
      </c>
      <c r="O325" s="52"/>
    </row>
    <row r="326" customFormat="false" ht="15" hidden="false" customHeight="true" outlineLevel="0" collapsed="false">
      <c r="J326" s="1" t="str">
        <f aca="false">IF($A326="","",IF($I326&lt;&gt;"", $I326, VENT_Plan!$M326))</f>
        <v/>
      </c>
      <c r="L326" s="1" t="str">
        <f aca="false">IF($A326="","",K326*D326)</f>
        <v/>
      </c>
      <c r="O326" s="52"/>
    </row>
    <row r="327" customFormat="false" ht="15" hidden="false" customHeight="true" outlineLevel="0" collapsed="false">
      <c r="J327" s="1" t="str">
        <f aca="false">IF($A327="","",IF($I327&lt;&gt;"", $I327, VENT_Plan!$M327))</f>
        <v/>
      </c>
      <c r="L327" s="1" t="str">
        <f aca="false">IF($A327="","",K327*D327)</f>
        <v/>
      </c>
      <c r="O327" s="52"/>
    </row>
    <row r="328" customFormat="false" ht="15" hidden="false" customHeight="true" outlineLevel="0" collapsed="false">
      <c r="J328" s="1" t="str">
        <f aca="false">IF($A328="","",IF($I328&lt;&gt;"", $I328, VENT_Plan!$M328))</f>
        <v/>
      </c>
      <c r="L328" s="1" t="str">
        <f aca="false">IF($A328="","",K328*D328)</f>
        <v/>
      </c>
      <c r="O328" s="52"/>
    </row>
    <row r="329" customFormat="false" ht="15" hidden="false" customHeight="true" outlineLevel="0" collapsed="false">
      <c r="J329" s="1" t="str">
        <f aca="false">IF($A329="","",IF($I329&lt;&gt;"", $I329, VENT_Plan!$M329))</f>
        <v/>
      </c>
      <c r="L329" s="1" t="str">
        <f aca="false">IF($A329="","",K329*D329)</f>
        <v/>
      </c>
      <c r="O329" s="52"/>
    </row>
    <row r="330" customFormat="false" ht="15" hidden="false" customHeight="true" outlineLevel="0" collapsed="false">
      <c r="J330" s="1" t="str">
        <f aca="false">IF($A330="","",IF($I330&lt;&gt;"", $I330, VENT_Plan!$M330))</f>
        <v/>
      </c>
      <c r="L330" s="1" t="str">
        <f aca="false">IF($A330="","",K330*D330)</f>
        <v/>
      </c>
      <c r="O330" s="52"/>
    </row>
    <row r="331" customFormat="false" ht="15" hidden="false" customHeight="true" outlineLevel="0" collapsed="false">
      <c r="J331" s="1" t="str">
        <f aca="false">IF($A331="","",IF($I331&lt;&gt;"", $I331, VENT_Plan!$M331))</f>
        <v/>
      </c>
      <c r="L331" s="1" t="str">
        <f aca="false">IF($A331="","",K331*D331)</f>
        <v/>
      </c>
      <c r="O331" s="52"/>
    </row>
    <row r="332" customFormat="false" ht="15" hidden="false" customHeight="true" outlineLevel="0" collapsed="false">
      <c r="J332" s="1" t="str">
        <f aca="false">IF($A332="","",IF($I332&lt;&gt;"", $I332, VENT_Plan!$M332))</f>
        <v/>
      </c>
      <c r="L332" s="1" t="str">
        <f aca="false">IF($A332="","",K332*D332)</f>
        <v/>
      </c>
      <c r="O332" s="52"/>
    </row>
    <row r="333" customFormat="false" ht="15" hidden="false" customHeight="true" outlineLevel="0" collapsed="false">
      <c r="J333" s="1" t="str">
        <f aca="false">IF($A333="","",IF($I333&lt;&gt;"", $I333, VENT_Plan!$M333))</f>
        <v/>
      </c>
      <c r="L333" s="1" t="str">
        <f aca="false">IF($A333="","",K333*D333)</f>
        <v/>
      </c>
      <c r="O333" s="52"/>
    </row>
    <row r="334" customFormat="false" ht="15" hidden="false" customHeight="true" outlineLevel="0" collapsed="false">
      <c r="J334" s="1" t="str">
        <f aca="false">IF($A334="","",IF($I334&lt;&gt;"", $I334, VENT_Plan!$M334))</f>
        <v/>
      </c>
      <c r="L334" s="1" t="str">
        <f aca="false">IF($A334="","",K334*D334)</f>
        <v/>
      </c>
      <c r="O334" s="52"/>
    </row>
    <row r="335" customFormat="false" ht="15" hidden="false" customHeight="true" outlineLevel="0" collapsed="false">
      <c r="J335" s="1" t="str">
        <f aca="false">IF($A335="","",IF($I335&lt;&gt;"", $I335, VENT_Plan!$M335))</f>
        <v/>
      </c>
      <c r="L335" s="1" t="str">
        <f aca="false">IF($A335="","",K335*D335)</f>
        <v/>
      </c>
      <c r="O335" s="52"/>
    </row>
    <row r="336" customFormat="false" ht="15" hidden="false" customHeight="true" outlineLevel="0" collapsed="false">
      <c r="J336" s="1" t="str">
        <f aca="false">IF($A336="","",IF($I336&lt;&gt;"", $I336, VENT_Plan!$M336))</f>
        <v/>
      </c>
      <c r="L336" s="1" t="str">
        <f aca="false">IF($A336="","",K336*D336)</f>
        <v/>
      </c>
      <c r="O336" s="52"/>
    </row>
    <row r="337" customFormat="false" ht="15" hidden="false" customHeight="true" outlineLevel="0" collapsed="false">
      <c r="J337" s="1" t="str">
        <f aca="false">IF($A337="","",IF($I337&lt;&gt;"", $I337, VENT_Plan!$M337))</f>
        <v/>
      </c>
      <c r="L337" s="1" t="str">
        <f aca="false">IF($A337="","",K337*D337)</f>
        <v/>
      </c>
      <c r="O337" s="52"/>
    </row>
    <row r="338" customFormat="false" ht="15" hidden="false" customHeight="true" outlineLevel="0" collapsed="false">
      <c r="J338" s="1" t="str">
        <f aca="false">IF($A338="","",IF($I338&lt;&gt;"", $I338, VENT_Plan!$M338))</f>
        <v/>
      </c>
      <c r="L338" s="1" t="str">
        <f aca="false">IF($A338="","",K338*D338)</f>
        <v/>
      </c>
      <c r="O338" s="52"/>
    </row>
    <row r="339" customFormat="false" ht="15" hidden="false" customHeight="true" outlineLevel="0" collapsed="false">
      <c r="J339" s="1" t="str">
        <f aca="false">IF($A339="","",IF($I339&lt;&gt;"", $I339, VENT_Plan!$M339))</f>
        <v/>
      </c>
      <c r="L339" s="1" t="str">
        <f aca="false">IF($A339="","",K339*D339)</f>
        <v/>
      </c>
      <c r="O339" s="52"/>
    </row>
    <row r="340" customFormat="false" ht="15" hidden="false" customHeight="true" outlineLevel="0" collapsed="false">
      <c r="J340" s="1" t="str">
        <f aca="false">IF($A340="","",IF($I340&lt;&gt;"", $I340, VENT_Plan!$M340))</f>
        <v/>
      </c>
      <c r="L340" s="1" t="str">
        <f aca="false">IF($A340="","",K340*D340)</f>
        <v/>
      </c>
      <c r="O340" s="52"/>
    </row>
    <row r="341" customFormat="false" ht="15" hidden="false" customHeight="true" outlineLevel="0" collapsed="false">
      <c r="J341" s="1" t="str">
        <f aca="false">IF($A341="","",IF($I341&lt;&gt;"", $I341, VENT_Plan!$M341))</f>
        <v/>
      </c>
      <c r="L341" s="1" t="str">
        <f aca="false">IF($A341="","",K341*D341)</f>
        <v/>
      </c>
      <c r="O341" s="52"/>
    </row>
    <row r="342" customFormat="false" ht="15" hidden="false" customHeight="true" outlineLevel="0" collapsed="false">
      <c r="J342" s="1" t="str">
        <f aca="false">IF($A342="","",IF($I342&lt;&gt;"", $I342, VENT_Plan!$M342))</f>
        <v/>
      </c>
      <c r="L342" s="1" t="str">
        <f aca="false">IF($A342="","",K342*D342)</f>
        <v/>
      </c>
      <c r="O342" s="52"/>
    </row>
    <row r="343" customFormat="false" ht="15" hidden="false" customHeight="true" outlineLevel="0" collapsed="false">
      <c r="J343" s="1" t="str">
        <f aca="false">IF($A343="","",IF($I343&lt;&gt;"", $I343, VENT_Plan!$M343))</f>
        <v/>
      </c>
      <c r="L343" s="1" t="str">
        <f aca="false">IF($A343="","",K343*D343)</f>
        <v/>
      </c>
      <c r="O343" s="52"/>
    </row>
    <row r="344" customFormat="false" ht="15" hidden="false" customHeight="true" outlineLevel="0" collapsed="false">
      <c r="J344" s="1" t="str">
        <f aca="false">IF($A344="","",IF($I344&lt;&gt;"", $I344, VENT_Plan!$M344))</f>
        <v/>
      </c>
      <c r="L344" s="1" t="str">
        <f aca="false">IF($A344="","",K344*D344)</f>
        <v/>
      </c>
      <c r="O344" s="52"/>
    </row>
    <row r="345" customFormat="false" ht="15" hidden="false" customHeight="true" outlineLevel="0" collapsed="false">
      <c r="J345" s="1" t="str">
        <f aca="false">IF($A345="","",IF($I345&lt;&gt;"", $I345, VENT_Plan!$M345))</f>
        <v/>
      </c>
      <c r="L345" s="1" t="str">
        <f aca="false">IF($A345="","",K345*D345)</f>
        <v/>
      </c>
      <c r="O345" s="52"/>
    </row>
    <row r="346" customFormat="false" ht="15" hidden="false" customHeight="true" outlineLevel="0" collapsed="false">
      <c r="J346" s="1" t="str">
        <f aca="false">IF($A346="","",IF($I346&lt;&gt;"", $I346, VENT_Plan!$M346))</f>
        <v/>
      </c>
      <c r="L346" s="1" t="str">
        <f aca="false">IF($A346="","",K346*D346)</f>
        <v/>
      </c>
      <c r="O346" s="52"/>
    </row>
    <row r="347" customFormat="false" ht="15" hidden="false" customHeight="true" outlineLevel="0" collapsed="false">
      <c r="J347" s="1" t="str">
        <f aca="false">IF($A347="","",IF($I347&lt;&gt;"", $I347, VENT_Plan!$M347))</f>
        <v/>
      </c>
      <c r="L347" s="1" t="str">
        <f aca="false">IF($A347="","",K347*D347)</f>
        <v/>
      </c>
      <c r="O347" s="52"/>
    </row>
    <row r="348" customFormat="false" ht="15" hidden="false" customHeight="true" outlineLevel="0" collapsed="false">
      <c r="J348" s="1" t="str">
        <f aca="false">IF($A348="","",IF($I348&lt;&gt;"", $I348, VENT_Plan!$M348))</f>
        <v/>
      </c>
      <c r="L348" s="1" t="str">
        <f aca="false">IF($A348="","",K348*D348)</f>
        <v/>
      </c>
      <c r="O348" s="52"/>
    </row>
    <row r="349" customFormat="false" ht="15" hidden="false" customHeight="true" outlineLevel="0" collapsed="false">
      <c r="J349" s="1" t="str">
        <f aca="false">IF($A349="","",IF($I349&lt;&gt;"", $I349, VENT_Plan!$M349))</f>
        <v/>
      </c>
      <c r="L349" s="1" t="str">
        <f aca="false">IF($A349="","",K349*D349)</f>
        <v/>
      </c>
      <c r="O349" s="52"/>
    </row>
    <row r="350" customFormat="false" ht="15" hidden="false" customHeight="true" outlineLevel="0" collapsed="false">
      <c r="J350" s="1" t="str">
        <f aca="false">IF($A350="","",IF($I350&lt;&gt;"", $I350, VENT_Plan!$M350))</f>
        <v/>
      </c>
      <c r="L350" s="1" t="str">
        <f aca="false">IF($A350="","",K350*D350)</f>
        <v/>
      </c>
      <c r="O350" s="52"/>
    </row>
    <row r="351" customFormat="false" ht="15" hidden="false" customHeight="true" outlineLevel="0" collapsed="false">
      <c r="J351" s="1" t="str">
        <f aca="false">IF($A351="","",IF($I351&lt;&gt;"", $I351, VENT_Plan!$M351))</f>
        <v/>
      </c>
      <c r="L351" s="1" t="str">
        <f aca="false">IF($A351="","",K351*D351)</f>
        <v/>
      </c>
      <c r="O351" s="52"/>
    </row>
    <row r="352" customFormat="false" ht="15" hidden="false" customHeight="true" outlineLevel="0" collapsed="false">
      <c r="J352" s="1" t="str">
        <f aca="false">IF($A352="","",IF($I352&lt;&gt;"", $I352, VENT_Plan!$M352))</f>
        <v/>
      </c>
      <c r="L352" s="1" t="str">
        <f aca="false">IF($A352="","",K352*D352)</f>
        <v/>
      </c>
      <c r="O352" s="52"/>
    </row>
    <row r="353" customFormat="false" ht="15" hidden="false" customHeight="true" outlineLevel="0" collapsed="false">
      <c r="J353" s="1" t="str">
        <f aca="false">IF($A353="","",IF($I353&lt;&gt;"", $I353, VENT_Plan!$M353))</f>
        <v/>
      </c>
      <c r="L353" s="1" t="str">
        <f aca="false">IF($A353="","",K353*D353)</f>
        <v/>
      </c>
      <c r="O353" s="52"/>
    </row>
    <row r="354" customFormat="false" ht="15" hidden="false" customHeight="true" outlineLevel="0" collapsed="false">
      <c r="J354" s="1" t="str">
        <f aca="false">IF($A354="","",IF($I354&lt;&gt;"", $I354, VENT_Plan!$M354))</f>
        <v/>
      </c>
      <c r="L354" s="1" t="str">
        <f aca="false">IF($A354="","",K354*D354)</f>
        <v/>
      </c>
      <c r="O354" s="52"/>
    </row>
    <row r="355" customFormat="false" ht="15" hidden="false" customHeight="true" outlineLevel="0" collapsed="false">
      <c r="J355" s="1" t="str">
        <f aca="false">IF($A355="","",IF($I355&lt;&gt;"", $I355, VENT_Plan!$M355))</f>
        <v/>
      </c>
      <c r="L355" s="1" t="str">
        <f aca="false">IF($A355="","",K355*D355)</f>
        <v/>
      </c>
      <c r="O355" s="52"/>
    </row>
    <row r="356" customFormat="false" ht="15" hidden="false" customHeight="true" outlineLevel="0" collapsed="false">
      <c r="J356" s="1" t="str">
        <f aca="false">IF($A356="","",IF($I356&lt;&gt;"", $I356, VENT_Plan!$M356))</f>
        <v/>
      </c>
      <c r="L356" s="1" t="str">
        <f aca="false">IF($A356="","",K356*D356)</f>
        <v/>
      </c>
      <c r="O356" s="52"/>
    </row>
    <row r="357" customFormat="false" ht="15" hidden="false" customHeight="true" outlineLevel="0" collapsed="false">
      <c r="J357" s="1" t="str">
        <f aca="false">IF($A357="","",IF($I357&lt;&gt;"", $I357, VENT_Plan!$M357))</f>
        <v/>
      </c>
      <c r="L357" s="1" t="str">
        <f aca="false">IF($A357="","",K357*D357)</f>
        <v/>
      </c>
      <c r="O357" s="52"/>
    </row>
    <row r="358" customFormat="false" ht="15" hidden="false" customHeight="true" outlineLevel="0" collapsed="false">
      <c r="J358" s="1" t="str">
        <f aca="false">IF($A358="","",IF($I358&lt;&gt;"", $I358, VENT_Plan!$M358))</f>
        <v/>
      </c>
      <c r="L358" s="1" t="str">
        <f aca="false">IF($A358="","",K358*D358)</f>
        <v/>
      </c>
      <c r="O358" s="52"/>
    </row>
    <row r="359" customFormat="false" ht="15" hidden="false" customHeight="true" outlineLevel="0" collapsed="false">
      <c r="J359" s="1" t="str">
        <f aca="false">IF($A359="","",IF($I359&lt;&gt;"", $I359, VENT_Plan!$M359))</f>
        <v/>
      </c>
      <c r="L359" s="1" t="str">
        <f aca="false">IF($A359="","",K359*D359)</f>
        <v/>
      </c>
      <c r="O359" s="52"/>
    </row>
    <row r="360" customFormat="false" ht="15" hidden="false" customHeight="true" outlineLevel="0" collapsed="false">
      <c r="J360" s="1" t="str">
        <f aca="false">IF($A360="","",IF($I360&lt;&gt;"", $I360, VENT_Plan!$M360))</f>
        <v/>
      </c>
      <c r="L360" s="1" t="str">
        <f aca="false">IF($A360="","",K360*D360)</f>
        <v/>
      </c>
      <c r="O360" s="52"/>
    </row>
    <row r="361" customFormat="false" ht="15" hidden="false" customHeight="true" outlineLevel="0" collapsed="false">
      <c r="J361" s="1" t="str">
        <f aca="false">IF($A361="","",IF($I361&lt;&gt;"", $I361, VENT_Plan!$M361))</f>
        <v/>
      </c>
      <c r="L361" s="1" t="str">
        <f aca="false">IF($A361="","",K361*D361)</f>
        <v/>
      </c>
      <c r="O361" s="52"/>
    </row>
    <row r="362" customFormat="false" ht="15" hidden="false" customHeight="true" outlineLevel="0" collapsed="false">
      <c r="J362" s="1" t="str">
        <f aca="false">IF($A362="","",IF($I362&lt;&gt;"", $I362, VENT_Plan!$M362))</f>
        <v/>
      </c>
      <c r="L362" s="1" t="str">
        <f aca="false">IF($A362="","",K362*D362)</f>
        <v/>
      </c>
      <c r="O362" s="52"/>
    </row>
    <row r="363" customFormat="false" ht="15" hidden="false" customHeight="true" outlineLevel="0" collapsed="false">
      <c r="J363" s="1" t="str">
        <f aca="false">IF($A363="","",IF($I363&lt;&gt;"", $I363, VENT_Plan!$M363))</f>
        <v/>
      </c>
      <c r="L363" s="1" t="str">
        <f aca="false">IF($A363="","",K363*D363)</f>
        <v/>
      </c>
      <c r="O363" s="52"/>
    </row>
    <row r="364" customFormat="false" ht="15" hidden="false" customHeight="true" outlineLevel="0" collapsed="false">
      <c r="J364" s="1" t="str">
        <f aca="false">IF($A364="","",IF($I364&lt;&gt;"", $I364, VENT_Plan!$M364))</f>
        <v/>
      </c>
      <c r="L364" s="1" t="str">
        <f aca="false">IF($A364="","",K364*D364)</f>
        <v/>
      </c>
      <c r="O364" s="52"/>
    </row>
    <row r="365" customFormat="false" ht="15" hidden="false" customHeight="true" outlineLevel="0" collapsed="false">
      <c r="J365" s="1" t="str">
        <f aca="false">IF($A365="","",IF($I365&lt;&gt;"", $I365, VENT_Plan!$M365))</f>
        <v/>
      </c>
      <c r="L365" s="1" t="str">
        <f aca="false">IF($A365="","",K365*D365)</f>
        <v/>
      </c>
      <c r="O365" s="52"/>
    </row>
    <row r="366" customFormat="false" ht="15" hidden="false" customHeight="true" outlineLevel="0" collapsed="false">
      <c r="J366" s="1" t="str">
        <f aca="false">IF($A366="","",IF($I366&lt;&gt;"", $I366, VENT_Plan!$M366))</f>
        <v/>
      </c>
      <c r="L366" s="1" t="str">
        <f aca="false">IF($A366="","",K366*D366)</f>
        <v/>
      </c>
      <c r="O366" s="52"/>
    </row>
    <row r="367" customFormat="false" ht="15" hidden="false" customHeight="true" outlineLevel="0" collapsed="false">
      <c r="J367" s="1" t="str">
        <f aca="false">IF($A367="","",IF($I367&lt;&gt;"", $I367, VENT_Plan!$M367))</f>
        <v/>
      </c>
      <c r="L367" s="1" t="str">
        <f aca="false">IF($A367="","",K367*D367)</f>
        <v/>
      </c>
      <c r="O367" s="52"/>
    </row>
    <row r="368" customFormat="false" ht="15" hidden="false" customHeight="true" outlineLevel="0" collapsed="false">
      <c r="J368" s="1" t="str">
        <f aca="false">IF($A368="","",IF($I368&lt;&gt;"", $I368, VENT_Plan!$M368))</f>
        <v/>
      </c>
      <c r="L368" s="1" t="str">
        <f aca="false">IF($A368="","",K368*D368)</f>
        <v/>
      </c>
      <c r="O368" s="52"/>
    </row>
    <row r="369" customFormat="false" ht="15" hidden="false" customHeight="true" outlineLevel="0" collapsed="false">
      <c r="J369" s="1" t="str">
        <f aca="false">IF($A369="","",IF($I369&lt;&gt;"", $I369, VENT_Plan!$M369))</f>
        <v/>
      </c>
      <c r="L369" s="1" t="str">
        <f aca="false">IF($A369="","",K369*D369)</f>
        <v/>
      </c>
      <c r="O369" s="52"/>
    </row>
    <row r="370" customFormat="false" ht="15" hidden="false" customHeight="true" outlineLevel="0" collapsed="false">
      <c r="J370" s="1" t="str">
        <f aca="false">IF($A370="","",IF($I370&lt;&gt;"", $I370, VENT_Plan!$M370))</f>
        <v/>
      </c>
      <c r="L370" s="1" t="str">
        <f aca="false">IF($A370="","",K370*D370)</f>
        <v/>
      </c>
      <c r="O370" s="52"/>
    </row>
    <row r="371" customFormat="false" ht="15" hidden="false" customHeight="true" outlineLevel="0" collapsed="false">
      <c r="J371" s="1" t="str">
        <f aca="false">IF($A371="","",IF($I371&lt;&gt;"", $I371, VENT_Plan!$M371))</f>
        <v/>
      </c>
      <c r="L371" s="1" t="str">
        <f aca="false">IF($A371="","",K371*D371)</f>
        <v/>
      </c>
      <c r="O371" s="52"/>
    </row>
    <row r="372" customFormat="false" ht="15" hidden="false" customHeight="true" outlineLevel="0" collapsed="false">
      <c r="J372" s="1" t="str">
        <f aca="false">IF($A372="","",IF($I372&lt;&gt;"", $I372, VENT_Plan!$M372))</f>
        <v/>
      </c>
      <c r="L372" s="1" t="str">
        <f aca="false">IF($A372="","",K372*D372)</f>
        <v/>
      </c>
      <c r="O372" s="52"/>
    </row>
    <row r="373" customFormat="false" ht="15" hidden="false" customHeight="true" outlineLevel="0" collapsed="false">
      <c r="J373" s="1" t="str">
        <f aca="false">IF($A373="","",IF($I373&lt;&gt;"", $I373, VENT_Plan!$M373))</f>
        <v/>
      </c>
      <c r="L373" s="1" t="str">
        <f aca="false">IF($A373="","",K373*D373)</f>
        <v/>
      </c>
      <c r="O373" s="52"/>
    </row>
    <row r="374" customFormat="false" ht="15" hidden="false" customHeight="true" outlineLevel="0" collapsed="false">
      <c r="J374" s="1" t="str">
        <f aca="false">IF($A374="","",IF($I374&lt;&gt;"", $I374, VENT_Plan!$M374))</f>
        <v/>
      </c>
      <c r="L374" s="1" t="str">
        <f aca="false">IF($A374="","",K374*D374)</f>
        <v/>
      </c>
      <c r="O374" s="52"/>
    </row>
    <row r="375" customFormat="false" ht="15" hidden="false" customHeight="true" outlineLevel="0" collapsed="false">
      <c r="J375" s="1" t="str">
        <f aca="false">IF($A375="","",IF($I375&lt;&gt;"", $I375, VENT_Plan!$M375))</f>
        <v/>
      </c>
      <c r="L375" s="1" t="str">
        <f aca="false">IF($A375="","",K375*D375)</f>
        <v/>
      </c>
      <c r="O375" s="52"/>
    </row>
    <row r="376" customFormat="false" ht="15" hidden="false" customHeight="true" outlineLevel="0" collapsed="false">
      <c r="J376" s="1" t="str">
        <f aca="false">IF($A376="","",IF($I376&lt;&gt;"", $I376, VENT_Plan!$M376))</f>
        <v/>
      </c>
      <c r="L376" s="1" t="str">
        <f aca="false">IF($A376="","",K376*D376)</f>
        <v/>
      </c>
      <c r="O376" s="52"/>
    </row>
    <row r="377" customFormat="false" ht="15" hidden="false" customHeight="true" outlineLevel="0" collapsed="false">
      <c r="J377" s="1" t="str">
        <f aca="false">IF($A377="","",IF($I377&lt;&gt;"", $I377, VENT_Plan!$M377))</f>
        <v/>
      </c>
      <c r="L377" s="1" t="str">
        <f aca="false">IF($A377="","",K377*D377)</f>
        <v/>
      </c>
      <c r="O377" s="52"/>
    </row>
    <row r="378" customFormat="false" ht="15" hidden="false" customHeight="true" outlineLevel="0" collapsed="false">
      <c r="J378" s="1" t="str">
        <f aca="false">IF($A378="","",IF($I378&lt;&gt;"", $I378, VENT_Plan!$M378))</f>
        <v/>
      </c>
      <c r="L378" s="1" t="str">
        <f aca="false">IF($A378="","",K378*D378)</f>
        <v/>
      </c>
      <c r="O378" s="52"/>
    </row>
    <row r="379" customFormat="false" ht="15" hidden="false" customHeight="true" outlineLevel="0" collapsed="false">
      <c r="J379" s="1" t="str">
        <f aca="false">IF($A379="","",IF($I379&lt;&gt;"", $I379, VENT_Plan!$M379))</f>
        <v/>
      </c>
      <c r="L379" s="1" t="str">
        <f aca="false">IF($A379="","",K379*D379)</f>
        <v/>
      </c>
      <c r="O379" s="52"/>
    </row>
    <row r="380" customFormat="false" ht="15" hidden="false" customHeight="true" outlineLevel="0" collapsed="false">
      <c r="J380" s="1" t="str">
        <f aca="false">IF($A380="","",IF($I380&lt;&gt;"", $I380, VENT_Plan!$M380))</f>
        <v/>
      </c>
      <c r="L380" s="1" t="str">
        <f aca="false">IF($A380="","",K380*D380)</f>
        <v/>
      </c>
      <c r="O380" s="52"/>
    </row>
    <row r="381" customFormat="false" ht="15" hidden="false" customHeight="true" outlineLevel="0" collapsed="false">
      <c r="J381" s="1" t="str">
        <f aca="false">IF($A381="","",IF($I381&lt;&gt;"", $I381, VENT_Plan!$M381))</f>
        <v/>
      </c>
      <c r="L381" s="1" t="str">
        <f aca="false">IF($A381="","",K381*D381)</f>
        <v/>
      </c>
      <c r="O381" s="52"/>
    </row>
    <row r="382" customFormat="false" ht="15" hidden="false" customHeight="true" outlineLevel="0" collapsed="false">
      <c r="J382" s="1" t="str">
        <f aca="false">IF($A382="","",IF($I382&lt;&gt;"", $I382, VENT_Plan!$M382))</f>
        <v/>
      </c>
      <c r="L382" s="1" t="str">
        <f aca="false">IF($A382="","",K382*D382)</f>
        <v/>
      </c>
      <c r="O382" s="52"/>
    </row>
    <row r="383" customFormat="false" ht="15" hidden="false" customHeight="true" outlineLevel="0" collapsed="false">
      <c r="J383" s="1" t="str">
        <f aca="false">IF($A383="","",IF($I383&lt;&gt;"", $I383, VENT_Plan!$M383))</f>
        <v/>
      </c>
      <c r="L383" s="1" t="str">
        <f aca="false">IF($A383="","",K383*D383)</f>
        <v/>
      </c>
      <c r="O383" s="52"/>
    </row>
    <row r="384" customFormat="false" ht="15" hidden="false" customHeight="true" outlineLevel="0" collapsed="false">
      <c r="J384" s="1" t="str">
        <f aca="false">IF($A384="","",IF($I384&lt;&gt;"", $I384, VENT_Plan!$M384))</f>
        <v/>
      </c>
      <c r="L384" s="1" t="str">
        <f aca="false">IF($A384="","",K384*D384)</f>
        <v/>
      </c>
      <c r="O384" s="52"/>
    </row>
    <row r="385" customFormat="false" ht="15" hidden="false" customHeight="true" outlineLevel="0" collapsed="false">
      <c r="J385" s="1" t="str">
        <f aca="false">IF($A385="","",IF($I385&lt;&gt;"", $I385, VENT_Plan!$M385))</f>
        <v/>
      </c>
      <c r="L385" s="1" t="str">
        <f aca="false">IF($A385="","",K385*D385)</f>
        <v/>
      </c>
      <c r="O385" s="52"/>
    </row>
    <row r="386" customFormat="false" ht="15" hidden="false" customHeight="true" outlineLevel="0" collapsed="false">
      <c r="J386" s="1" t="str">
        <f aca="false">IF($A386="","",IF($I386&lt;&gt;"", $I386, VENT_Plan!$M386))</f>
        <v/>
      </c>
      <c r="L386" s="1" t="str">
        <f aca="false">IF($A386="","",K386*D386)</f>
        <v/>
      </c>
      <c r="O386" s="52"/>
    </row>
    <row r="387" customFormat="false" ht="15" hidden="false" customHeight="true" outlineLevel="0" collapsed="false">
      <c r="J387" s="1" t="str">
        <f aca="false">IF($A387="","",IF($I387&lt;&gt;"", $I387, VENT_Plan!$M387))</f>
        <v/>
      </c>
      <c r="L387" s="1" t="str">
        <f aca="false">IF($A387="","",K387*D387)</f>
        <v/>
      </c>
      <c r="O387" s="52"/>
    </row>
    <row r="388" customFormat="false" ht="15" hidden="false" customHeight="true" outlineLevel="0" collapsed="false">
      <c r="J388" s="1" t="str">
        <f aca="false">IF($A388="","",IF($I388&lt;&gt;"", $I388, VENT_Plan!$M388))</f>
        <v/>
      </c>
      <c r="L388" s="1" t="str">
        <f aca="false">IF($A388="","",K388*D388)</f>
        <v/>
      </c>
      <c r="O388" s="52"/>
    </row>
    <row r="389" customFormat="false" ht="15" hidden="false" customHeight="true" outlineLevel="0" collapsed="false">
      <c r="J389" s="1" t="str">
        <f aca="false">IF($A389="","",IF($I389&lt;&gt;"", $I389, VENT_Plan!$M389))</f>
        <v/>
      </c>
      <c r="L389" s="1" t="str">
        <f aca="false">IF($A389="","",K389*D389)</f>
        <v/>
      </c>
      <c r="O389" s="52"/>
    </row>
    <row r="390" customFormat="false" ht="15" hidden="false" customHeight="true" outlineLevel="0" collapsed="false">
      <c r="J390" s="1" t="str">
        <f aca="false">IF($A390="","",IF($I390&lt;&gt;"", $I390, VENT_Plan!$M390))</f>
        <v/>
      </c>
      <c r="L390" s="1" t="str">
        <f aca="false">IF($A390="","",K390*D390)</f>
        <v/>
      </c>
      <c r="O390" s="52"/>
    </row>
    <row r="391" customFormat="false" ht="15" hidden="false" customHeight="true" outlineLevel="0" collapsed="false">
      <c r="J391" s="1" t="str">
        <f aca="false">IF($A391="","",IF($I391&lt;&gt;"", $I391, VENT_Plan!$M391))</f>
        <v/>
      </c>
      <c r="L391" s="1" t="str">
        <f aca="false">IF($A391="","",K391*D391)</f>
        <v/>
      </c>
      <c r="O391" s="52"/>
    </row>
    <row r="392" customFormat="false" ht="15" hidden="false" customHeight="true" outlineLevel="0" collapsed="false">
      <c r="J392" s="1" t="str">
        <f aca="false">IF($A392="","",IF($I392&lt;&gt;"", $I392, VENT_Plan!$M392))</f>
        <v/>
      </c>
      <c r="L392" s="1" t="str">
        <f aca="false">IF($A392="","",K392*D392)</f>
        <v/>
      </c>
      <c r="O392" s="52"/>
    </row>
    <row r="393" customFormat="false" ht="15" hidden="false" customHeight="true" outlineLevel="0" collapsed="false">
      <c r="J393" s="1" t="str">
        <f aca="false">IF($A393="","",IF($I393&lt;&gt;"", $I393, VENT_Plan!$M393))</f>
        <v/>
      </c>
      <c r="L393" s="1" t="str">
        <f aca="false">IF($A393="","",K393*D393)</f>
        <v/>
      </c>
      <c r="O393" s="52"/>
    </row>
    <row r="394" customFormat="false" ht="15" hidden="false" customHeight="true" outlineLevel="0" collapsed="false">
      <c r="J394" s="1" t="str">
        <f aca="false">IF($A394="","",IF($I394&lt;&gt;"", $I394, VENT_Plan!$M394))</f>
        <v/>
      </c>
      <c r="L394" s="1" t="str">
        <f aca="false">IF($A394="","",K394*D394)</f>
        <v/>
      </c>
      <c r="O394" s="52"/>
    </row>
    <row r="395" customFormat="false" ht="15" hidden="false" customHeight="true" outlineLevel="0" collapsed="false">
      <c r="J395" s="1" t="str">
        <f aca="false">IF($A395="","",IF($I395&lt;&gt;"", $I395, VENT_Plan!$M395))</f>
        <v/>
      </c>
      <c r="L395" s="1" t="str">
        <f aca="false">IF($A395="","",K395*D395)</f>
        <v/>
      </c>
      <c r="O395" s="52"/>
    </row>
    <row r="396" customFormat="false" ht="15" hidden="false" customHeight="true" outlineLevel="0" collapsed="false">
      <c r="J396" s="1" t="str">
        <f aca="false">IF($A396="","",IF($I396&lt;&gt;"", $I396, VENT_Plan!$M396))</f>
        <v/>
      </c>
      <c r="L396" s="1" t="str">
        <f aca="false">IF($A396="","",K396*D396)</f>
        <v/>
      </c>
      <c r="O396" s="52"/>
    </row>
    <row r="397" customFormat="false" ht="15" hidden="false" customHeight="true" outlineLevel="0" collapsed="false">
      <c r="J397" s="1" t="str">
        <f aca="false">IF($A397="","",IF($I397&lt;&gt;"", $I397, VENT_Plan!$M397))</f>
        <v/>
      </c>
      <c r="L397" s="1" t="str">
        <f aca="false">IF($A397="","",K397*D397)</f>
        <v/>
      </c>
      <c r="O397" s="52"/>
    </row>
    <row r="398" customFormat="false" ht="15" hidden="false" customHeight="true" outlineLevel="0" collapsed="false">
      <c r="J398" s="1" t="str">
        <f aca="false">IF($A398="","",IF($I398&lt;&gt;"", $I398, VENT_Plan!$M398))</f>
        <v/>
      </c>
      <c r="L398" s="1" t="str">
        <f aca="false">IF($A398="","",K398*D398)</f>
        <v/>
      </c>
      <c r="O398" s="52"/>
    </row>
    <row r="399" customFormat="false" ht="15" hidden="false" customHeight="true" outlineLevel="0" collapsed="false">
      <c r="J399" s="1" t="str">
        <f aca="false">IF($A399="","",IF($I399&lt;&gt;"", $I399, VENT_Plan!$M399))</f>
        <v/>
      </c>
      <c r="L399" s="1" t="str">
        <f aca="false">IF($A399="","",K399*D399)</f>
        <v/>
      </c>
      <c r="O399" s="52"/>
    </row>
    <row r="400" customFormat="false" ht="15" hidden="false" customHeight="true" outlineLevel="0" collapsed="false">
      <c r="J400" s="1" t="str">
        <f aca="false">IF($A400="","",IF($I400&lt;&gt;"", $I400, VENT_Plan!$M400))</f>
        <v/>
      </c>
      <c r="L400" s="1" t="str">
        <f aca="false">IF($A400="","",K400*D400)</f>
        <v/>
      </c>
      <c r="O400" s="52"/>
    </row>
    <row r="401" customFormat="false" ht="15" hidden="false" customHeight="true" outlineLevel="0" collapsed="false">
      <c r="J401" s="1" t="str">
        <f aca="false">IF($A401="","",IF($I401&lt;&gt;"", $I401, VENT_Plan!$M401))</f>
        <v/>
      </c>
      <c r="L401" s="1" t="str">
        <f aca="false">IF($A401="","",K401*D401)</f>
        <v/>
      </c>
      <c r="O401" s="52"/>
    </row>
    <row r="402" customFormat="false" ht="15" hidden="false" customHeight="true" outlineLevel="0" collapsed="false">
      <c r="J402" s="1" t="str">
        <f aca="false">IF($A402="","",IF($I402&lt;&gt;"", $I402, VENT_Plan!$M402))</f>
        <v/>
      </c>
      <c r="L402" s="1" t="str">
        <f aca="false">IF($A402="","",K402*D402)</f>
        <v/>
      </c>
      <c r="O402" s="52"/>
    </row>
    <row r="403" customFormat="false" ht="15" hidden="false" customHeight="true" outlineLevel="0" collapsed="false">
      <c r="J403" s="1" t="str">
        <f aca="false">IF($A403="","",IF($I403&lt;&gt;"", $I403, VENT_Plan!$M403))</f>
        <v/>
      </c>
      <c r="L403" s="1" t="str">
        <f aca="false">IF($A403="","",K403*D403)</f>
        <v/>
      </c>
      <c r="O403" s="52"/>
    </row>
    <row r="404" customFormat="false" ht="15" hidden="false" customHeight="true" outlineLevel="0" collapsed="false">
      <c r="J404" s="1" t="str">
        <f aca="false">IF($A404="","",IF($I404&lt;&gt;"", $I404, VENT_Plan!$M404))</f>
        <v/>
      </c>
      <c r="L404" s="1" t="str">
        <f aca="false">IF($A404="","",K404*D404)</f>
        <v/>
      </c>
      <c r="O404" s="52"/>
    </row>
    <row r="405" customFormat="false" ht="15" hidden="false" customHeight="true" outlineLevel="0" collapsed="false">
      <c r="J405" s="1" t="str">
        <f aca="false">IF($A405="","",IF($I405&lt;&gt;"", $I405, VENT_Plan!$M405))</f>
        <v/>
      </c>
      <c r="L405" s="1" t="str">
        <f aca="false">IF($A405="","",K405*D405)</f>
        <v/>
      </c>
      <c r="O405" s="52"/>
    </row>
    <row r="406" customFormat="false" ht="15" hidden="false" customHeight="true" outlineLevel="0" collapsed="false">
      <c r="J406" s="1" t="str">
        <f aca="false">IF($A406="","",IF($I406&lt;&gt;"", $I406, VENT_Plan!$M406))</f>
        <v/>
      </c>
      <c r="L406" s="1" t="str">
        <f aca="false">IF($A406="","",K406*D406)</f>
        <v/>
      </c>
      <c r="O406" s="52"/>
    </row>
    <row r="407" customFormat="false" ht="15" hidden="false" customHeight="true" outlineLevel="0" collapsed="false">
      <c r="J407" s="1" t="str">
        <f aca="false">IF($A407="","",IF($I407&lt;&gt;"", $I407, VENT_Plan!$M407))</f>
        <v/>
      </c>
      <c r="L407" s="1" t="str">
        <f aca="false">IF($A407="","",K407*D407)</f>
        <v/>
      </c>
      <c r="O407" s="52"/>
    </row>
    <row r="408" customFormat="false" ht="15" hidden="false" customHeight="true" outlineLevel="0" collapsed="false">
      <c r="J408" s="1" t="str">
        <f aca="false">IF($A408="","",IF($I408&lt;&gt;"", $I408, VENT_Plan!$M408))</f>
        <v/>
      </c>
      <c r="L408" s="1" t="str">
        <f aca="false">IF($A408="","",K408*D408)</f>
        <v/>
      </c>
      <c r="O408" s="52"/>
    </row>
    <row r="409" customFormat="false" ht="15" hidden="false" customHeight="true" outlineLevel="0" collapsed="false">
      <c r="J409" s="1" t="str">
        <f aca="false">IF($A409="","",IF($I409&lt;&gt;"", $I409, VENT_Plan!$M409))</f>
        <v/>
      </c>
      <c r="L409" s="1" t="str">
        <f aca="false">IF($A409="","",K409*D409)</f>
        <v/>
      </c>
      <c r="O409" s="52"/>
    </row>
    <row r="410" customFormat="false" ht="15" hidden="false" customHeight="true" outlineLevel="0" collapsed="false">
      <c r="J410" s="1" t="str">
        <f aca="false">IF($A410="","",IF($I410&lt;&gt;"", $I410, VENT_Plan!$M410))</f>
        <v/>
      </c>
      <c r="L410" s="1" t="str">
        <f aca="false">IF($A410="","",K410*D410)</f>
        <v/>
      </c>
      <c r="O410" s="52"/>
    </row>
    <row r="411" customFormat="false" ht="15" hidden="false" customHeight="true" outlineLevel="0" collapsed="false">
      <c r="J411" s="1" t="str">
        <f aca="false">IF($A411="","",IF($I411&lt;&gt;"", $I411, VENT_Plan!$M411))</f>
        <v/>
      </c>
      <c r="L411" s="1" t="str">
        <f aca="false">IF($A411="","",K411*D411)</f>
        <v/>
      </c>
      <c r="O411" s="52"/>
    </row>
    <row r="412" customFormat="false" ht="15" hidden="false" customHeight="true" outlineLevel="0" collapsed="false">
      <c r="J412" s="1" t="str">
        <f aca="false">IF($A412="","",IF($I412&lt;&gt;"", $I412, VENT_Plan!$M412))</f>
        <v/>
      </c>
      <c r="L412" s="1" t="str">
        <f aca="false">IF($A412="","",K412*D412)</f>
        <v/>
      </c>
      <c r="O412" s="52"/>
    </row>
    <row r="413" customFormat="false" ht="15" hidden="false" customHeight="true" outlineLevel="0" collapsed="false">
      <c r="J413" s="1" t="str">
        <f aca="false">IF($A413="","",IF($I413&lt;&gt;"", $I413, VENT_Plan!$M413))</f>
        <v/>
      </c>
      <c r="L413" s="1" t="str">
        <f aca="false">IF($A413="","",K413*D413)</f>
        <v/>
      </c>
      <c r="O413" s="52"/>
    </row>
    <row r="414" customFormat="false" ht="15" hidden="false" customHeight="true" outlineLevel="0" collapsed="false">
      <c r="J414" s="1" t="str">
        <f aca="false">IF($A414="","",IF($I414&lt;&gt;"", $I414, VENT_Plan!$M414))</f>
        <v/>
      </c>
      <c r="L414" s="1" t="str">
        <f aca="false">IF($A414="","",K414*D414)</f>
        <v/>
      </c>
      <c r="O414" s="52"/>
    </row>
    <row r="415" customFormat="false" ht="15" hidden="false" customHeight="true" outlineLevel="0" collapsed="false">
      <c r="J415" s="1" t="str">
        <f aca="false">IF($A415="","",IF($I415&lt;&gt;"", $I415, VENT_Plan!$M415))</f>
        <v/>
      </c>
      <c r="L415" s="1" t="str">
        <f aca="false">IF($A415="","",K415*D415)</f>
        <v/>
      </c>
      <c r="O415" s="52"/>
    </row>
    <row r="416" customFormat="false" ht="15" hidden="false" customHeight="true" outlineLevel="0" collapsed="false">
      <c r="J416" s="1" t="str">
        <f aca="false">IF($A416="","",IF($I416&lt;&gt;"", $I416, VENT_Plan!$M416))</f>
        <v/>
      </c>
      <c r="L416" s="1" t="str">
        <f aca="false">IF($A416="","",K416*D416)</f>
        <v/>
      </c>
      <c r="O416" s="52"/>
    </row>
    <row r="417" customFormat="false" ht="15" hidden="false" customHeight="true" outlineLevel="0" collapsed="false">
      <c r="J417" s="1" t="str">
        <f aca="false">IF($A417="","",IF($I417&lt;&gt;"", $I417, VENT_Plan!$M417))</f>
        <v/>
      </c>
      <c r="L417" s="1" t="str">
        <f aca="false">IF($A417="","",K417*D417)</f>
        <v/>
      </c>
      <c r="O417" s="52"/>
    </row>
    <row r="418" customFormat="false" ht="15" hidden="false" customHeight="true" outlineLevel="0" collapsed="false">
      <c r="J418" s="1" t="str">
        <f aca="false">IF($A418="","",IF($I418&lt;&gt;"", $I418, VENT_Plan!$M418))</f>
        <v/>
      </c>
      <c r="L418" s="1" t="str">
        <f aca="false">IF($A418="","",K418*D418)</f>
        <v/>
      </c>
      <c r="O418" s="52"/>
    </row>
    <row r="419" customFormat="false" ht="15" hidden="false" customHeight="true" outlineLevel="0" collapsed="false">
      <c r="J419" s="1" t="str">
        <f aca="false">IF($A419="","",IF($I419&lt;&gt;"", $I419, VENT_Plan!$M419))</f>
        <v/>
      </c>
      <c r="L419" s="1" t="str">
        <f aca="false">IF($A419="","",K419*D419)</f>
        <v/>
      </c>
      <c r="O419" s="52"/>
    </row>
    <row r="420" customFormat="false" ht="15" hidden="false" customHeight="true" outlineLevel="0" collapsed="false">
      <c r="J420" s="1" t="str">
        <f aca="false">IF($A420="","",IF($I420&lt;&gt;"", $I420, VENT_Plan!$M420))</f>
        <v/>
      </c>
      <c r="L420" s="1" t="str">
        <f aca="false">IF($A420="","",K420*D420)</f>
        <v/>
      </c>
      <c r="O420" s="52"/>
    </row>
    <row r="421" customFormat="false" ht="15" hidden="false" customHeight="true" outlineLevel="0" collapsed="false">
      <c r="J421" s="1" t="str">
        <f aca="false">IF($A421="","",IF($I421&lt;&gt;"", $I421, VENT_Plan!$M421))</f>
        <v/>
      </c>
      <c r="L421" s="1" t="str">
        <f aca="false">IF($A421="","",K421*D421)</f>
        <v/>
      </c>
      <c r="O421" s="52"/>
    </row>
    <row r="422" customFormat="false" ht="15" hidden="false" customHeight="true" outlineLevel="0" collapsed="false">
      <c r="J422" s="1" t="str">
        <f aca="false">IF($A422="","",IF($I422&lt;&gt;"", $I422, VENT_Plan!$M422))</f>
        <v/>
      </c>
      <c r="L422" s="1" t="str">
        <f aca="false">IF($A422="","",K422*D422)</f>
        <v/>
      </c>
      <c r="O422" s="52"/>
    </row>
    <row r="423" customFormat="false" ht="15" hidden="false" customHeight="true" outlineLevel="0" collapsed="false">
      <c r="J423" s="1" t="str">
        <f aca="false">IF($A423="","",IF($I423&lt;&gt;"", $I423, VENT_Plan!$M423))</f>
        <v/>
      </c>
      <c r="L423" s="1" t="str">
        <f aca="false">IF($A423="","",K423*D423)</f>
        <v/>
      </c>
      <c r="O423" s="52"/>
    </row>
    <row r="424" customFormat="false" ht="15" hidden="false" customHeight="true" outlineLevel="0" collapsed="false">
      <c r="J424" s="1" t="str">
        <f aca="false">IF($A424="","",IF($I424&lt;&gt;"", $I424, VENT_Plan!$M424))</f>
        <v/>
      </c>
      <c r="L424" s="1" t="str">
        <f aca="false">IF($A424="","",K424*D424)</f>
        <v/>
      </c>
      <c r="O424" s="52"/>
    </row>
    <row r="425" customFormat="false" ht="15" hidden="false" customHeight="true" outlineLevel="0" collapsed="false">
      <c r="J425" s="1" t="str">
        <f aca="false">IF($A425="","",IF($I425&lt;&gt;"", $I425, VENT_Plan!$M425))</f>
        <v/>
      </c>
      <c r="L425" s="1" t="str">
        <f aca="false">IF($A425="","",K425*D425)</f>
        <v/>
      </c>
      <c r="O425" s="52"/>
    </row>
    <row r="426" customFormat="false" ht="15" hidden="false" customHeight="true" outlineLevel="0" collapsed="false">
      <c r="J426" s="1" t="str">
        <f aca="false">IF($A426="","",IF($I426&lt;&gt;"", $I426, VENT_Plan!$M426))</f>
        <v/>
      </c>
      <c r="L426" s="1" t="str">
        <f aca="false">IF($A426="","",K426*D426)</f>
        <v/>
      </c>
      <c r="O426" s="52"/>
    </row>
    <row r="427" customFormat="false" ht="15" hidden="false" customHeight="true" outlineLevel="0" collapsed="false">
      <c r="J427" s="1" t="str">
        <f aca="false">IF($A427="","",IF($I427&lt;&gt;"", $I427, VENT_Plan!$M427))</f>
        <v/>
      </c>
      <c r="L427" s="1" t="str">
        <f aca="false">IF($A427="","",K427*D427)</f>
        <v/>
      </c>
      <c r="O427" s="52"/>
    </row>
    <row r="428" customFormat="false" ht="15" hidden="false" customHeight="true" outlineLevel="0" collapsed="false">
      <c r="J428" s="1" t="str">
        <f aca="false">IF($A428="","",IF($I428&lt;&gt;"", $I428, VENT_Plan!$M428))</f>
        <v/>
      </c>
      <c r="L428" s="1" t="str">
        <f aca="false">IF($A428="","",K428*D428)</f>
        <v/>
      </c>
      <c r="O428" s="52"/>
    </row>
    <row r="429" customFormat="false" ht="15" hidden="false" customHeight="true" outlineLevel="0" collapsed="false">
      <c r="J429" s="1" t="str">
        <f aca="false">IF($A429="","",IF($I429&lt;&gt;"", $I429, VENT_Plan!$M429))</f>
        <v/>
      </c>
      <c r="L429" s="1" t="str">
        <f aca="false">IF($A429="","",K429*D429)</f>
        <v/>
      </c>
      <c r="O429" s="52"/>
    </row>
    <row r="430" customFormat="false" ht="15" hidden="false" customHeight="true" outlineLevel="0" collapsed="false">
      <c r="J430" s="1" t="str">
        <f aca="false">IF($A430="","",IF($I430&lt;&gt;"", $I430, VENT_Plan!$M430))</f>
        <v/>
      </c>
      <c r="L430" s="1" t="str">
        <f aca="false">IF($A430="","",K430*D430)</f>
        <v/>
      </c>
      <c r="O430" s="52"/>
    </row>
    <row r="431" customFormat="false" ht="15" hidden="false" customHeight="true" outlineLevel="0" collapsed="false">
      <c r="J431" s="1" t="str">
        <f aca="false">IF($A431="","",IF($I431&lt;&gt;"", $I431, VENT_Plan!$M431))</f>
        <v/>
      </c>
      <c r="L431" s="1" t="str">
        <f aca="false">IF($A431="","",K431*D431)</f>
        <v/>
      </c>
      <c r="O431" s="52"/>
    </row>
    <row r="432" customFormat="false" ht="15" hidden="false" customHeight="true" outlineLevel="0" collapsed="false">
      <c r="J432" s="1" t="str">
        <f aca="false">IF($A432="","",IF($I432&lt;&gt;"", $I432, VENT_Plan!$M432))</f>
        <v/>
      </c>
      <c r="L432" s="1" t="str">
        <f aca="false">IF($A432="","",K432*D432)</f>
        <v/>
      </c>
      <c r="O432" s="52"/>
    </row>
    <row r="433" customFormat="false" ht="15" hidden="false" customHeight="true" outlineLevel="0" collapsed="false">
      <c r="J433" s="1" t="str">
        <f aca="false">IF($A433="","",IF($I433&lt;&gt;"", $I433, VENT_Plan!$M433))</f>
        <v/>
      </c>
      <c r="L433" s="1" t="str">
        <f aca="false">IF($A433="","",K433*D433)</f>
        <v/>
      </c>
      <c r="O433" s="52"/>
    </row>
    <row r="434" customFormat="false" ht="15" hidden="false" customHeight="true" outlineLevel="0" collapsed="false">
      <c r="J434" s="1" t="str">
        <f aca="false">IF($A434="","",IF($I434&lt;&gt;"", $I434, VENT_Plan!$M434))</f>
        <v/>
      </c>
      <c r="L434" s="1" t="str">
        <f aca="false">IF($A434="","",K434*D434)</f>
        <v/>
      </c>
      <c r="O434" s="52"/>
    </row>
    <row r="435" customFormat="false" ht="15" hidden="false" customHeight="true" outlineLevel="0" collapsed="false">
      <c r="J435" s="1" t="str">
        <f aca="false">IF($A435="","",IF($I435&lt;&gt;"", $I435, VENT_Plan!$M435))</f>
        <v/>
      </c>
      <c r="L435" s="1" t="str">
        <f aca="false">IF($A435="","",K435*D435)</f>
        <v/>
      </c>
      <c r="O435" s="52"/>
    </row>
    <row r="436" customFormat="false" ht="15" hidden="false" customHeight="true" outlineLevel="0" collapsed="false">
      <c r="J436" s="1" t="str">
        <f aca="false">IF($A436="","",IF($I436&lt;&gt;"", $I436, VENT_Plan!$M436))</f>
        <v/>
      </c>
      <c r="L436" s="1" t="str">
        <f aca="false">IF($A436="","",K436*D436)</f>
        <v/>
      </c>
      <c r="O436" s="52"/>
    </row>
    <row r="437" customFormat="false" ht="15" hidden="false" customHeight="true" outlineLevel="0" collapsed="false">
      <c r="J437" s="1" t="str">
        <f aca="false">IF($A437="","",IF($I437&lt;&gt;"", $I437, VENT_Plan!$M437))</f>
        <v/>
      </c>
      <c r="L437" s="1" t="str">
        <f aca="false">IF($A437="","",K437*D437)</f>
        <v/>
      </c>
      <c r="O437" s="52"/>
    </row>
    <row r="438" customFormat="false" ht="15" hidden="false" customHeight="true" outlineLevel="0" collapsed="false">
      <c r="J438" s="1" t="str">
        <f aca="false">IF($A438="","",IF($I438&lt;&gt;"", $I438, VENT_Plan!$M438))</f>
        <v/>
      </c>
      <c r="L438" s="1" t="str">
        <f aca="false">IF($A438="","",K438*D438)</f>
        <v/>
      </c>
      <c r="O438" s="52"/>
    </row>
    <row r="439" customFormat="false" ht="15" hidden="false" customHeight="true" outlineLevel="0" collapsed="false">
      <c r="J439" s="1" t="str">
        <f aca="false">IF($A439="","",IF($I439&lt;&gt;"", $I439, VENT_Plan!$M439))</f>
        <v/>
      </c>
      <c r="L439" s="1" t="str">
        <f aca="false">IF($A439="","",K439*D439)</f>
        <v/>
      </c>
      <c r="O439" s="52"/>
    </row>
    <row r="440" customFormat="false" ht="15" hidden="false" customHeight="true" outlineLevel="0" collapsed="false">
      <c r="J440" s="1" t="str">
        <f aca="false">IF($A440="","",IF($I440&lt;&gt;"", $I440, VENT_Plan!$M440))</f>
        <v/>
      </c>
      <c r="L440" s="1" t="str">
        <f aca="false">IF($A440="","",K440*D440)</f>
        <v/>
      </c>
      <c r="O440" s="52"/>
    </row>
    <row r="441" customFormat="false" ht="15" hidden="false" customHeight="true" outlineLevel="0" collapsed="false">
      <c r="J441" s="1" t="str">
        <f aca="false">IF($A441="","",IF($I441&lt;&gt;"", $I441, VENT_Plan!$M441))</f>
        <v/>
      </c>
      <c r="L441" s="1" t="str">
        <f aca="false">IF($A441="","",K441*D441)</f>
        <v/>
      </c>
      <c r="O441" s="52"/>
    </row>
    <row r="442" customFormat="false" ht="15" hidden="false" customHeight="true" outlineLevel="0" collapsed="false">
      <c r="J442" s="1" t="str">
        <f aca="false">IF($A442="","",IF($I442&lt;&gt;"", $I442, VENT_Plan!$M442))</f>
        <v/>
      </c>
      <c r="L442" s="1" t="str">
        <f aca="false">IF($A442="","",K442*D442)</f>
        <v/>
      </c>
      <c r="O442" s="52"/>
    </row>
    <row r="443" customFormat="false" ht="15" hidden="false" customHeight="true" outlineLevel="0" collapsed="false">
      <c r="J443" s="1" t="str">
        <f aca="false">IF($A443="","",IF($I443&lt;&gt;"", $I443, VENT_Plan!$M443))</f>
        <v/>
      </c>
      <c r="L443" s="1" t="str">
        <f aca="false">IF($A443="","",K443*D443)</f>
        <v/>
      </c>
      <c r="O443" s="52"/>
    </row>
    <row r="444" customFormat="false" ht="15" hidden="false" customHeight="true" outlineLevel="0" collapsed="false">
      <c r="J444" s="1" t="str">
        <f aca="false">IF($A444="","",IF($I444&lt;&gt;"", $I444, VENT_Plan!$M444))</f>
        <v/>
      </c>
      <c r="L444" s="1" t="str">
        <f aca="false">IF($A444="","",K444*D444)</f>
        <v/>
      </c>
      <c r="O444" s="52"/>
    </row>
    <row r="445" customFormat="false" ht="15" hidden="false" customHeight="true" outlineLevel="0" collapsed="false">
      <c r="J445" s="1" t="str">
        <f aca="false">IF($A445="","",IF($I445&lt;&gt;"", $I445, VENT_Plan!$M445))</f>
        <v/>
      </c>
      <c r="L445" s="1" t="str">
        <f aca="false">IF($A445="","",K445*D445)</f>
        <v/>
      </c>
      <c r="O445" s="52"/>
    </row>
    <row r="446" customFormat="false" ht="15" hidden="false" customHeight="true" outlineLevel="0" collapsed="false">
      <c r="J446" s="1" t="str">
        <f aca="false">IF($A446="","",IF($I446&lt;&gt;"", $I446, VENT_Plan!$M446))</f>
        <v/>
      </c>
      <c r="L446" s="1" t="str">
        <f aca="false">IF($A446="","",K446*D446)</f>
        <v/>
      </c>
      <c r="O446" s="52"/>
    </row>
    <row r="447" customFormat="false" ht="15" hidden="false" customHeight="true" outlineLevel="0" collapsed="false">
      <c r="J447" s="1" t="str">
        <f aca="false">IF($A447="","",IF($I447&lt;&gt;"", $I447, VENT_Plan!$M447))</f>
        <v/>
      </c>
      <c r="L447" s="1" t="str">
        <f aca="false">IF($A447="","",K447*D447)</f>
        <v/>
      </c>
      <c r="O447" s="52"/>
    </row>
    <row r="448" customFormat="false" ht="15" hidden="false" customHeight="true" outlineLevel="0" collapsed="false">
      <c r="J448" s="1" t="str">
        <f aca="false">IF($A448="","",IF($I448&lt;&gt;"", $I448, VENT_Plan!$M448))</f>
        <v/>
      </c>
      <c r="L448" s="1" t="str">
        <f aca="false">IF($A448="","",K448*D448)</f>
        <v/>
      </c>
      <c r="O448" s="52"/>
    </row>
    <row r="449" customFormat="false" ht="15" hidden="false" customHeight="true" outlineLevel="0" collapsed="false">
      <c r="J449" s="1" t="str">
        <f aca="false">IF($A449="","",IF($I449&lt;&gt;"", $I449, VENT_Plan!$M449))</f>
        <v/>
      </c>
      <c r="L449" s="1" t="str">
        <f aca="false">IF($A449="","",K449*D449)</f>
        <v/>
      </c>
      <c r="O449" s="52"/>
    </row>
    <row r="450" customFormat="false" ht="15" hidden="false" customHeight="true" outlineLevel="0" collapsed="false">
      <c r="J450" s="1" t="str">
        <f aca="false">IF($A450="","",IF($I450&lt;&gt;"", $I450, VENT_Plan!$M450))</f>
        <v/>
      </c>
      <c r="L450" s="1" t="str">
        <f aca="false">IF($A450="","",K450*D450)</f>
        <v/>
      </c>
      <c r="O450" s="52"/>
    </row>
    <row r="451" customFormat="false" ht="15" hidden="false" customHeight="true" outlineLevel="0" collapsed="false">
      <c r="J451" s="1" t="str">
        <f aca="false">IF($A451="","",IF($I451&lt;&gt;"", $I451, VENT_Plan!$M451))</f>
        <v/>
      </c>
      <c r="L451" s="1" t="str">
        <f aca="false">IF($A451="","",K451*D451)</f>
        <v/>
      </c>
      <c r="O451" s="52"/>
    </row>
    <row r="452" customFormat="false" ht="15" hidden="false" customHeight="true" outlineLevel="0" collapsed="false">
      <c r="J452" s="1" t="str">
        <f aca="false">IF($A452="","",IF($I452&lt;&gt;"", $I452, VENT_Plan!$M452))</f>
        <v/>
      </c>
      <c r="L452" s="1" t="str">
        <f aca="false">IF($A452="","",K452*D452)</f>
        <v/>
      </c>
      <c r="O452" s="52"/>
    </row>
    <row r="453" customFormat="false" ht="15" hidden="false" customHeight="true" outlineLevel="0" collapsed="false">
      <c r="J453" s="1" t="str">
        <f aca="false">IF($A453="","",IF($I453&lt;&gt;"", $I453, VENT_Plan!$M453))</f>
        <v/>
      </c>
      <c r="L453" s="1" t="str">
        <f aca="false">IF($A453="","",K453*D453)</f>
        <v/>
      </c>
      <c r="O453" s="52"/>
    </row>
    <row r="454" customFormat="false" ht="15" hidden="false" customHeight="true" outlineLevel="0" collapsed="false">
      <c r="J454" s="1" t="str">
        <f aca="false">IF($A454="","",IF($I454&lt;&gt;"", $I454, VENT_Plan!$M454))</f>
        <v/>
      </c>
      <c r="L454" s="1" t="str">
        <f aca="false">IF($A454="","",K454*D454)</f>
        <v/>
      </c>
      <c r="O454" s="52"/>
    </row>
    <row r="455" customFormat="false" ht="15" hidden="false" customHeight="true" outlineLevel="0" collapsed="false">
      <c r="J455" s="1" t="str">
        <f aca="false">IF($A455="","",IF($I455&lt;&gt;"", $I455, VENT_Plan!$M455))</f>
        <v/>
      </c>
      <c r="L455" s="1" t="str">
        <f aca="false">IF($A455="","",K455*D455)</f>
        <v/>
      </c>
      <c r="O455" s="52"/>
    </row>
    <row r="456" customFormat="false" ht="15" hidden="false" customHeight="true" outlineLevel="0" collapsed="false">
      <c r="J456" s="1" t="str">
        <f aca="false">IF($A456="","",IF($I456&lt;&gt;"", $I456, VENT_Plan!$M456))</f>
        <v/>
      </c>
      <c r="L456" s="1" t="str">
        <f aca="false">IF($A456="","",K456*D456)</f>
        <v/>
      </c>
      <c r="O456" s="52"/>
    </row>
    <row r="457" customFormat="false" ht="15" hidden="false" customHeight="true" outlineLevel="0" collapsed="false">
      <c r="J457" s="1" t="str">
        <f aca="false">IF($A457="","",IF($I457&lt;&gt;"", $I457, VENT_Plan!$M457))</f>
        <v/>
      </c>
      <c r="L457" s="1" t="str">
        <f aca="false">IF($A457="","",K457*D457)</f>
        <v/>
      </c>
      <c r="O457" s="52"/>
    </row>
    <row r="458" customFormat="false" ht="15" hidden="false" customHeight="true" outlineLevel="0" collapsed="false">
      <c r="J458" s="1" t="str">
        <f aca="false">IF($A458="","",IF($I458&lt;&gt;"", $I458, VENT_Plan!$M458))</f>
        <v/>
      </c>
      <c r="L458" s="1" t="str">
        <f aca="false">IF($A458="","",K458*D458)</f>
        <v/>
      </c>
      <c r="O458" s="52"/>
    </row>
    <row r="459" customFormat="false" ht="15" hidden="false" customHeight="true" outlineLevel="0" collapsed="false">
      <c r="J459" s="1" t="str">
        <f aca="false">IF($A459="","",IF($I459&lt;&gt;"", $I459, VENT_Plan!$M459))</f>
        <v/>
      </c>
      <c r="L459" s="1" t="str">
        <f aca="false">IF($A459="","",K459*D459)</f>
        <v/>
      </c>
      <c r="O459" s="52"/>
    </row>
    <row r="460" customFormat="false" ht="15" hidden="false" customHeight="true" outlineLevel="0" collapsed="false">
      <c r="J460" s="1" t="str">
        <f aca="false">IF($A460="","",IF($I460&lt;&gt;"", $I460, VENT_Plan!$M460))</f>
        <v/>
      </c>
      <c r="L460" s="1" t="str">
        <f aca="false">IF($A460="","",K460*D460)</f>
        <v/>
      </c>
      <c r="O460" s="52"/>
    </row>
    <row r="461" customFormat="false" ht="15" hidden="false" customHeight="true" outlineLevel="0" collapsed="false">
      <c r="J461" s="1" t="str">
        <f aca="false">IF($A461="","",IF($I461&lt;&gt;"", $I461, VENT_Plan!$M461))</f>
        <v/>
      </c>
      <c r="L461" s="1" t="str">
        <f aca="false">IF($A461="","",K461*D461)</f>
        <v/>
      </c>
      <c r="O461" s="52"/>
    </row>
    <row r="462" customFormat="false" ht="15" hidden="false" customHeight="true" outlineLevel="0" collapsed="false">
      <c r="J462" s="1" t="str">
        <f aca="false">IF($A462="","",IF($I462&lt;&gt;"", $I462, VENT_Plan!$M462))</f>
        <v/>
      </c>
      <c r="L462" s="1" t="str">
        <f aca="false">IF($A462="","",K462*D462)</f>
        <v/>
      </c>
      <c r="O462" s="52"/>
    </row>
    <row r="463" customFormat="false" ht="15" hidden="false" customHeight="true" outlineLevel="0" collapsed="false">
      <c r="J463" s="1" t="str">
        <f aca="false">IF($A463="","",IF($I463&lt;&gt;"", $I463, VENT_Plan!$M463))</f>
        <v/>
      </c>
      <c r="L463" s="1" t="str">
        <f aca="false">IF($A463="","",K463*D463)</f>
        <v/>
      </c>
      <c r="O463" s="52"/>
    </row>
    <row r="464" customFormat="false" ht="15" hidden="false" customHeight="true" outlineLevel="0" collapsed="false">
      <c r="J464" s="1" t="str">
        <f aca="false">IF($A464="","",IF($I464&lt;&gt;"", $I464, VENT_Plan!$M464))</f>
        <v/>
      </c>
      <c r="L464" s="1" t="str">
        <f aca="false">IF($A464="","",K464*D464)</f>
        <v/>
      </c>
      <c r="O464" s="52"/>
    </row>
    <row r="465" customFormat="false" ht="15" hidden="false" customHeight="true" outlineLevel="0" collapsed="false">
      <c r="J465" s="1" t="str">
        <f aca="false">IF($A465="","",IF($I465&lt;&gt;"", $I465, VENT_Plan!$M465))</f>
        <v/>
      </c>
      <c r="L465" s="1" t="str">
        <f aca="false">IF($A465="","",K465*D465)</f>
        <v/>
      </c>
      <c r="O465" s="52"/>
    </row>
    <row r="466" customFormat="false" ht="15" hidden="false" customHeight="true" outlineLevel="0" collapsed="false">
      <c r="J466" s="1" t="str">
        <f aca="false">IF($A466="","",IF($I466&lt;&gt;"", $I466, VENT_Plan!$M466))</f>
        <v/>
      </c>
      <c r="L466" s="1" t="str">
        <f aca="false">IF($A466="","",K466*D466)</f>
        <v/>
      </c>
      <c r="O466" s="52"/>
    </row>
    <row r="467" customFormat="false" ht="15" hidden="false" customHeight="true" outlineLevel="0" collapsed="false">
      <c r="J467" s="1" t="str">
        <f aca="false">IF($A467="","",IF($I467&lt;&gt;"", $I467, VENT_Plan!$M467))</f>
        <v/>
      </c>
      <c r="L467" s="1" t="str">
        <f aca="false">IF($A467="","",K467*D467)</f>
        <v/>
      </c>
      <c r="O467" s="52"/>
    </row>
    <row r="468" customFormat="false" ht="15" hidden="false" customHeight="true" outlineLevel="0" collapsed="false">
      <c r="J468" s="1" t="str">
        <f aca="false">IF($A468="","",IF($I468&lt;&gt;"", $I468, VENT_Plan!$M468))</f>
        <v/>
      </c>
      <c r="L468" s="1" t="str">
        <f aca="false">IF($A468="","",K468*D468)</f>
        <v/>
      </c>
      <c r="O468" s="52"/>
    </row>
    <row r="469" customFormat="false" ht="15" hidden="false" customHeight="true" outlineLevel="0" collapsed="false">
      <c r="J469" s="1" t="str">
        <f aca="false">IF($A469="","",IF($I469&lt;&gt;"", $I469, VENT_Plan!$M469))</f>
        <v/>
      </c>
      <c r="L469" s="1" t="str">
        <f aca="false">IF($A469="","",K469*D469)</f>
        <v/>
      </c>
      <c r="O469" s="52"/>
    </row>
    <row r="470" customFormat="false" ht="15" hidden="false" customHeight="true" outlineLevel="0" collapsed="false">
      <c r="J470" s="1" t="str">
        <f aca="false">IF($A470="","",IF($I470&lt;&gt;"", $I470, VENT_Plan!$M470))</f>
        <v/>
      </c>
      <c r="L470" s="1" t="str">
        <f aca="false">IF($A470="","",K470*D470)</f>
        <v/>
      </c>
      <c r="O470" s="52"/>
    </row>
    <row r="471" customFormat="false" ht="15" hidden="false" customHeight="true" outlineLevel="0" collapsed="false">
      <c r="J471" s="1" t="str">
        <f aca="false">IF($A471="","",IF($I471&lt;&gt;"", $I471, VENT_Plan!$M471))</f>
        <v/>
      </c>
      <c r="L471" s="1" t="str">
        <f aca="false">IF($A471="","",K471*D471)</f>
        <v/>
      </c>
      <c r="O471" s="52"/>
    </row>
    <row r="472" customFormat="false" ht="15" hidden="false" customHeight="true" outlineLevel="0" collapsed="false">
      <c r="J472" s="1" t="str">
        <f aca="false">IF($A472="","",IF($I472&lt;&gt;"", $I472, VENT_Plan!$M472))</f>
        <v/>
      </c>
      <c r="L472" s="1" t="str">
        <f aca="false">IF($A472="","",K472*D472)</f>
        <v/>
      </c>
      <c r="O472" s="52"/>
    </row>
    <row r="473" customFormat="false" ht="15" hidden="false" customHeight="true" outlineLevel="0" collapsed="false">
      <c r="J473" s="1" t="str">
        <f aca="false">IF($A473="","",IF($I473&lt;&gt;"", $I473, VENT_Plan!$M473))</f>
        <v/>
      </c>
      <c r="L473" s="1" t="str">
        <f aca="false">IF($A473="","",K473*D473)</f>
        <v/>
      </c>
      <c r="O473" s="52"/>
    </row>
    <row r="474" customFormat="false" ht="15" hidden="false" customHeight="true" outlineLevel="0" collapsed="false">
      <c r="J474" s="1" t="str">
        <f aca="false">IF($A474="","",IF($I474&lt;&gt;"", $I474, VENT_Plan!$M474))</f>
        <v/>
      </c>
      <c r="L474" s="1" t="str">
        <f aca="false">IF($A474="","",K474*D474)</f>
        <v/>
      </c>
      <c r="O474" s="52"/>
    </row>
    <row r="475" customFormat="false" ht="15" hidden="false" customHeight="true" outlineLevel="0" collapsed="false">
      <c r="J475" s="1" t="str">
        <f aca="false">IF($A475="","",IF($I475&lt;&gt;"", $I475, VENT_Plan!$M475))</f>
        <v/>
      </c>
      <c r="L475" s="1" t="str">
        <f aca="false">IF($A475="","",K475*D475)</f>
        <v/>
      </c>
      <c r="O475" s="52"/>
    </row>
    <row r="476" customFormat="false" ht="15" hidden="false" customHeight="true" outlineLevel="0" collapsed="false">
      <c r="J476" s="1" t="str">
        <f aca="false">IF($A476="","",IF($I476&lt;&gt;"", $I476, VENT_Plan!$M476))</f>
        <v/>
      </c>
      <c r="L476" s="1" t="str">
        <f aca="false">IF($A476="","",K476*D476)</f>
        <v/>
      </c>
      <c r="O476" s="52"/>
    </row>
    <row r="477" customFormat="false" ht="15" hidden="false" customHeight="true" outlineLevel="0" collapsed="false">
      <c r="J477" s="1" t="str">
        <f aca="false">IF($A477="","",IF($I477&lt;&gt;"", $I477, VENT_Plan!$M477))</f>
        <v/>
      </c>
      <c r="L477" s="1" t="str">
        <f aca="false">IF($A477="","",K477*D477)</f>
        <v/>
      </c>
      <c r="O477" s="52"/>
    </row>
    <row r="478" customFormat="false" ht="15" hidden="false" customHeight="true" outlineLevel="0" collapsed="false">
      <c r="J478" s="1" t="str">
        <f aca="false">IF($A478="","",IF($I478&lt;&gt;"", $I478, VENT_Plan!$M478))</f>
        <v/>
      </c>
      <c r="L478" s="1" t="str">
        <f aca="false">IF($A478="","",K478*D478)</f>
        <v/>
      </c>
      <c r="O478" s="52"/>
    </row>
    <row r="479" customFormat="false" ht="15" hidden="false" customHeight="true" outlineLevel="0" collapsed="false">
      <c r="J479" s="1" t="str">
        <f aca="false">IF($A479="","",IF($I479&lt;&gt;"", $I479, VENT_Plan!$M479))</f>
        <v/>
      </c>
      <c r="L479" s="1" t="str">
        <f aca="false">IF($A479="","",K479*D479)</f>
        <v/>
      </c>
      <c r="O479" s="52"/>
    </row>
    <row r="480" customFormat="false" ht="15" hidden="false" customHeight="true" outlineLevel="0" collapsed="false">
      <c r="J480" s="1" t="str">
        <f aca="false">IF($A480="","",IF($I480&lt;&gt;"", $I480, VENT_Plan!$M480))</f>
        <v/>
      </c>
      <c r="L480" s="1" t="str">
        <f aca="false">IF($A480="","",K480*D480)</f>
        <v/>
      </c>
      <c r="O480" s="52"/>
    </row>
    <row r="481" customFormat="false" ht="15" hidden="false" customHeight="true" outlineLevel="0" collapsed="false">
      <c r="J481" s="1" t="str">
        <f aca="false">IF($A481="","",IF($I481&lt;&gt;"", $I481, VENT_Plan!$M481))</f>
        <v/>
      </c>
      <c r="L481" s="1" t="str">
        <f aca="false">IF($A481="","",K481*D481)</f>
        <v/>
      </c>
      <c r="O481" s="52"/>
    </row>
    <row r="482" customFormat="false" ht="15" hidden="false" customHeight="true" outlineLevel="0" collapsed="false">
      <c r="J482" s="1" t="str">
        <f aca="false">IF($A482="","",IF($I482&lt;&gt;"", $I482, VENT_Plan!$M482))</f>
        <v/>
      </c>
      <c r="L482" s="1" t="str">
        <f aca="false">IF($A482="","",K482*D482)</f>
        <v/>
      </c>
      <c r="O482" s="52"/>
    </row>
    <row r="483" customFormat="false" ht="15" hidden="false" customHeight="true" outlineLevel="0" collapsed="false">
      <c r="J483" s="1" t="str">
        <f aca="false">IF($A483="","",IF($I483&lt;&gt;"", $I483, VENT_Plan!$M483))</f>
        <v/>
      </c>
      <c r="L483" s="1" t="str">
        <f aca="false">IF($A483="","",K483*D483)</f>
        <v/>
      </c>
      <c r="O483" s="52"/>
    </row>
    <row r="484" customFormat="false" ht="15" hidden="false" customHeight="true" outlineLevel="0" collapsed="false">
      <c r="J484" s="1" t="str">
        <f aca="false">IF($A484="","",IF($I484&lt;&gt;"", $I484, VENT_Plan!$M484))</f>
        <v/>
      </c>
      <c r="L484" s="1" t="str">
        <f aca="false">IF($A484="","",K484*D484)</f>
        <v/>
      </c>
      <c r="O484" s="52"/>
    </row>
    <row r="485" customFormat="false" ht="15" hidden="false" customHeight="true" outlineLevel="0" collapsed="false">
      <c r="J485" s="1" t="str">
        <f aca="false">IF($A485="","",IF($I485&lt;&gt;"", $I485, VENT_Plan!$M485))</f>
        <v/>
      </c>
      <c r="L485" s="1" t="str">
        <f aca="false">IF($A485="","",K485*D485)</f>
        <v/>
      </c>
      <c r="O485" s="52"/>
    </row>
    <row r="486" customFormat="false" ht="15" hidden="false" customHeight="true" outlineLevel="0" collapsed="false">
      <c r="J486" s="1" t="str">
        <f aca="false">IF($A486="","",IF($I486&lt;&gt;"", $I486, VENT_Plan!$M486))</f>
        <v/>
      </c>
      <c r="L486" s="1" t="str">
        <f aca="false">IF($A486="","",K486*D486)</f>
        <v/>
      </c>
      <c r="O486" s="52"/>
    </row>
    <row r="487" customFormat="false" ht="15" hidden="false" customHeight="true" outlineLevel="0" collapsed="false">
      <c r="J487" s="1" t="str">
        <f aca="false">IF($A487="","",IF($I487&lt;&gt;"", $I487, VENT_Plan!$M487))</f>
        <v/>
      </c>
      <c r="L487" s="1" t="str">
        <f aca="false">IF($A487="","",K487*D487)</f>
        <v/>
      </c>
      <c r="O487" s="52"/>
    </row>
    <row r="488" customFormat="false" ht="15" hidden="false" customHeight="true" outlineLevel="0" collapsed="false">
      <c r="J488" s="1" t="str">
        <f aca="false">IF($A488="","",IF($I488&lt;&gt;"", $I488, VENT_Plan!$M488))</f>
        <v/>
      </c>
      <c r="L488" s="1" t="str">
        <f aca="false">IF($A488="","",K488*D488)</f>
        <v/>
      </c>
      <c r="O488" s="52"/>
    </row>
    <row r="489" customFormat="false" ht="15" hidden="false" customHeight="true" outlineLevel="0" collapsed="false">
      <c r="J489" s="1" t="str">
        <f aca="false">IF($A489="","",IF($I489&lt;&gt;"", $I489, VENT_Plan!$M489))</f>
        <v/>
      </c>
      <c r="L489" s="1" t="str">
        <f aca="false">IF($A489="","",K489*D489)</f>
        <v/>
      </c>
      <c r="O489" s="52"/>
    </row>
    <row r="490" customFormat="false" ht="15" hidden="false" customHeight="true" outlineLevel="0" collapsed="false">
      <c r="J490" s="1" t="str">
        <f aca="false">IF($A490="","",IF($I490&lt;&gt;"", $I490, VENT_Plan!$M490))</f>
        <v/>
      </c>
      <c r="L490" s="1" t="str">
        <f aca="false">IF($A490="","",K490*D490)</f>
        <v/>
      </c>
      <c r="O490" s="52"/>
    </row>
    <row r="491" customFormat="false" ht="15" hidden="false" customHeight="true" outlineLevel="0" collapsed="false">
      <c r="J491" s="1" t="str">
        <f aca="false">IF($A491="","",IF($I491&lt;&gt;"", $I491, VENT_Plan!$M491))</f>
        <v/>
      </c>
      <c r="L491" s="1" t="str">
        <f aca="false">IF($A491="","",K491*D491)</f>
        <v/>
      </c>
      <c r="O491" s="52"/>
    </row>
    <row r="492" customFormat="false" ht="15" hidden="false" customHeight="true" outlineLevel="0" collapsed="false">
      <c r="J492" s="1" t="str">
        <f aca="false">IF($A492="","",IF($I492&lt;&gt;"", $I492, VENT_Plan!$M492))</f>
        <v/>
      </c>
      <c r="L492" s="1" t="str">
        <f aca="false">IF($A492="","",K492*D492)</f>
        <v/>
      </c>
      <c r="O492" s="52"/>
    </row>
    <row r="493" customFormat="false" ht="15" hidden="false" customHeight="true" outlineLevel="0" collapsed="false">
      <c r="J493" s="1" t="str">
        <f aca="false">IF($A493="","",IF($I493&lt;&gt;"", $I493, VENT_Plan!$M493))</f>
        <v/>
      </c>
      <c r="L493" s="1" t="str">
        <f aca="false">IF($A493="","",K493*D493)</f>
        <v/>
      </c>
      <c r="O493" s="52"/>
    </row>
    <row r="494" customFormat="false" ht="15" hidden="false" customHeight="true" outlineLevel="0" collapsed="false">
      <c r="J494" s="1" t="str">
        <f aca="false">IF($A494="","",IF($I494&lt;&gt;"", $I494, VENT_Plan!$M494))</f>
        <v/>
      </c>
      <c r="L494" s="1" t="str">
        <f aca="false">IF($A494="","",K494*D494)</f>
        <v/>
      </c>
      <c r="O494" s="52"/>
    </row>
    <row r="495" customFormat="false" ht="15" hidden="false" customHeight="true" outlineLevel="0" collapsed="false">
      <c r="J495" s="1" t="str">
        <f aca="false">IF($A495="","",IF($I495&lt;&gt;"", $I495, VENT_Plan!$M495))</f>
        <v/>
      </c>
      <c r="L495" s="1" t="str">
        <f aca="false">IF($A495="","",K495*D495)</f>
        <v/>
      </c>
      <c r="O495" s="52"/>
    </row>
    <row r="496" customFormat="false" ht="15" hidden="false" customHeight="true" outlineLevel="0" collapsed="false">
      <c r="J496" s="1" t="str">
        <f aca="false">IF($A496="","",IF($I496&lt;&gt;"", $I496, VENT_Plan!$M496))</f>
        <v/>
      </c>
      <c r="L496" s="1" t="str">
        <f aca="false">IF($A496="","",K496*D496)</f>
        <v/>
      </c>
      <c r="O496" s="52"/>
    </row>
    <row r="497" customFormat="false" ht="15" hidden="false" customHeight="true" outlineLevel="0" collapsed="false">
      <c r="J497" s="1" t="str">
        <f aca="false">IF($A497="","",IF($I497&lt;&gt;"", $I497, VENT_Plan!$M497))</f>
        <v/>
      </c>
      <c r="L497" s="1" t="str">
        <f aca="false">IF($A497="","",K497*D497)</f>
        <v/>
      </c>
      <c r="O497" s="52"/>
    </row>
    <row r="498" customFormat="false" ht="15" hidden="false" customHeight="true" outlineLevel="0" collapsed="false">
      <c r="J498" s="1" t="str">
        <f aca="false">IF($A498="","",IF($I498&lt;&gt;"", $I498, VENT_Plan!$M498))</f>
        <v/>
      </c>
      <c r="L498" s="1" t="str">
        <f aca="false">IF($A498="","",K498*D498)</f>
        <v/>
      </c>
      <c r="O498" s="52"/>
    </row>
    <row r="499" customFormat="false" ht="15" hidden="false" customHeight="true" outlineLevel="0" collapsed="false">
      <c r="J499" s="1" t="str">
        <f aca="false">IF($A499="","",IF($I499&lt;&gt;"", $I499, VENT_Plan!$M499))</f>
        <v/>
      </c>
      <c r="L499" s="1" t="str">
        <f aca="false">IF($A499="","",K499*D499)</f>
        <v/>
      </c>
      <c r="O499" s="52"/>
    </row>
    <row r="500" customFormat="false" ht="15" hidden="false" customHeight="true" outlineLevel="0" collapsed="false">
      <c r="J500" s="1" t="str">
        <f aca="false">IF($A500="","",IF($I500&lt;&gt;"", $I500, VENT_Plan!$M500))</f>
        <v/>
      </c>
      <c r="L500" s="1" t="str">
        <f aca="false">IF($A500="","",K500*D500)</f>
        <v/>
      </c>
      <c r="O500" s="52"/>
    </row>
    <row r="501" customFormat="false" ht="15" hidden="false" customHeight="true" outlineLevel="0" collapsed="false">
      <c r="E501" s="1" t="str">
        <f aca="false">IF($A501="","", IFERROR(INDEX(Machine_List!$B$72:$B$81, MATCH("*"&amp;$B501&amp;"*", Machine_List!$J$72:$J$81, 0)), "No FID Match"))</f>
        <v/>
      </c>
    </row>
    <row r="502" customFormat="false" ht="15" hidden="false" customHeight="true" outlineLevel="0" collapsed="false">
      <c r="E502" s="1" t="str">
        <f aca="false">IF($A502="","", IFERROR(INDEX(Machine_List!$B$72:$B$81, MATCH("*"&amp;$B502&amp;"*", Machine_List!$J$72:$J$81, 0)), "No FID Match"))</f>
        <v/>
      </c>
    </row>
    <row r="503" customFormat="false" ht="15" hidden="false" customHeight="true" outlineLevel="0" collapsed="false">
      <c r="E503" s="1" t="str">
        <f aca="false">IF($A503="","", IFERROR(INDEX(Machine_List!$B$72:$B$81, MATCH("*"&amp;$B503&amp;"*", Machine_List!$J$72:$J$81, 0)), "No FID Match"))</f>
        <v/>
      </c>
    </row>
    <row r="504" customFormat="false" ht="15" hidden="false" customHeight="true" outlineLevel="0" collapsed="false">
      <c r="E504" s="1" t="str">
        <f aca="false">IF($A504="","", IFERROR(INDEX(Machine_List!$B$72:$B$81, MATCH("*"&amp;$B504&amp;"*", Machine_List!$J$72:$J$81, 0)), "No FID Match"))</f>
        <v/>
      </c>
    </row>
    <row r="505" customFormat="false" ht="15" hidden="false" customHeight="true" outlineLevel="0" collapsed="false">
      <c r="E505" s="1" t="str">
        <f aca="false">IF($A505="","", IFERROR(INDEX(Machine_List!$B$72:$B$81, MATCH("*"&amp;$B505&amp;"*", Machine_List!$J$72:$J$81, 0)), "No FID Match"))</f>
        <v/>
      </c>
    </row>
    <row r="506" customFormat="false" ht="15" hidden="false" customHeight="true" outlineLevel="0" collapsed="false">
      <c r="E506" s="1" t="str">
        <f aca="false">IF($A506="","", IFERROR(INDEX(Machine_List!$B$72:$B$81, MATCH("*"&amp;$B506&amp;"*", Machine_List!$J$72:$J$81, 0)), "No FID Match"))</f>
        <v/>
      </c>
    </row>
    <row r="507" customFormat="false" ht="15" hidden="false" customHeight="true" outlineLevel="0" collapsed="false">
      <c r="E507" s="1" t="str">
        <f aca="false">IF($A507="","", IFERROR(INDEX(Machine_List!$B$72:$B$81, MATCH("*"&amp;$B507&amp;"*", Machine_List!$J$72:$J$81, 0)), "No FID Match"))</f>
        <v/>
      </c>
    </row>
    <row r="508" customFormat="false" ht="15" hidden="false" customHeight="true" outlineLevel="0" collapsed="false">
      <c r="E508" s="1" t="str">
        <f aca="false">IF($A508="","", IFERROR(INDEX(Machine_List!$B$72:$B$81, MATCH("*"&amp;$B508&amp;"*", Machine_List!$J$72:$J$81, 0)), "No FID Match"))</f>
        <v/>
      </c>
    </row>
    <row r="509" customFormat="false" ht="15" hidden="false" customHeight="true" outlineLevel="0" collapsed="false">
      <c r="E509" s="1" t="str">
        <f aca="false">IF($A509="","", IFERROR(INDEX(Machine_List!$B$72:$B$81, MATCH("*"&amp;$B509&amp;"*", Machine_List!$J$72:$J$81, 0)), "No FID Match"))</f>
        <v/>
      </c>
    </row>
    <row r="510" customFormat="false" ht="15" hidden="false" customHeight="true" outlineLevel="0" collapsed="false">
      <c r="E510" s="1" t="str">
        <f aca="false">IF($A510="","", IFERROR(INDEX(Machine_List!$B$72:$B$81, MATCH("*"&amp;$B510&amp;"*", Machine_List!$J$72:$J$81, 0)), "No FID Match"))</f>
        <v/>
      </c>
    </row>
    <row r="511" customFormat="false" ht="15" hidden="false" customHeight="true" outlineLevel="0" collapsed="false">
      <c r="E511" s="1" t="str">
        <f aca="false">IF($A511="","", IFERROR(INDEX(Machine_List!$B$72:$B$81, MATCH("*"&amp;$B511&amp;"*", Machine_List!$J$72:$J$81, 0)), "No FID Match"))</f>
        <v/>
      </c>
    </row>
    <row r="512" customFormat="false" ht="15" hidden="false" customHeight="true" outlineLevel="0" collapsed="false">
      <c r="E512" s="1" t="str">
        <f aca="false">IF($A512="","", IFERROR(INDEX(Machine_List!$B$72:$B$81, MATCH("*"&amp;$B512&amp;"*", Machine_List!$J$72:$J$81, 0)), "No FID Match"))</f>
        <v/>
      </c>
    </row>
    <row r="513" customFormat="false" ht="15" hidden="false" customHeight="true" outlineLevel="0" collapsed="false">
      <c r="E513" s="1" t="str">
        <f aca="false">IF($A513="","", IFERROR(INDEX(Machine_List!$B$72:$B$81, MATCH("*"&amp;$B513&amp;"*", Machine_List!$J$72:$J$81, 0)), "No FID Match"))</f>
        <v/>
      </c>
    </row>
    <row r="514" customFormat="false" ht="15" hidden="false" customHeight="true" outlineLevel="0" collapsed="false">
      <c r="E514" s="1" t="str">
        <f aca="false">IF($A514="","", IFERROR(INDEX(Machine_List!$B$72:$B$81, MATCH("*"&amp;$B514&amp;"*", Machine_List!$J$72:$J$81, 0)), "No FID Match"))</f>
        <v/>
      </c>
    </row>
    <row r="515" customFormat="false" ht="15" hidden="false" customHeight="true" outlineLevel="0" collapsed="false">
      <c r="E515" s="1" t="str">
        <f aca="false">IF($A515="","", IFERROR(INDEX(Machine_List!$B$72:$B$81, MATCH("*"&amp;$B515&amp;"*", Machine_List!$J$72:$J$81, 0)), "No FID Match"))</f>
        <v/>
      </c>
    </row>
    <row r="516" customFormat="false" ht="15" hidden="false" customHeight="true" outlineLevel="0" collapsed="false">
      <c r="E516" s="1" t="str">
        <f aca="false">IF($A516="","", IFERROR(INDEX(Machine_List!$B$72:$B$81, MATCH("*"&amp;$B516&amp;"*", Machine_List!$J$72:$J$81, 0)), "No FID Match"))</f>
        <v/>
      </c>
    </row>
    <row r="517" customFormat="false" ht="15" hidden="false" customHeight="true" outlineLevel="0" collapsed="false">
      <c r="E517" s="1" t="str">
        <f aca="false">IF($A517="","", IFERROR(INDEX(Machine_List!$B$72:$B$81, MATCH("*"&amp;$B517&amp;"*", Machine_List!$J$72:$J$81, 0)), "No FID Match"))</f>
        <v/>
      </c>
    </row>
    <row r="518" customFormat="false" ht="15" hidden="false" customHeight="true" outlineLevel="0" collapsed="false">
      <c r="E518" s="1" t="str">
        <f aca="false">IF($A518="","", IFERROR(INDEX(Machine_List!$B$72:$B$81, MATCH("*"&amp;$B518&amp;"*", Machine_List!$J$72:$J$81, 0)), "No FID Match"))</f>
        <v/>
      </c>
    </row>
    <row r="519" customFormat="false" ht="15" hidden="false" customHeight="true" outlineLevel="0" collapsed="false">
      <c r="E519" s="1" t="str">
        <f aca="false">IF($A519="","", IFERROR(INDEX(Machine_List!$B$72:$B$81, MATCH("*"&amp;$B519&amp;"*", Machine_List!$J$72:$J$81, 0)), "No FID Match"))</f>
        <v/>
      </c>
    </row>
    <row r="520" customFormat="false" ht="15" hidden="false" customHeight="true" outlineLevel="0" collapsed="false">
      <c r="E520" s="1" t="str">
        <f aca="false">IF($A520="","", IFERROR(INDEX(Machine_List!$B$72:$B$81, MATCH("*"&amp;$B520&amp;"*", Machine_List!$J$72:$J$81, 0)), "No FID Match"))</f>
        <v/>
      </c>
    </row>
    <row r="521" customFormat="false" ht="15" hidden="false" customHeight="true" outlineLevel="0" collapsed="false">
      <c r="E521" s="1" t="str">
        <f aca="false">IF($A521="","", IFERROR(INDEX(Machine_List!$B$72:$B$81, MATCH("*"&amp;$B521&amp;"*", Machine_List!$J$72:$J$81, 0)), "No FID Match"))</f>
        <v/>
      </c>
    </row>
    <row r="522" customFormat="false" ht="15" hidden="false" customHeight="true" outlineLevel="0" collapsed="false">
      <c r="E522" s="1" t="str">
        <f aca="false">IF($A522="","", IFERROR(INDEX(Machine_List!$B$72:$B$81, MATCH("*"&amp;$B522&amp;"*", Machine_List!$J$72:$J$81, 0)), "No FID Match"))</f>
        <v/>
      </c>
    </row>
    <row r="523" customFormat="false" ht="15" hidden="false" customHeight="true" outlineLevel="0" collapsed="false">
      <c r="E523" s="1" t="str">
        <f aca="false">IF($A523="","", IFERROR(INDEX(Machine_List!$B$72:$B$81, MATCH("*"&amp;$B523&amp;"*", Machine_List!$J$72:$J$81, 0)), "No FID Match"))</f>
        <v/>
      </c>
    </row>
    <row r="524" customFormat="false" ht="15" hidden="false" customHeight="true" outlineLevel="0" collapsed="false">
      <c r="E524" s="1" t="str">
        <f aca="false">IF($A524="","", IFERROR(INDEX(Machine_List!$B$72:$B$81, MATCH("*"&amp;$B524&amp;"*", Machine_List!$J$72:$J$81, 0)), "No FID Match"))</f>
        <v/>
      </c>
    </row>
    <row r="525" customFormat="false" ht="15" hidden="false" customHeight="true" outlineLevel="0" collapsed="false">
      <c r="E525" s="1" t="str">
        <f aca="false">IF($A525="","", IFERROR(INDEX(Machine_List!$B$72:$B$81, MATCH("*"&amp;$B525&amp;"*", Machine_List!$J$72:$J$81, 0)), "No FID Match"))</f>
        <v/>
      </c>
    </row>
    <row r="526" customFormat="false" ht="15" hidden="false" customHeight="true" outlineLevel="0" collapsed="false">
      <c r="E526" s="1" t="str">
        <f aca="false">IF($A526="","", IFERROR(INDEX(Machine_List!$B$72:$B$81, MATCH("*"&amp;$B526&amp;"*", Machine_List!$J$72:$J$81, 0)), "No FID Match"))</f>
        <v/>
      </c>
    </row>
    <row r="527" customFormat="false" ht="15" hidden="false" customHeight="true" outlineLevel="0" collapsed="false">
      <c r="E527" s="1" t="str">
        <f aca="false">IF($A527="","", IFERROR(INDEX(Machine_List!$B$72:$B$81, MATCH("*"&amp;$B527&amp;"*", Machine_List!$J$72:$J$81, 0)), "No FID Match"))</f>
        <v/>
      </c>
    </row>
    <row r="528" customFormat="false" ht="15" hidden="false" customHeight="true" outlineLevel="0" collapsed="false">
      <c r="E528" s="1" t="str">
        <f aca="false">IF($A528="","", IFERROR(INDEX(Machine_List!$B$72:$B$81, MATCH("*"&amp;$B528&amp;"*", Machine_List!$J$72:$J$81, 0)), "No FID Match"))</f>
        <v/>
      </c>
    </row>
    <row r="529" customFormat="false" ht="15" hidden="false" customHeight="true" outlineLevel="0" collapsed="false">
      <c r="E529" s="1" t="str">
        <f aca="false">IF($A529="","", IFERROR(INDEX(Machine_List!$B$72:$B$81, MATCH("*"&amp;$B529&amp;"*", Machine_List!$J$72:$J$81, 0)), "No FID Match"))</f>
        <v/>
      </c>
    </row>
    <row r="530" customFormat="false" ht="15" hidden="false" customHeight="true" outlineLevel="0" collapsed="false">
      <c r="E530" s="1" t="str">
        <f aca="false">IF($A530="","", IFERROR(INDEX(Machine_List!$B$72:$B$81, MATCH("*"&amp;$B530&amp;"*", Machine_List!$J$72:$J$81, 0)), "No FID Match"))</f>
        <v/>
      </c>
    </row>
    <row r="531" customFormat="false" ht="15" hidden="false" customHeight="true" outlineLevel="0" collapsed="false">
      <c r="E531" s="1" t="str">
        <f aca="false">IF($A531="","", IFERROR(INDEX(Machine_List!$B$72:$B$81, MATCH("*"&amp;$B531&amp;"*", Machine_List!$J$72:$J$81, 0)), "No FID Match"))</f>
        <v/>
      </c>
    </row>
    <row r="532" customFormat="false" ht="15" hidden="false" customHeight="true" outlineLevel="0" collapsed="false">
      <c r="E532" s="1" t="str">
        <f aca="false">IF($A532="","", IFERROR(INDEX(Machine_List!$B$72:$B$81, MATCH("*"&amp;$B532&amp;"*", Machine_List!$J$72:$J$81, 0)), "No FID Match"))</f>
        <v/>
      </c>
    </row>
    <row r="533" customFormat="false" ht="15" hidden="false" customHeight="true" outlineLevel="0" collapsed="false">
      <c r="E533" s="1" t="str">
        <f aca="false">IF($A533="","", IFERROR(INDEX(Machine_List!$B$72:$B$81, MATCH("*"&amp;$B533&amp;"*", Machine_List!$J$72:$J$81, 0)), "No FID Match"))</f>
        <v/>
      </c>
    </row>
    <row r="534" customFormat="false" ht="15" hidden="false" customHeight="true" outlineLevel="0" collapsed="false">
      <c r="E534" s="1" t="str">
        <f aca="false">IF($A534="","", IFERROR(INDEX(Machine_List!$B$72:$B$81, MATCH("*"&amp;$B534&amp;"*", Machine_List!$J$72:$J$81, 0)), "No FID Match"))</f>
        <v/>
      </c>
    </row>
    <row r="535" customFormat="false" ht="15" hidden="false" customHeight="true" outlineLevel="0" collapsed="false">
      <c r="E535" s="1" t="str">
        <f aca="false">IF($A535="","", IFERROR(INDEX(Machine_List!$B$72:$B$81, MATCH("*"&amp;$B535&amp;"*", Machine_List!$J$72:$J$81, 0)), "No FID Match"))</f>
        <v/>
      </c>
    </row>
    <row r="536" customFormat="false" ht="15" hidden="false" customHeight="true" outlineLevel="0" collapsed="false">
      <c r="E536" s="1" t="str">
        <f aca="false">IF($A536="","", IFERROR(INDEX(Machine_List!$B$72:$B$81, MATCH("*"&amp;$B536&amp;"*", Machine_List!$J$72:$J$81, 0)), "No FID Match"))</f>
        <v/>
      </c>
    </row>
    <row r="537" customFormat="false" ht="15" hidden="false" customHeight="true" outlineLevel="0" collapsed="false">
      <c r="E537" s="1" t="str">
        <f aca="false">IF($A537="","", IFERROR(INDEX(Machine_List!$B$72:$B$81, MATCH("*"&amp;$B537&amp;"*", Machine_List!$J$72:$J$81, 0)), "No FID Match"))</f>
        <v/>
      </c>
    </row>
    <row r="538" customFormat="false" ht="15" hidden="false" customHeight="true" outlineLevel="0" collapsed="false">
      <c r="E538" s="1" t="str">
        <f aca="false">IF($A538="","", IFERROR(INDEX(Machine_List!$B$72:$B$81, MATCH("*"&amp;$B538&amp;"*", Machine_List!$J$72:$J$81, 0)), "No FID Match"))</f>
        <v/>
      </c>
    </row>
    <row r="539" customFormat="false" ht="15" hidden="false" customHeight="true" outlineLevel="0" collapsed="false">
      <c r="E539" s="1" t="str">
        <f aca="false">IF($A539="","", IFERROR(INDEX(Machine_List!$B$72:$B$81, MATCH("*"&amp;$B539&amp;"*", Machine_List!$J$72:$J$81, 0)), "No FID Match"))</f>
        <v/>
      </c>
    </row>
    <row r="540" customFormat="false" ht="15" hidden="false" customHeight="true" outlineLevel="0" collapsed="false">
      <c r="E540" s="1" t="str">
        <f aca="false">IF($A540="","", IFERROR(INDEX(Machine_List!$B$72:$B$81, MATCH("*"&amp;$B540&amp;"*", Machine_List!$J$72:$J$81, 0)), "No FID Match"))</f>
        <v/>
      </c>
    </row>
    <row r="541" customFormat="false" ht="15" hidden="false" customHeight="true" outlineLevel="0" collapsed="false">
      <c r="E541" s="1" t="str">
        <f aca="false">IF($A541="","", IFERROR(INDEX(Machine_List!$B$72:$B$81, MATCH("*"&amp;$B541&amp;"*", Machine_List!$J$72:$J$81, 0)), "No FID Match"))</f>
        <v/>
      </c>
    </row>
    <row r="542" customFormat="false" ht="15" hidden="false" customHeight="true" outlineLevel="0" collapsed="false">
      <c r="E542" s="1" t="str">
        <f aca="false">IF($A542="","", IFERROR(INDEX(Machine_List!$B$72:$B$81, MATCH("*"&amp;$B542&amp;"*", Machine_List!$J$72:$J$81, 0)), "No FID Match"))</f>
        <v/>
      </c>
    </row>
    <row r="543" customFormat="false" ht="15" hidden="false" customHeight="true" outlineLevel="0" collapsed="false">
      <c r="E543" s="1" t="str">
        <f aca="false">IF($A543="","", IFERROR(INDEX(Machine_List!$B$72:$B$81, MATCH("*"&amp;$B543&amp;"*", Machine_List!$J$72:$J$81, 0)), "No FID Match"))</f>
        <v/>
      </c>
    </row>
    <row r="544" customFormat="false" ht="15" hidden="false" customHeight="true" outlineLevel="0" collapsed="false">
      <c r="E544" s="1" t="str">
        <f aca="false">IF($A544="","", IFERROR(INDEX(Machine_List!$B$72:$B$81, MATCH("*"&amp;$B544&amp;"*", Machine_List!$J$72:$J$81, 0)), "No FID Match"))</f>
        <v/>
      </c>
    </row>
    <row r="545" customFormat="false" ht="15" hidden="false" customHeight="true" outlineLevel="0" collapsed="false">
      <c r="E545" s="1" t="str">
        <f aca="false">IF($A545="","", IFERROR(INDEX(Machine_List!$B$72:$B$81, MATCH("*"&amp;$B545&amp;"*", Machine_List!$J$72:$J$81, 0)), "No FID Match"))</f>
        <v/>
      </c>
    </row>
    <row r="546" customFormat="false" ht="15" hidden="false" customHeight="true" outlineLevel="0" collapsed="false">
      <c r="E546" s="1" t="str">
        <f aca="false">IF($A546="","", IFERROR(INDEX(Machine_List!$B$72:$B$81, MATCH("*"&amp;$B546&amp;"*", Machine_List!$J$72:$J$81, 0)), "No FID Match"))</f>
        <v/>
      </c>
    </row>
    <row r="547" customFormat="false" ht="15" hidden="false" customHeight="true" outlineLevel="0" collapsed="false">
      <c r="E547" s="1" t="str">
        <f aca="false">IF($A547="","", IFERROR(INDEX(Machine_List!$B$72:$B$81, MATCH("*"&amp;$B547&amp;"*", Machine_List!$J$72:$J$81, 0)), "No FID Match"))</f>
        <v/>
      </c>
    </row>
    <row r="548" customFormat="false" ht="15" hidden="false" customHeight="true" outlineLevel="0" collapsed="false">
      <c r="E548" s="1" t="str">
        <f aca="false">IF($A548="","", IFERROR(INDEX(Machine_List!$B$72:$B$81, MATCH("*"&amp;$B548&amp;"*", Machine_List!$J$72:$J$81, 0)), "No FID Match"))</f>
        <v/>
      </c>
    </row>
    <row r="549" customFormat="false" ht="15" hidden="false" customHeight="true" outlineLevel="0" collapsed="false">
      <c r="E549" s="1" t="str">
        <f aca="false">IF($A549="","", IFERROR(INDEX(Machine_List!$B$72:$B$81, MATCH("*"&amp;$B549&amp;"*", Machine_List!$J$72:$J$81, 0)), "No FID Match"))</f>
        <v/>
      </c>
    </row>
    <row r="550" customFormat="false" ht="15" hidden="false" customHeight="true" outlineLevel="0" collapsed="false">
      <c r="E550" s="1" t="str">
        <f aca="false">IF($A550="","", IFERROR(INDEX(Machine_List!$B$72:$B$81, MATCH("*"&amp;$B550&amp;"*", Machine_List!$J$72:$J$81, 0)), "No FID Match"))</f>
        <v/>
      </c>
    </row>
    <row r="551" customFormat="false" ht="15" hidden="false" customHeight="true" outlineLevel="0" collapsed="false">
      <c r="E551" s="1" t="str">
        <f aca="false">IF($A551="","", IFERROR(INDEX(Machine_List!$B$72:$B$81, MATCH("*"&amp;$B551&amp;"*", Machine_List!$J$72:$J$81, 0)), "No FID Match"))</f>
        <v/>
      </c>
    </row>
    <row r="552" customFormat="false" ht="15" hidden="false" customHeight="true" outlineLevel="0" collapsed="false">
      <c r="E552" s="1" t="str">
        <f aca="false">IF($A552="","", IFERROR(INDEX(Machine_List!$B$72:$B$81, MATCH("*"&amp;$B552&amp;"*", Machine_List!$J$72:$J$81, 0)), "No FID Match"))</f>
        <v/>
      </c>
    </row>
    <row r="553" customFormat="false" ht="15" hidden="false" customHeight="true" outlineLevel="0" collapsed="false">
      <c r="E553" s="1" t="str">
        <f aca="false">IF($A553="","", IFERROR(INDEX(Machine_List!$B$72:$B$81, MATCH("*"&amp;$B553&amp;"*", Machine_List!$J$72:$J$81, 0)), "No FID Match"))</f>
        <v/>
      </c>
    </row>
    <row r="554" customFormat="false" ht="15" hidden="false" customHeight="true" outlineLevel="0" collapsed="false">
      <c r="E554" s="1" t="str">
        <f aca="false">IF($A554="","", IFERROR(INDEX(Machine_List!$B$72:$B$81, MATCH("*"&amp;$B554&amp;"*", Machine_List!$J$72:$J$81, 0)), "No FID Match"))</f>
        <v/>
      </c>
    </row>
    <row r="555" customFormat="false" ht="15" hidden="false" customHeight="true" outlineLevel="0" collapsed="false">
      <c r="E555" s="1" t="str">
        <f aca="false">IF($A555="","", IFERROR(INDEX(Machine_List!$B$72:$B$81, MATCH("*"&amp;$B555&amp;"*", Machine_List!$J$72:$J$81, 0)), "No FID Match"))</f>
        <v/>
      </c>
    </row>
    <row r="556" customFormat="false" ht="15" hidden="false" customHeight="true" outlineLevel="0" collapsed="false">
      <c r="E556" s="1" t="str">
        <f aca="false">IF($A556="","", IFERROR(INDEX(Machine_List!$B$72:$B$81, MATCH("*"&amp;$B556&amp;"*", Machine_List!$J$72:$J$81, 0)), "No FID Match"))</f>
        <v/>
      </c>
    </row>
    <row r="557" customFormat="false" ht="15" hidden="false" customHeight="true" outlineLevel="0" collapsed="false">
      <c r="E557" s="1" t="str">
        <f aca="false">IF($A557="","", IFERROR(INDEX(Machine_List!$B$72:$B$81, MATCH("*"&amp;$B557&amp;"*", Machine_List!$J$72:$J$81, 0)), "No FID Match"))</f>
        <v/>
      </c>
    </row>
    <row r="558" customFormat="false" ht="15" hidden="false" customHeight="true" outlineLevel="0" collapsed="false">
      <c r="E558" s="1" t="str">
        <f aca="false">IF($A558="","", IFERROR(INDEX(Machine_List!$B$72:$B$81, MATCH("*"&amp;$B558&amp;"*", Machine_List!$J$72:$J$81, 0)), "No FID Match"))</f>
        <v/>
      </c>
    </row>
    <row r="559" customFormat="false" ht="15" hidden="false" customHeight="true" outlineLevel="0" collapsed="false">
      <c r="E559" s="1" t="str">
        <f aca="false">IF($A559="","", IFERROR(INDEX(Machine_List!$B$72:$B$81, MATCH("*"&amp;$B559&amp;"*", Machine_List!$J$72:$J$81, 0)), "No FID Match"))</f>
        <v/>
      </c>
    </row>
    <row r="560" customFormat="false" ht="15" hidden="false" customHeight="true" outlineLevel="0" collapsed="false">
      <c r="E560" s="1" t="str">
        <f aca="false">IF($A560="","", IFERROR(INDEX(Machine_List!$B$72:$B$81, MATCH("*"&amp;$B560&amp;"*", Machine_List!$J$72:$J$81, 0)), "No FID Match"))</f>
        <v/>
      </c>
    </row>
    <row r="561" customFormat="false" ht="15" hidden="false" customHeight="true" outlineLevel="0" collapsed="false">
      <c r="E561" s="1" t="str">
        <f aca="false">IF($A561="","", IFERROR(INDEX(Machine_List!$B$72:$B$81, MATCH("*"&amp;$B561&amp;"*", Machine_List!$J$72:$J$81, 0)), "No FID Match"))</f>
        <v/>
      </c>
    </row>
    <row r="562" customFormat="false" ht="15" hidden="false" customHeight="true" outlineLevel="0" collapsed="false">
      <c r="E562" s="1" t="str">
        <f aca="false">IF($A562="","", IFERROR(INDEX(Machine_List!$B$72:$B$81, MATCH("*"&amp;$B562&amp;"*", Machine_List!$J$72:$J$81, 0)), "No FID Match"))</f>
        <v/>
      </c>
    </row>
    <row r="563" customFormat="false" ht="15" hidden="false" customHeight="true" outlineLevel="0" collapsed="false">
      <c r="E563" s="1" t="str">
        <f aca="false">IF($A563="","", IFERROR(INDEX(Machine_List!$B$72:$B$81, MATCH("*"&amp;$B563&amp;"*", Machine_List!$J$72:$J$81, 0)), "No FID Match"))</f>
        <v/>
      </c>
    </row>
    <row r="564" customFormat="false" ht="15" hidden="false" customHeight="true" outlineLevel="0" collapsed="false">
      <c r="E564" s="1" t="str">
        <f aca="false">IF($A564="","", IFERROR(INDEX(Machine_List!$B$72:$B$81, MATCH("*"&amp;$B564&amp;"*", Machine_List!$J$72:$J$81, 0)), "No FID Match"))</f>
        <v/>
      </c>
    </row>
    <row r="565" customFormat="false" ht="15" hidden="false" customHeight="true" outlineLevel="0" collapsed="false">
      <c r="E565" s="1" t="str">
        <f aca="false">IF($A565="","", IFERROR(INDEX(Machine_List!$B$72:$B$81, MATCH("*"&amp;$B565&amp;"*", Machine_List!$J$72:$J$81, 0)), "No FID Match"))</f>
        <v/>
      </c>
    </row>
    <row r="566" customFormat="false" ht="15" hidden="false" customHeight="true" outlineLevel="0" collapsed="false">
      <c r="E566" s="1" t="str">
        <f aca="false">IF($A566="","", IFERROR(INDEX(Machine_List!$B$72:$B$81, MATCH("*"&amp;$B566&amp;"*", Machine_List!$J$72:$J$81, 0)), "No FID Match"))</f>
        <v/>
      </c>
    </row>
    <row r="567" customFormat="false" ht="15" hidden="false" customHeight="true" outlineLevel="0" collapsed="false">
      <c r="E567" s="1" t="str">
        <f aca="false">IF($A567="","", IFERROR(INDEX(Machine_List!$B$72:$B$81, MATCH("*"&amp;$B567&amp;"*", Machine_List!$J$72:$J$81, 0)), "No FID Match"))</f>
        <v/>
      </c>
    </row>
    <row r="568" customFormat="false" ht="15" hidden="false" customHeight="true" outlineLevel="0" collapsed="false">
      <c r="E568" s="1" t="str">
        <f aca="false">IF($A568="","", IFERROR(INDEX(Machine_List!$B$72:$B$81, MATCH("*"&amp;$B568&amp;"*", Machine_List!$J$72:$J$81, 0)), "No FID Match"))</f>
        <v/>
      </c>
    </row>
    <row r="569" customFormat="false" ht="15" hidden="false" customHeight="true" outlineLevel="0" collapsed="false">
      <c r="E569" s="1" t="str">
        <f aca="false">IF($A569="","", IFERROR(INDEX(Machine_List!$B$72:$B$81, MATCH("*"&amp;$B569&amp;"*", Machine_List!$J$72:$J$81, 0)), "No FID Match"))</f>
        <v/>
      </c>
    </row>
    <row r="570" customFormat="false" ht="15" hidden="false" customHeight="true" outlineLevel="0" collapsed="false">
      <c r="E570" s="1" t="str">
        <f aca="false">IF($A570="","", IFERROR(INDEX(Machine_List!$B$72:$B$81, MATCH("*"&amp;$B570&amp;"*", Machine_List!$J$72:$J$81, 0)), "No FID Match"))</f>
        <v/>
      </c>
    </row>
    <row r="571" customFormat="false" ht="15" hidden="false" customHeight="true" outlineLevel="0" collapsed="false">
      <c r="E571" s="1" t="str">
        <f aca="false">IF($A571="","", IFERROR(INDEX(Machine_List!$B$72:$B$81, MATCH("*"&amp;$B571&amp;"*", Machine_List!$J$72:$J$81, 0)), "No FID Match"))</f>
        <v/>
      </c>
    </row>
    <row r="572" customFormat="false" ht="15" hidden="false" customHeight="true" outlineLevel="0" collapsed="false">
      <c r="E572" s="1" t="str">
        <f aca="false">IF($A572="","", IFERROR(INDEX(Machine_List!$B$72:$B$81, MATCH("*"&amp;$B572&amp;"*", Machine_List!$J$72:$J$81, 0)), "No FID Match"))</f>
        <v/>
      </c>
    </row>
    <row r="573" customFormat="false" ht="15" hidden="false" customHeight="true" outlineLevel="0" collapsed="false">
      <c r="E573" s="1" t="str">
        <f aca="false">IF($A573="","", IFERROR(INDEX(Machine_List!$B$72:$B$81, MATCH("*"&amp;$B573&amp;"*", Machine_List!$J$72:$J$81, 0)), "No FID Match"))</f>
        <v/>
      </c>
    </row>
    <row r="574" customFormat="false" ht="15" hidden="false" customHeight="true" outlineLevel="0" collapsed="false">
      <c r="E574" s="1" t="str">
        <f aca="false">IF($A574="","", IFERROR(INDEX(Machine_List!$B$72:$B$81, MATCH("*"&amp;$B574&amp;"*", Machine_List!$J$72:$J$81, 0)), "No FID Match"))</f>
        <v/>
      </c>
    </row>
    <row r="575" customFormat="false" ht="15" hidden="false" customHeight="true" outlineLevel="0" collapsed="false">
      <c r="E575" s="1" t="str">
        <f aca="false">IF($A575="","", IFERROR(INDEX(Machine_List!$B$72:$B$81, MATCH("*"&amp;$B575&amp;"*", Machine_List!$J$72:$J$81, 0)), "No FID Match"))</f>
        <v/>
      </c>
    </row>
    <row r="576" customFormat="false" ht="15" hidden="false" customHeight="true" outlineLevel="0" collapsed="false">
      <c r="E576" s="1" t="str">
        <f aca="false">IF($A576="","", IFERROR(INDEX(Machine_List!$B$72:$B$81, MATCH("*"&amp;$B576&amp;"*", Machine_List!$J$72:$J$81, 0)), "No FID Match"))</f>
        <v/>
      </c>
    </row>
    <row r="577" customFormat="false" ht="15" hidden="false" customHeight="true" outlineLevel="0" collapsed="false">
      <c r="E577" s="1" t="str">
        <f aca="false">IF($A577="","", IFERROR(INDEX(Machine_List!$B$72:$B$81, MATCH("*"&amp;$B577&amp;"*", Machine_List!$J$72:$J$81, 0)), "No FID Match"))</f>
        <v/>
      </c>
    </row>
    <row r="578" customFormat="false" ht="15" hidden="false" customHeight="true" outlineLevel="0" collapsed="false">
      <c r="E578" s="1" t="str">
        <f aca="false">IF($A578="","", IFERROR(INDEX(Machine_List!$B$72:$B$81, MATCH("*"&amp;$B578&amp;"*", Machine_List!$J$72:$J$81, 0)), "No FID Match"))</f>
        <v/>
      </c>
    </row>
    <row r="579" customFormat="false" ht="15" hidden="false" customHeight="true" outlineLevel="0" collapsed="false">
      <c r="E579" s="1" t="str">
        <f aca="false">IF($A579="","", IFERROR(INDEX(Machine_List!$B$72:$B$81, MATCH("*"&amp;$B579&amp;"*", Machine_List!$J$72:$J$81, 0)), "No FID Match"))</f>
        <v/>
      </c>
    </row>
    <row r="580" customFormat="false" ht="15" hidden="false" customHeight="true" outlineLevel="0" collapsed="false">
      <c r="E580" s="1" t="str">
        <f aca="false">IF($A580="","", IFERROR(INDEX(Machine_List!$B$72:$B$81, MATCH("*"&amp;$B580&amp;"*", Machine_List!$J$72:$J$81, 0)), "No FID Match"))</f>
        <v/>
      </c>
    </row>
    <row r="581" customFormat="false" ht="15" hidden="false" customHeight="true" outlineLevel="0" collapsed="false">
      <c r="E581" s="1" t="str">
        <f aca="false">IF($A581="","", IFERROR(INDEX(Machine_List!$B$72:$B$81, MATCH("*"&amp;$B581&amp;"*", Machine_List!$J$72:$J$81, 0)), "No FID Match"))</f>
        <v/>
      </c>
    </row>
    <row r="582" customFormat="false" ht="15" hidden="false" customHeight="true" outlineLevel="0" collapsed="false">
      <c r="E582" s="1" t="str">
        <f aca="false">IF($A582="","", IFERROR(INDEX(Machine_List!$B$72:$B$81, MATCH("*"&amp;$B582&amp;"*", Machine_List!$J$72:$J$81, 0)), "No FID Match"))</f>
        <v/>
      </c>
    </row>
    <row r="583" customFormat="false" ht="15" hidden="false" customHeight="true" outlineLevel="0" collapsed="false">
      <c r="E583" s="1" t="str">
        <f aca="false">IF($A583="","", IFERROR(INDEX(Machine_List!$B$72:$B$81, MATCH("*"&amp;$B583&amp;"*", Machine_List!$J$72:$J$81, 0)), "No FID Match"))</f>
        <v/>
      </c>
    </row>
    <row r="584" customFormat="false" ht="15" hidden="false" customHeight="true" outlineLevel="0" collapsed="false">
      <c r="E584" s="1" t="str">
        <f aca="false">IF($A584="","", IFERROR(INDEX(Machine_List!$B$72:$B$81, MATCH("*"&amp;$B584&amp;"*", Machine_List!$J$72:$J$81, 0)), "No FID Match"))</f>
        <v/>
      </c>
    </row>
    <row r="585" customFormat="false" ht="15" hidden="false" customHeight="true" outlineLevel="0" collapsed="false">
      <c r="E585" s="1" t="str">
        <f aca="false">IF($A585="","", IFERROR(INDEX(Machine_List!$B$72:$B$81, MATCH("*"&amp;$B585&amp;"*", Machine_List!$J$72:$J$81, 0)), "No FID Match"))</f>
        <v/>
      </c>
    </row>
    <row r="586" customFormat="false" ht="15" hidden="false" customHeight="true" outlineLevel="0" collapsed="false">
      <c r="E586" s="1" t="str">
        <f aca="false">IF($A586="","", IFERROR(INDEX(Machine_List!$B$72:$B$81, MATCH("*"&amp;$B586&amp;"*", Machine_List!$J$72:$J$81, 0)), "No FID Match"))</f>
        <v/>
      </c>
    </row>
    <row r="587" customFormat="false" ht="15" hidden="false" customHeight="true" outlineLevel="0" collapsed="false">
      <c r="E587" s="1" t="str">
        <f aca="false">IF($A587="","", IFERROR(INDEX(Machine_List!$B$72:$B$81, MATCH("*"&amp;$B587&amp;"*", Machine_List!$J$72:$J$81, 0)), "No FID Match"))</f>
        <v/>
      </c>
    </row>
    <row r="588" customFormat="false" ht="15" hidden="false" customHeight="true" outlineLevel="0" collapsed="false">
      <c r="E588" s="1" t="str">
        <f aca="false">IF($A588="","", IFERROR(INDEX(Machine_List!$B$72:$B$81, MATCH("*"&amp;$B588&amp;"*", Machine_List!$J$72:$J$81, 0)), "No FID Match"))</f>
        <v/>
      </c>
    </row>
    <row r="589" customFormat="false" ht="15" hidden="false" customHeight="true" outlineLevel="0" collapsed="false">
      <c r="E589" s="1" t="str">
        <f aca="false">IF($A589="","", IFERROR(INDEX(Machine_List!$B$72:$B$81, MATCH("*"&amp;$B589&amp;"*", Machine_List!$J$72:$J$81, 0)), "No FID Match"))</f>
        <v/>
      </c>
    </row>
    <row r="590" customFormat="false" ht="15" hidden="false" customHeight="true" outlineLevel="0" collapsed="false">
      <c r="E590" s="1" t="str">
        <f aca="false">IF($A590="","", IFERROR(INDEX(Machine_List!$B$72:$B$81, MATCH("*"&amp;$B590&amp;"*", Machine_List!$J$72:$J$81, 0)), "No FID Match"))</f>
        <v/>
      </c>
    </row>
    <row r="591" customFormat="false" ht="15" hidden="false" customHeight="true" outlineLevel="0" collapsed="false">
      <c r="E591" s="1" t="str">
        <f aca="false">IF($A591="","", IFERROR(INDEX(Machine_List!$B$72:$B$81, MATCH("*"&amp;$B591&amp;"*", Machine_List!$J$72:$J$81, 0)), "No FID Match"))</f>
        <v/>
      </c>
    </row>
    <row r="592" customFormat="false" ht="15" hidden="false" customHeight="true" outlineLevel="0" collapsed="false">
      <c r="E592" s="1" t="str">
        <f aca="false">IF($A592="","", IFERROR(INDEX(Machine_List!$B$72:$B$81, MATCH("*"&amp;$B592&amp;"*", Machine_List!$J$72:$J$81, 0)), "No FID Match"))</f>
        <v/>
      </c>
    </row>
    <row r="593" customFormat="false" ht="15" hidden="false" customHeight="true" outlineLevel="0" collapsed="false">
      <c r="E593" s="1" t="str">
        <f aca="false">IF($A593="","", IFERROR(INDEX(Machine_List!$B$72:$B$81, MATCH("*"&amp;$B593&amp;"*", Machine_List!$J$72:$J$81, 0)), "No FID Match"))</f>
        <v/>
      </c>
    </row>
    <row r="594" customFormat="false" ht="15" hidden="false" customHeight="true" outlineLevel="0" collapsed="false">
      <c r="E594" s="1" t="str">
        <f aca="false">IF($A594="","", IFERROR(INDEX(Machine_List!$B$72:$B$81, MATCH("*"&amp;$B594&amp;"*", Machine_List!$J$72:$J$81, 0)), "No FID Match"))</f>
        <v/>
      </c>
    </row>
    <row r="595" customFormat="false" ht="15" hidden="false" customHeight="true" outlineLevel="0" collapsed="false">
      <c r="E595" s="1" t="str">
        <f aca="false">IF($A595="","", IFERROR(INDEX(Machine_List!$B$72:$B$81, MATCH("*"&amp;$B595&amp;"*", Machine_List!$J$72:$J$81, 0)), "No FID Match"))</f>
        <v/>
      </c>
    </row>
    <row r="596" customFormat="false" ht="15" hidden="false" customHeight="true" outlineLevel="0" collapsed="false">
      <c r="E596" s="1" t="str">
        <f aca="false">IF($A596="","", IFERROR(INDEX(Machine_List!$B$72:$B$81, MATCH("*"&amp;$B596&amp;"*", Machine_List!$J$72:$J$81, 0)), "No FID Match"))</f>
        <v/>
      </c>
    </row>
    <row r="597" customFormat="false" ht="15" hidden="false" customHeight="true" outlineLevel="0" collapsed="false">
      <c r="E597" s="1" t="str">
        <f aca="false">IF($A597="","", IFERROR(INDEX(Machine_List!$B$72:$B$81, MATCH("*"&amp;$B597&amp;"*", Machine_List!$J$72:$J$81, 0)), "No FID Match"))</f>
        <v/>
      </c>
    </row>
    <row r="598" customFormat="false" ht="15" hidden="false" customHeight="true" outlineLevel="0" collapsed="false">
      <c r="E598" s="1" t="str">
        <f aca="false">IF($A598="","", IFERROR(INDEX(Machine_List!$B$72:$B$81, MATCH("*"&amp;$B598&amp;"*", Machine_List!$J$72:$J$81, 0)), "No FID Match"))</f>
        <v/>
      </c>
    </row>
    <row r="599" customFormat="false" ht="15" hidden="false" customHeight="true" outlineLevel="0" collapsed="false">
      <c r="E599" s="1" t="str">
        <f aca="false">IF($A599="","", IFERROR(INDEX(Machine_List!$B$72:$B$81, MATCH("*"&amp;$B599&amp;"*", Machine_List!$J$72:$J$81, 0)), "No FID Match"))</f>
        <v/>
      </c>
    </row>
    <row r="600" customFormat="false" ht="15" hidden="false" customHeight="true" outlineLevel="0" collapsed="false">
      <c r="E600" s="1" t="str">
        <f aca="false">IF($A600="","", IFERROR(INDEX(Machine_List!$B$72:$B$81, MATCH("*"&amp;$B600&amp;"*", Machine_List!$J$72:$J$81, 0)), "No FID Match"))</f>
        <v/>
      </c>
    </row>
    <row r="601" customFormat="false" ht="15" hidden="false" customHeight="true" outlineLevel="0" collapsed="false">
      <c r="E601" s="1" t="str">
        <f aca="false">IF($A601="","", IFERROR(INDEX(Machine_List!$B$72:$B$81, MATCH("*"&amp;$B601&amp;"*", Machine_List!$J$72:$J$81, 0)), "No FID Match"))</f>
        <v/>
      </c>
    </row>
    <row r="602" customFormat="false" ht="15" hidden="false" customHeight="true" outlineLevel="0" collapsed="false">
      <c r="E602" s="1" t="str">
        <f aca="false">IF($A602="","", IFERROR(INDEX(Machine_List!$B$72:$B$81, MATCH("*"&amp;$B602&amp;"*", Machine_List!$J$72:$J$81, 0)), "No FID Match"))</f>
        <v/>
      </c>
    </row>
    <row r="603" customFormat="false" ht="15" hidden="false" customHeight="true" outlineLevel="0" collapsed="false">
      <c r="E603" s="1" t="str">
        <f aca="false">IF($A603="","", IFERROR(INDEX(Machine_List!$B$72:$B$81, MATCH("*"&amp;$B603&amp;"*", Machine_List!$J$72:$J$81, 0)), "No FID Match"))</f>
        <v/>
      </c>
    </row>
    <row r="604" customFormat="false" ht="15" hidden="false" customHeight="true" outlineLevel="0" collapsed="false">
      <c r="E604" s="1" t="str">
        <f aca="false">IF($A604="","", IFERROR(INDEX(Machine_List!$B$72:$B$81, MATCH("*"&amp;$B604&amp;"*", Machine_List!$J$72:$J$81, 0)), "No FID Match"))</f>
        <v/>
      </c>
    </row>
    <row r="605" customFormat="false" ht="15" hidden="false" customHeight="true" outlineLevel="0" collapsed="false">
      <c r="E605" s="1" t="str">
        <f aca="false">IF($A605="","", IFERROR(INDEX(Machine_List!$B$72:$B$81, MATCH("*"&amp;$B605&amp;"*", Machine_List!$J$72:$J$81, 0)), "No FID Match"))</f>
        <v/>
      </c>
    </row>
    <row r="606" customFormat="false" ht="15" hidden="false" customHeight="true" outlineLevel="0" collapsed="false">
      <c r="E606" s="1" t="str">
        <f aca="false">IF($A606="","", IFERROR(INDEX(Machine_List!$B$72:$B$81, MATCH("*"&amp;$B606&amp;"*", Machine_List!$J$72:$J$81, 0)), "No FID Match"))</f>
        <v/>
      </c>
    </row>
    <row r="607" customFormat="false" ht="15" hidden="false" customHeight="true" outlineLevel="0" collapsed="false">
      <c r="E607" s="1" t="str">
        <f aca="false">IF($A607="","", IFERROR(INDEX(Machine_List!$B$72:$B$81, MATCH("*"&amp;$B607&amp;"*", Machine_List!$J$72:$J$81, 0)), "No FID Match"))</f>
        <v/>
      </c>
    </row>
    <row r="608" customFormat="false" ht="15" hidden="false" customHeight="true" outlineLevel="0" collapsed="false">
      <c r="E608" s="1" t="str">
        <f aca="false">IF($A608="","", IFERROR(INDEX(Machine_List!$B$72:$B$81, MATCH("*"&amp;$B608&amp;"*", Machine_List!$J$72:$J$81, 0)), "No FID Match"))</f>
        <v/>
      </c>
    </row>
    <row r="609" customFormat="false" ht="15" hidden="false" customHeight="true" outlineLevel="0" collapsed="false">
      <c r="E609" s="1" t="str">
        <f aca="false">IF($A609="","", IFERROR(INDEX(Machine_List!$B$72:$B$81, MATCH("*"&amp;$B609&amp;"*", Machine_List!$J$72:$J$81, 0)), "No FID Match"))</f>
        <v/>
      </c>
    </row>
    <row r="610" customFormat="false" ht="15" hidden="false" customHeight="true" outlineLevel="0" collapsed="false">
      <c r="E610" s="1" t="str">
        <f aca="false">IF($A610="","", IFERROR(INDEX(Machine_List!$B$72:$B$81, MATCH("*"&amp;$B610&amp;"*", Machine_List!$J$72:$J$81, 0)), "No FID Match"))</f>
        <v/>
      </c>
    </row>
    <row r="611" customFormat="false" ht="15" hidden="false" customHeight="true" outlineLevel="0" collapsed="false">
      <c r="E611" s="1" t="str">
        <f aca="false">IF($A611="","", IFERROR(INDEX(Machine_List!$B$72:$B$81, MATCH("*"&amp;$B611&amp;"*", Machine_List!$J$72:$J$81, 0)), "No FID Match"))</f>
        <v/>
      </c>
    </row>
    <row r="612" customFormat="false" ht="15" hidden="false" customHeight="true" outlineLevel="0" collapsed="false">
      <c r="E612" s="1" t="str">
        <f aca="false">IF($A612="","", IFERROR(INDEX(Machine_List!$B$72:$B$81, MATCH("*"&amp;$B612&amp;"*", Machine_List!$J$72:$J$81, 0)), "No FID Match"))</f>
        <v/>
      </c>
    </row>
    <row r="613" customFormat="false" ht="15" hidden="false" customHeight="true" outlineLevel="0" collapsed="false">
      <c r="E613" s="1" t="str">
        <f aca="false">IF($A613="","", IFERROR(INDEX(Machine_List!$B$72:$B$81, MATCH("*"&amp;$B613&amp;"*", Machine_List!$J$72:$J$81, 0)), "No FID Match"))</f>
        <v/>
      </c>
    </row>
    <row r="614" customFormat="false" ht="15" hidden="false" customHeight="true" outlineLevel="0" collapsed="false">
      <c r="E614" s="1" t="str">
        <f aca="false">IF($A614="","", IFERROR(INDEX(Machine_List!$B$72:$B$81, MATCH("*"&amp;$B614&amp;"*", Machine_List!$J$72:$J$81, 0)), "No FID Match"))</f>
        <v/>
      </c>
    </row>
    <row r="615" customFormat="false" ht="15" hidden="false" customHeight="true" outlineLevel="0" collapsed="false">
      <c r="E615" s="1" t="str">
        <f aca="false">IF($A615="","", IFERROR(INDEX(Machine_List!$B$72:$B$81, MATCH("*"&amp;$B615&amp;"*", Machine_List!$J$72:$J$81, 0)), "No FID Match"))</f>
        <v/>
      </c>
    </row>
    <row r="616" customFormat="false" ht="15" hidden="false" customHeight="true" outlineLevel="0" collapsed="false">
      <c r="E616" s="1" t="str">
        <f aca="false">IF($A616="","", IFERROR(INDEX(Machine_List!$B$72:$B$81, MATCH("*"&amp;$B616&amp;"*", Machine_List!$J$72:$J$81, 0)), "No FID Match"))</f>
        <v/>
      </c>
    </row>
    <row r="617" customFormat="false" ht="15" hidden="false" customHeight="true" outlineLevel="0" collapsed="false">
      <c r="E617" s="1" t="str">
        <f aca="false">IF($A617="","", IFERROR(INDEX(Machine_List!$B$72:$B$81, MATCH("*"&amp;$B617&amp;"*", Machine_List!$J$72:$J$81, 0)), "No FID Match"))</f>
        <v/>
      </c>
    </row>
    <row r="618" customFormat="false" ht="15" hidden="false" customHeight="true" outlineLevel="0" collapsed="false">
      <c r="E618" s="1" t="str">
        <f aca="false">IF($A618="","", IFERROR(INDEX(Machine_List!$B$72:$B$81, MATCH("*"&amp;$B618&amp;"*", Machine_List!$J$72:$J$81, 0)), "No FID Match"))</f>
        <v/>
      </c>
    </row>
    <row r="619" customFormat="false" ht="15" hidden="false" customHeight="true" outlineLevel="0" collapsed="false">
      <c r="E619" s="1" t="str">
        <f aca="false">IF($A619="","", IFERROR(INDEX(Machine_List!$B$72:$B$81, MATCH("*"&amp;$B619&amp;"*", Machine_List!$J$72:$J$81, 0)), "No FID Match"))</f>
        <v/>
      </c>
    </row>
    <row r="620" customFormat="false" ht="15" hidden="false" customHeight="true" outlineLevel="0" collapsed="false">
      <c r="E620" s="1" t="str">
        <f aca="false">IF($A620="","", IFERROR(INDEX(Machine_List!$B$72:$B$81, MATCH("*"&amp;$B620&amp;"*", Machine_List!$J$72:$J$81, 0)), "No FID Match"))</f>
        <v/>
      </c>
    </row>
    <row r="621" customFormat="false" ht="15" hidden="false" customHeight="true" outlineLevel="0" collapsed="false">
      <c r="E621" s="1" t="str">
        <f aca="false">IF($A621="","", IFERROR(INDEX(Machine_List!$B$72:$B$81, MATCH("*"&amp;$B621&amp;"*", Machine_List!$J$72:$J$81, 0)), "No FID Match"))</f>
        <v/>
      </c>
    </row>
    <row r="622" customFormat="false" ht="15" hidden="false" customHeight="true" outlineLevel="0" collapsed="false">
      <c r="E622" s="1" t="str">
        <f aca="false">IF($A622="","", IFERROR(INDEX(Machine_List!$B$72:$B$81, MATCH("*"&amp;$B622&amp;"*", Machine_List!$J$72:$J$81, 0)), "No FID Match"))</f>
        <v/>
      </c>
    </row>
    <row r="623" customFormat="false" ht="15" hidden="false" customHeight="true" outlineLevel="0" collapsed="false">
      <c r="E623" s="1" t="str">
        <f aca="false">IF($A623="","", IFERROR(INDEX(Machine_List!$B$72:$B$81, MATCH("*"&amp;$B623&amp;"*", Machine_List!$J$72:$J$81, 0)), "No FID Match"))</f>
        <v/>
      </c>
    </row>
    <row r="624" customFormat="false" ht="15" hidden="false" customHeight="true" outlineLevel="0" collapsed="false">
      <c r="E624" s="1" t="str">
        <f aca="false">IF($A624="","", IFERROR(INDEX(Machine_List!$B$72:$B$81, MATCH("*"&amp;$B624&amp;"*", Machine_List!$J$72:$J$81, 0)), "No FID Match"))</f>
        <v/>
      </c>
    </row>
    <row r="625" customFormat="false" ht="15" hidden="false" customHeight="true" outlineLevel="0" collapsed="false">
      <c r="E625" s="1" t="str">
        <f aca="false">IF($A625="","", IFERROR(INDEX(Machine_List!$B$72:$B$81, MATCH("*"&amp;$B625&amp;"*", Machine_List!$J$72:$J$81, 0)), "No FID Match"))</f>
        <v/>
      </c>
    </row>
    <row r="626" customFormat="false" ht="15" hidden="false" customHeight="true" outlineLevel="0" collapsed="false">
      <c r="E626" s="1" t="str">
        <f aca="false">IF($A626="","", IFERROR(INDEX(Machine_List!$B$72:$B$81, MATCH("*"&amp;$B626&amp;"*", Machine_List!$J$72:$J$81, 0)), "No FID Match"))</f>
        <v/>
      </c>
    </row>
    <row r="627" customFormat="false" ht="15" hidden="false" customHeight="true" outlineLevel="0" collapsed="false">
      <c r="E627" s="1" t="str">
        <f aca="false">IF($A627="","", IFERROR(INDEX(Machine_List!$B$72:$B$81, MATCH("*"&amp;$B627&amp;"*", Machine_List!$J$72:$J$81, 0)), "No FID Match"))</f>
        <v/>
      </c>
    </row>
    <row r="628" customFormat="false" ht="15" hidden="false" customHeight="true" outlineLevel="0" collapsed="false">
      <c r="E628" s="1" t="str">
        <f aca="false">IF($A628="","", IFERROR(INDEX(Machine_List!$B$72:$B$81, MATCH("*"&amp;$B628&amp;"*", Machine_List!$J$72:$J$81, 0)), "No FID Match"))</f>
        <v/>
      </c>
    </row>
    <row r="629" customFormat="false" ht="15" hidden="false" customHeight="true" outlineLevel="0" collapsed="false">
      <c r="E629" s="1" t="str">
        <f aca="false">IF($A629="","", IFERROR(INDEX(Machine_List!$B$72:$B$81, MATCH("*"&amp;$B629&amp;"*", Machine_List!$J$72:$J$81, 0)), "No FID Match"))</f>
        <v/>
      </c>
    </row>
    <row r="630" customFormat="false" ht="15" hidden="false" customHeight="true" outlineLevel="0" collapsed="false">
      <c r="E630" s="1" t="str">
        <f aca="false">IF($A630="","", IFERROR(INDEX(Machine_List!$B$72:$B$81, MATCH("*"&amp;$B630&amp;"*", Machine_List!$J$72:$J$81, 0)), "No FID Match"))</f>
        <v/>
      </c>
    </row>
    <row r="631" customFormat="false" ht="15" hidden="false" customHeight="true" outlineLevel="0" collapsed="false">
      <c r="E631" s="1" t="str">
        <f aca="false">IF($A631="","", IFERROR(INDEX(Machine_List!$B$72:$B$81, MATCH("*"&amp;$B631&amp;"*", Machine_List!$J$72:$J$81, 0)), "No FID Match"))</f>
        <v/>
      </c>
    </row>
    <row r="632" customFormat="false" ht="15" hidden="false" customHeight="true" outlineLevel="0" collapsed="false">
      <c r="E632" s="1" t="str">
        <f aca="false">IF($A632="","", IFERROR(INDEX(Machine_List!$B$72:$B$81, MATCH("*"&amp;$B632&amp;"*", Machine_List!$J$72:$J$81, 0)), "No FID Match"))</f>
        <v/>
      </c>
    </row>
    <row r="633" customFormat="false" ht="15" hidden="false" customHeight="true" outlineLevel="0" collapsed="false">
      <c r="E633" s="1" t="str">
        <f aca="false">IF($A633="","", IFERROR(INDEX(Machine_List!$B$72:$B$81, MATCH("*"&amp;$B633&amp;"*", Machine_List!$J$72:$J$81, 0)), "No FID Match"))</f>
        <v/>
      </c>
    </row>
    <row r="634" customFormat="false" ht="15" hidden="false" customHeight="true" outlineLevel="0" collapsed="false">
      <c r="E634" s="1" t="str">
        <f aca="false">IF($A634="","", IFERROR(INDEX(Machine_List!$B$72:$B$81, MATCH("*"&amp;$B634&amp;"*", Machine_List!$J$72:$J$81, 0)), "No FID Match"))</f>
        <v/>
      </c>
    </row>
    <row r="635" customFormat="false" ht="15" hidden="false" customHeight="true" outlineLevel="0" collapsed="false">
      <c r="E635" s="1" t="str">
        <f aca="false">IF($A635="","", IFERROR(INDEX(Machine_List!$B$72:$B$81, MATCH("*"&amp;$B635&amp;"*", Machine_List!$J$72:$J$81, 0)), "No FID Match"))</f>
        <v/>
      </c>
    </row>
    <row r="636" customFormat="false" ht="15" hidden="false" customHeight="true" outlineLevel="0" collapsed="false">
      <c r="E636" s="1" t="str">
        <f aca="false">IF($A636="","", IFERROR(INDEX(Machine_List!$B$72:$B$81, MATCH("*"&amp;$B636&amp;"*", Machine_List!$J$72:$J$81, 0)), "No FID Match"))</f>
        <v/>
      </c>
    </row>
    <row r="637" customFormat="false" ht="15" hidden="false" customHeight="true" outlineLevel="0" collapsed="false">
      <c r="E637" s="1" t="str">
        <f aca="false">IF($A637="","", IFERROR(INDEX(Machine_List!$B$72:$B$81, MATCH("*"&amp;$B637&amp;"*", Machine_List!$J$72:$J$81, 0)), "No FID Match"))</f>
        <v/>
      </c>
    </row>
    <row r="638" customFormat="false" ht="15" hidden="false" customHeight="true" outlineLevel="0" collapsed="false">
      <c r="E638" s="1" t="str">
        <f aca="false">IF($A638="","", IFERROR(INDEX(Machine_List!$B$72:$B$81, MATCH("*"&amp;$B638&amp;"*", Machine_List!$J$72:$J$81, 0)), "No FID Match"))</f>
        <v/>
      </c>
    </row>
    <row r="639" customFormat="false" ht="15" hidden="false" customHeight="true" outlineLevel="0" collapsed="false">
      <c r="E639" s="1" t="str">
        <f aca="false">IF($A639="","", IFERROR(INDEX(Machine_List!$B$72:$B$81, MATCH("*"&amp;$B639&amp;"*", Machine_List!$J$72:$J$81, 0)), "No FID Match"))</f>
        <v/>
      </c>
    </row>
    <row r="640" customFormat="false" ht="15" hidden="false" customHeight="true" outlineLevel="0" collapsed="false">
      <c r="E640" s="1" t="str">
        <f aca="false">IF($A640="","", IFERROR(INDEX(Machine_List!$B$72:$B$81, MATCH("*"&amp;$B640&amp;"*", Machine_List!$J$72:$J$81, 0)), "No FID Match"))</f>
        <v/>
      </c>
    </row>
    <row r="641" customFormat="false" ht="15" hidden="false" customHeight="true" outlineLevel="0" collapsed="false">
      <c r="E641" s="1" t="str">
        <f aca="false">IF($A641="","", IFERROR(INDEX(Machine_List!$B$72:$B$81, MATCH("*"&amp;$B641&amp;"*", Machine_List!$J$72:$J$81, 0)), "No FID Match"))</f>
        <v/>
      </c>
    </row>
    <row r="642" customFormat="false" ht="15" hidden="false" customHeight="true" outlineLevel="0" collapsed="false">
      <c r="E642" s="1" t="str">
        <f aca="false">IF($A642="","", IFERROR(INDEX(Machine_List!$B$72:$B$81, MATCH("*"&amp;$B642&amp;"*", Machine_List!$J$72:$J$81, 0)), "No FID Match"))</f>
        <v/>
      </c>
    </row>
    <row r="643" customFormat="false" ht="15" hidden="false" customHeight="true" outlineLevel="0" collapsed="false">
      <c r="E643" s="1" t="str">
        <f aca="false">IF($A643="","", IFERROR(INDEX(Machine_List!$B$72:$B$81, MATCH("*"&amp;$B643&amp;"*", Machine_List!$J$72:$J$81, 0)), "No FID Match"))</f>
        <v/>
      </c>
    </row>
    <row r="644" customFormat="false" ht="15" hidden="false" customHeight="true" outlineLevel="0" collapsed="false">
      <c r="E644" s="1" t="str">
        <f aca="false">IF($A644="","", IFERROR(INDEX(Machine_List!$B$72:$B$81, MATCH("*"&amp;$B644&amp;"*", Machine_List!$J$72:$J$81, 0)), "No FID Match"))</f>
        <v/>
      </c>
    </row>
    <row r="645" customFormat="false" ht="15" hidden="false" customHeight="true" outlineLevel="0" collapsed="false">
      <c r="E645" s="1" t="str">
        <f aca="false">IF($A645="","", IFERROR(INDEX(Machine_List!$B$72:$B$81, MATCH("*"&amp;$B645&amp;"*", Machine_List!$J$72:$J$81, 0)), "No FID Match"))</f>
        <v/>
      </c>
    </row>
    <row r="646" customFormat="false" ht="15" hidden="false" customHeight="true" outlineLevel="0" collapsed="false">
      <c r="E646" s="1" t="str">
        <f aca="false">IF($A646="","", IFERROR(INDEX(Machine_List!$B$72:$B$81, MATCH("*"&amp;$B646&amp;"*", Machine_List!$J$72:$J$81, 0)), "No FID Match"))</f>
        <v/>
      </c>
    </row>
    <row r="647" customFormat="false" ht="15" hidden="false" customHeight="true" outlineLevel="0" collapsed="false">
      <c r="E647" s="1" t="str">
        <f aca="false">IF($A647="","", IFERROR(INDEX(Machine_List!$B$72:$B$81, MATCH("*"&amp;$B647&amp;"*", Machine_List!$J$72:$J$81, 0)), "No FID Match"))</f>
        <v/>
      </c>
    </row>
    <row r="648" customFormat="false" ht="15" hidden="false" customHeight="true" outlineLevel="0" collapsed="false">
      <c r="E648" s="1" t="str">
        <f aca="false">IF($A648="","", IFERROR(INDEX(Machine_List!$B$72:$B$81, MATCH("*"&amp;$B648&amp;"*", Machine_List!$J$72:$J$81, 0)), "No FID Match"))</f>
        <v/>
      </c>
    </row>
    <row r="649" customFormat="false" ht="15" hidden="false" customHeight="true" outlineLevel="0" collapsed="false">
      <c r="E649" s="1" t="str">
        <f aca="false">IF($A649="","", IFERROR(INDEX(Machine_List!$B$72:$B$81, MATCH("*"&amp;$B649&amp;"*", Machine_List!$J$72:$J$81, 0)), "No FID Match"))</f>
        <v/>
      </c>
    </row>
    <row r="650" customFormat="false" ht="15" hidden="false" customHeight="true" outlineLevel="0" collapsed="false">
      <c r="E650" s="1" t="str">
        <f aca="false">IF($A650="","", IFERROR(INDEX(Machine_List!$B$72:$B$81, MATCH("*"&amp;$B650&amp;"*", Machine_List!$J$72:$J$81, 0)), "No FID Match"))</f>
        <v/>
      </c>
    </row>
    <row r="651" customFormat="false" ht="15" hidden="false" customHeight="true" outlineLevel="0" collapsed="false">
      <c r="E651" s="1" t="str">
        <f aca="false">IF($A651="","", IFERROR(INDEX(Machine_List!$B$72:$B$81, MATCH("*"&amp;$B651&amp;"*", Machine_List!$J$72:$J$81, 0)), "No FID Match"))</f>
        <v/>
      </c>
    </row>
    <row r="652" customFormat="false" ht="15" hidden="false" customHeight="true" outlineLevel="0" collapsed="false">
      <c r="E652" s="1" t="str">
        <f aca="false">IF($A652="","", IFERROR(INDEX(Machine_List!$B$72:$B$81, MATCH("*"&amp;$B652&amp;"*", Machine_List!$J$72:$J$81, 0)), "No FID Match"))</f>
        <v/>
      </c>
    </row>
    <row r="653" customFormat="false" ht="15" hidden="false" customHeight="true" outlineLevel="0" collapsed="false">
      <c r="E653" s="1" t="str">
        <f aca="false">IF($A653="","", IFERROR(INDEX(Machine_List!$B$72:$B$81, MATCH("*"&amp;$B653&amp;"*", Machine_List!$J$72:$J$81, 0)), "No FID Match"))</f>
        <v/>
      </c>
    </row>
    <row r="654" customFormat="false" ht="15" hidden="false" customHeight="true" outlineLevel="0" collapsed="false">
      <c r="E654" s="1" t="str">
        <f aca="false">IF($A654="","", IFERROR(INDEX(Machine_List!$B$72:$B$81, MATCH("*"&amp;$B654&amp;"*", Machine_List!$J$72:$J$81, 0)), "No FID Match"))</f>
        <v/>
      </c>
    </row>
    <row r="655" customFormat="false" ht="15" hidden="false" customHeight="true" outlineLevel="0" collapsed="false">
      <c r="E655" s="1" t="str">
        <f aca="false">IF($A655="","", IFERROR(INDEX(Machine_List!$B$72:$B$81, MATCH("*"&amp;$B655&amp;"*", Machine_List!$J$72:$J$81, 0)), "No FID Match"))</f>
        <v/>
      </c>
    </row>
    <row r="656" customFormat="false" ht="15" hidden="false" customHeight="true" outlineLevel="0" collapsed="false">
      <c r="E656" s="1" t="str">
        <f aca="false">IF($A656="","", IFERROR(INDEX(Machine_List!$B$72:$B$81, MATCH("*"&amp;$B656&amp;"*", Machine_List!$J$72:$J$81, 0)), "No FID Match"))</f>
        <v/>
      </c>
    </row>
    <row r="657" customFormat="false" ht="15" hidden="false" customHeight="true" outlineLevel="0" collapsed="false">
      <c r="E657" s="1" t="str">
        <f aca="false">IF($A657="","", IFERROR(INDEX(Machine_List!$B$72:$B$81, MATCH("*"&amp;$B657&amp;"*", Machine_List!$J$72:$J$81, 0)), "No FID Match"))</f>
        <v/>
      </c>
    </row>
    <row r="658" customFormat="false" ht="15" hidden="false" customHeight="true" outlineLevel="0" collapsed="false">
      <c r="E658" s="1" t="str">
        <f aca="false">IF($A658="","", IFERROR(INDEX(Machine_List!$B$72:$B$81, MATCH("*"&amp;$B658&amp;"*", Machine_List!$J$72:$J$81, 0)), "No FID Match"))</f>
        <v/>
      </c>
    </row>
    <row r="659" customFormat="false" ht="15" hidden="false" customHeight="true" outlineLevel="0" collapsed="false">
      <c r="E659" s="1" t="str">
        <f aca="false">IF($A659="","", IFERROR(INDEX(Machine_List!$B$72:$B$81, MATCH("*"&amp;$B659&amp;"*", Machine_List!$J$72:$J$81, 0)), "No FID Match"))</f>
        <v/>
      </c>
    </row>
    <row r="660" customFormat="false" ht="15" hidden="false" customHeight="true" outlineLevel="0" collapsed="false">
      <c r="E660" s="1" t="str">
        <f aca="false">IF($A660="","", IFERROR(INDEX(Machine_List!$B$72:$B$81, MATCH("*"&amp;$B660&amp;"*", Machine_List!$J$72:$J$81, 0)), "No FID Match"))</f>
        <v/>
      </c>
    </row>
    <row r="661" customFormat="false" ht="15" hidden="false" customHeight="true" outlineLevel="0" collapsed="false">
      <c r="E661" s="1" t="str">
        <f aca="false">IF($A661="","", IFERROR(INDEX(Machine_List!$B$72:$B$81, MATCH("*"&amp;$B661&amp;"*", Machine_List!$J$72:$J$81, 0)), "No FID Match"))</f>
        <v/>
      </c>
    </row>
    <row r="662" customFormat="false" ht="15" hidden="false" customHeight="true" outlineLevel="0" collapsed="false">
      <c r="E662" s="1" t="str">
        <f aca="false">IF($A662="","", IFERROR(INDEX(Machine_List!$B$72:$B$81, MATCH("*"&amp;$B662&amp;"*", Machine_List!$J$72:$J$81, 0)), "No FID Match"))</f>
        <v/>
      </c>
    </row>
    <row r="663" customFormat="false" ht="15" hidden="false" customHeight="true" outlineLevel="0" collapsed="false">
      <c r="E663" s="1" t="str">
        <f aca="false">IF($A663="","", IFERROR(INDEX(Machine_List!$B$72:$B$81, MATCH("*"&amp;$B663&amp;"*", Machine_List!$J$72:$J$81, 0)), "No FID Match"))</f>
        <v/>
      </c>
    </row>
    <row r="664" customFormat="false" ht="15" hidden="false" customHeight="true" outlineLevel="0" collapsed="false">
      <c r="E664" s="1" t="str">
        <f aca="false">IF($A664="","", IFERROR(INDEX(Machine_List!$B$72:$B$81, MATCH("*"&amp;$B664&amp;"*", Machine_List!$J$72:$J$81, 0)), "No FID Match"))</f>
        <v/>
      </c>
    </row>
    <row r="665" customFormat="false" ht="15" hidden="false" customHeight="true" outlineLevel="0" collapsed="false">
      <c r="E665" s="1" t="str">
        <f aca="false">IF($A665="","", IFERROR(INDEX(Machine_List!$B$72:$B$81, MATCH("*"&amp;$B665&amp;"*", Machine_List!$J$72:$J$81, 0)), "No FID Match"))</f>
        <v/>
      </c>
    </row>
    <row r="666" customFormat="false" ht="15" hidden="false" customHeight="true" outlineLevel="0" collapsed="false">
      <c r="E666" s="1" t="str">
        <f aca="false">IF($A666="","", IFERROR(INDEX(Machine_List!$B$72:$B$81, MATCH("*"&amp;$B666&amp;"*", Machine_List!$J$72:$J$81, 0)), "No FID Match"))</f>
        <v/>
      </c>
    </row>
    <row r="667" customFormat="false" ht="15" hidden="false" customHeight="true" outlineLevel="0" collapsed="false">
      <c r="E667" s="1" t="str">
        <f aca="false">IF($A667="","", IFERROR(INDEX(Machine_List!$B$72:$B$81, MATCH("*"&amp;$B667&amp;"*", Machine_List!$J$72:$J$81, 0)), "No FID Match"))</f>
        <v/>
      </c>
    </row>
    <row r="668" customFormat="false" ht="15" hidden="false" customHeight="true" outlineLevel="0" collapsed="false">
      <c r="E668" s="1" t="str">
        <f aca="false">IF($A668="","", IFERROR(INDEX(Machine_List!$B$72:$B$81, MATCH("*"&amp;$B668&amp;"*", Machine_List!$J$72:$J$81, 0)), "No FID Match"))</f>
        <v/>
      </c>
    </row>
    <row r="669" customFormat="false" ht="15" hidden="false" customHeight="true" outlineLevel="0" collapsed="false">
      <c r="E669" s="1" t="str">
        <f aca="false">IF($A669="","", IFERROR(INDEX(Machine_List!$B$72:$B$81, MATCH("*"&amp;$B669&amp;"*", Machine_List!$J$72:$J$81, 0)), "No FID Match"))</f>
        <v/>
      </c>
    </row>
    <row r="670" customFormat="false" ht="15" hidden="false" customHeight="true" outlineLevel="0" collapsed="false">
      <c r="E670" s="1" t="str">
        <f aca="false">IF($A670="","", IFERROR(INDEX(Machine_List!$B$72:$B$81, MATCH("*"&amp;$B670&amp;"*", Machine_List!$J$72:$J$81, 0)), "No FID Match"))</f>
        <v/>
      </c>
    </row>
    <row r="671" customFormat="false" ht="15" hidden="false" customHeight="true" outlineLevel="0" collapsed="false">
      <c r="E671" s="1" t="str">
        <f aca="false">IF($A671="","", IFERROR(INDEX(Machine_List!$B$72:$B$81, MATCH("*"&amp;$B671&amp;"*", Machine_List!$J$72:$J$81, 0)), "No FID Match"))</f>
        <v/>
      </c>
    </row>
    <row r="672" customFormat="false" ht="15" hidden="false" customHeight="true" outlineLevel="0" collapsed="false">
      <c r="E672" s="1" t="str">
        <f aca="false">IF($A672="","", IFERROR(INDEX(Machine_List!$B$72:$B$81, MATCH("*"&amp;$B672&amp;"*", Machine_List!$J$72:$J$81, 0)), "No FID Match"))</f>
        <v/>
      </c>
    </row>
    <row r="673" customFormat="false" ht="15" hidden="false" customHeight="true" outlineLevel="0" collapsed="false">
      <c r="E673" s="1" t="str">
        <f aca="false">IF($A673="","", IFERROR(INDEX(Machine_List!$B$72:$B$81, MATCH("*"&amp;$B673&amp;"*", Machine_List!$J$72:$J$81, 0)), "No FID Match"))</f>
        <v/>
      </c>
    </row>
    <row r="674" customFormat="false" ht="15" hidden="false" customHeight="true" outlineLevel="0" collapsed="false">
      <c r="E674" s="1" t="str">
        <f aca="false">IF($A674="","", IFERROR(INDEX(Machine_List!$B$72:$B$81, MATCH("*"&amp;$B674&amp;"*", Machine_List!$J$72:$J$81, 0)), "No FID Match"))</f>
        <v/>
      </c>
    </row>
    <row r="675" customFormat="false" ht="15" hidden="false" customHeight="true" outlineLevel="0" collapsed="false">
      <c r="E675" s="1" t="str">
        <f aca="false">IF($A675="","", IFERROR(INDEX(Machine_List!$B$72:$B$81, MATCH("*"&amp;$B675&amp;"*", Machine_List!$J$72:$J$81, 0)), "No FID Match"))</f>
        <v/>
      </c>
    </row>
    <row r="676" customFormat="false" ht="15" hidden="false" customHeight="true" outlineLevel="0" collapsed="false">
      <c r="E676" s="1" t="str">
        <f aca="false">IF($A676="","", IFERROR(INDEX(Machine_List!$B$72:$B$81, MATCH("*"&amp;$B676&amp;"*", Machine_List!$J$72:$J$81, 0)), "No FID Match"))</f>
        <v/>
      </c>
    </row>
    <row r="677" customFormat="false" ht="15" hidden="false" customHeight="true" outlineLevel="0" collapsed="false">
      <c r="E677" s="1" t="str">
        <f aca="false">IF($A677="","", IFERROR(INDEX(Machine_List!$B$72:$B$81, MATCH("*"&amp;$B677&amp;"*", Machine_List!$J$72:$J$81, 0)), "No FID Match"))</f>
        <v/>
      </c>
    </row>
    <row r="678" customFormat="false" ht="15" hidden="false" customHeight="true" outlineLevel="0" collapsed="false">
      <c r="E678" s="1" t="str">
        <f aca="false">IF($A678="","", IFERROR(INDEX(Machine_List!$B$72:$B$81, MATCH("*"&amp;$B678&amp;"*", Machine_List!$J$72:$J$81, 0)), "No FID Match"))</f>
        <v/>
      </c>
    </row>
    <row r="679" customFormat="false" ht="15" hidden="false" customHeight="true" outlineLevel="0" collapsed="false">
      <c r="E679" s="1" t="str">
        <f aca="false">IF($A679="","", IFERROR(INDEX(Machine_List!$B$72:$B$81, MATCH("*"&amp;$B679&amp;"*", Machine_List!$J$72:$J$81, 0)), "No FID Match"))</f>
        <v/>
      </c>
    </row>
    <row r="680" customFormat="false" ht="15" hidden="false" customHeight="true" outlineLevel="0" collapsed="false">
      <c r="E680" s="1" t="str">
        <f aca="false">IF($A680="","", IFERROR(INDEX(Machine_List!$B$72:$B$81, MATCH("*"&amp;$B680&amp;"*", Machine_List!$J$72:$J$81, 0)), "No FID Match"))</f>
        <v/>
      </c>
    </row>
    <row r="681" customFormat="false" ht="15" hidden="false" customHeight="true" outlineLevel="0" collapsed="false">
      <c r="E681" s="1" t="str">
        <f aca="false">IF($A681="","", IFERROR(INDEX(Machine_List!$B$72:$B$81, MATCH("*"&amp;$B681&amp;"*", Machine_List!$J$72:$J$81, 0)), "No FID Match"))</f>
        <v/>
      </c>
    </row>
    <row r="682" customFormat="false" ht="15" hidden="false" customHeight="true" outlineLevel="0" collapsed="false">
      <c r="E682" s="1" t="str">
        <f aca="false">IF($A682="","", IFERROR(INDEX(Machine_List!$B$72:$B$81, MATCH("*"&amp;$B682&amp;"*", Machine_List!$J$72:$J$81, 0)), "No FID Match"))</f>
        <v/>
      </c>
    </row>
    <row r="683" customFormat="false" ht="15" hidden="false" customHeight="true" outlineLevel="0" collapsed="false">
      <c r="E683" s="1" t="str">
        <f aca="false">IF($A683="","", IFERROR(INDEX(Machine_List!$B$72:$B$81, MATCH("*"&amp;$B683&amp;"*", Machine_List!$J$72:$J$81, 0)), "No FID Match"))</f>
        <v/>
      </c>
    </row>
    <row r="684" customFormat="false" ht="15" hidden="false" customHeight="true" outlineLevel="0" collapsed="false">
      <c r="E684" s="1" t="str">
        <f aca="false">IF($A684="","", IFERROR(INDEX(Machine_List!$B$72:$B$81, MATCH("*"&amp;$B684&amp;"*", Machine_List!$J$72:$J$81, 0)), "No FID Match"))</f>
        <v/>
      </c>
    </row>
    <row r="685" customFormat="false" ht="15" hidden="false" customHeight="true" outlineLevel="0" collapsed="false">
      <c r="E685" s="1" t="str">
        <f aca="false">IF($A685="","", IFERROR(INDEX(Machine_List!$B$72:$B$81, MATCH("*"&amp;$B685&amp;"*", Machine_List!$J$72:$J$81, 0)), "No FID Match"))</f>
        <v/>
      </c>
    </row>
    <row r="686" customFormat="false" ht="15" hidden="false" customHeight="true" outlineLevel="0" collapsed="false">
      <c r="E686" s="1" t="str">
        <f aca="false">IF($A686="","", IFERROR(INDEX(Machine_List!$B$72:$B$81, MATCH("*"&amp;$B686&amp;"*", Machine_List!$J$72:$J$81, 0)), "No FID Match"))</f>
        <v/>
      </c>
    </row>
    <row r="687" customFormat="false" ht="15" hidden="false" customHeight="true" outlineLevel="0" collapsed="false">
      <c r="E687" s="1" t="str">
        <f aca="false">IF($A687="","", IFERROR(INDEX(Machine_List!$B$72:$B$81, MATCH("*"&amp;$B687&amp;"*", Machine_List!$J$72:$J$81, 0)), "No FID Match"))</f>
        <v/>
      </c>
    </row>
    <row r="688" customFormat="false" ht="15" hidden="false" customHeight="true" outlineLevel="0" collapsed="false">
      <c r="E688" s="1" t="str">
        <f aca="false">IF($A688="","", IFERROR(INDEX(Machine_List!$B$72:$B$81, MATCH("*"&amp;$B688&amp;"*", Machine_List!$J$72:$J$81, 0)), "No FID Match"))</f>
        <v/>
      </c>
    </row>
    <row r="689" customFormat="false" ht="15" hidden="false" customHeight="true" outlineLevel="0" collapsed="false">
      <c r="E689" s="1" t="str">
        <f aca="false">IF($A689="","", IFERROR(INDEX(Machine_List!$B$72:$B$81, MATCH("*"&amp;$B689&amp;"*", Machine_List!$J$72:$J$81, 0)), "No FID Match"))</f>
        <v/>
      </c>
    </row>
    <row r="690" customFormat="false" ht="15" hidden="false" customHeight="true" outlineLevel="0" collapsed="false">
      <c r="E690" s="1" t="str">
        <f aca="false">IF($A690="","", IFERROR(INDEX(Machine_List!$B$72:$B$81, MATCH("*"&amp;$B690&amp;"*", Machine_List!$J$72:$J$81, 0)), "No FID Match"))</f>
        <v/>
      </c>
    </row>
    <row r="691" customFormat="false" ht="15" hidden="false" customHeight="true" outlineLevel="0" collapsed="false">
      <c r="E691" s="1" t="str">
        <f aca="false">IF($A691="","", IFERROR(INDEX(Machine_List!$B$72:$B$81, MATCH("*"&amp;$B691&amp;"*", Machine_List!$J$72:$J$81, 0)), "No FID Match"))</f>
        <v/>
      </c>
    </row>
    <row r="692" customFormat="false" ht="15" hidden="false" customHeight="true" outlineLevel="0" collapsed="false">
      <c r="E692" s="1" t="str">
        <f aca="false">IF($A692="","", IFERROR(INDEX(Machine_List!$B$72:$B$81, MATCH("*"&amp;$B692&amp;"*", Machine_List!$J$72:$J$81, 0)), "No FID Match"))</f>
        <v/>
      </c>
    </row>
    <row r="693" customFormat="false" ht="15" hidden="false" customHeight="true" outlineLevel="0" collapsed="false">
      <c r="E693" s="1" t="str">
        <f aca="false">IF($A693="","", IFERROR(INDEX(Machine_List!$B$72:$B$81, MATCH("*"&amp;$B693&amp;"*", Machine_List!$J$72:$J$81, 0)), "No FID Match"))</f>
        <v/>
      </c>
    </row>
    <row r="694" customFormat="false" ht="15" hidden="false" customHeight="true" outlineLevel="0" collapsed="false">
      <c r="E694" s="1" t="str">
        <f aca="false">IF($A694="","", IFERROR(INDEX(Machine_List!$B$72:$B$81, MATCH("*"&amp;$B694&amp;"*", Machine_List!$J$72:$J$81, 0)), "No FID Match"))</f>
        <v/>
      </c>
    </row>
    <row r="695" customFormat="false" ht="15" hidden="false" customHeight="true" outlineLevel="0" collapsed="false">
      <c r="E695" s="1" t="str">
        <f aca="false">IF($A695="","", IFERROR(INDEX(Machine_List!$B$72:$B$81, MATCH("*"&amp;$B695&amp;"*", Machine_List!$J$72:$J$81, 0)), "No FID Match"))</f>
        <v/>
      </c>
    </row>
    <row r="696" customFormat="false" ht="15" hidden="false" customHeight="true" outlineLevel="0" collapsed="false">
      <c r="E696" s="1" t="str">
        <f aca="false">IF($A696="","", IFERROR(INDEX(Machine_List!$B$72:$B$81, MATCH("*"&amp;$B696&amp;"*", Machine_List!$J$72:$J$81, 0)), "No FID Match"))</f>
        <v/>
      </c>
    </row>
    <row r="697" customFormat="false" ht="15" hidden="false" customHeight="true" outlineLevel="0" collapsed="false">
      <c r="E697" s="1" t="str">
        <f aca="false">IF($A697="","", IFERROR(INDEX(Machine_List!$B$72:$B$81, MATCH("*"&amp;$B697&amp;"*", Machine_List!$J$72:$J$81, 0)), "No FID Match"))</f>
        <v/>
      </c>
    </row>
    <row r="698" customFormat="false" ht="15" hidden="false" customHeight="true" outlineLevel="0" collapsed="false">
      <c r="E698" s="1" t="str">
        <f aca="false">IF($A698="","", IFERROR(INDEX(Machine_List!$B$72:$B$81, MATCH("*"&amp;$B698&amp;"*", Machine_List!$J$72:$J$81, 0)), "No FID Match"))</f>
        <v/>
      </c>
    </row>
    <row r="699" customFormat="false" ht="15" hidden="false" customHeight="true" outlineLevel="0" collapsed="false">
      <c r="E699" s="1" t="str">
        <f aca="false">IF($A699="","", IFERROR(INDEX(Machine_List!$B$72:$B$81, MATCH("*"&amp;$B699&amp;"*", Machine_List!$J$72:$J$81, 0)), "No FID Match"))</f>
        <v/>
      </c>
    </row>
    <row r="700" customFormat="false" ht="15" hidden="false" customHeight="true" outlineLevel="0" collapsed="false">
      <c r="E700" s="1" t="str">
        <f aca="false">IF($A700="","", IFERROR(INDEX(Machine_List!$B$72:$B$81, MATCH("*"&amp;$B700&amp;"*", Machine_List!$J$72:$J$81, 0)), "No FID Match"))</f>
        <v/>
      </c>
    </row>
    <row r="701" customFormat="false" ht="15" hidden="false" customHeight="true" outlineLevel="0" collapsed="false">
      <c r="E701" s="1" t="str">
        <f aca="false">IF($A701="","", IFERROR(INDEX(Machine_List!$B$72:$B$81, MATCH("*"&amp;$B701&amp;"*", Machine_List!$J$72:$J$81, 0)), "No FID Match"))</f>
        <v/>
      </c>
    </row>
    <row r="702" customFormat="false" ht="15" hidden="false" customHeight="true" outlineLevel="0" collapsed="false">
      <c r="E702" s="1" t="str">
        <f aca="false">IF($A702="","", IFERROR(INDEX(Machine_List!$B$72:$B$81, MATCH("*"&amp;$B702&amp;"*", Machine_List!$J$72:$J$81, 0)), "No FID Match"))</f>
        <v/>
      </c>
    </row>
    <row r="703" customFormat="false" ht="15" hidden="false" customHeight="true" outlineLevel="0" collapsed="false">
      <c r="E703" s="1" t="str">
        <f aca="false">IF($A703="","", IFERROR(INDEX(Machine_List!$B$72:$B$81, MATCH("*"&amp;$B703&amp;"*", Machine_List!$J$72:$J$81, 0)), "No FID Match"))</f>
        <v/>
      </c>
    </row>
    <row r="704" customFormat="false" ht="15" hidden="false" customHeight="true" outlineLevel="0" collapsed="false">
      <c r="E704" s="1" t="str">
        <f aca="false">IF($A704="","", IFERROR(INDEX(Machine_List!$B$72:$B$81, MATCH("*"&amp;$B704&amp;"*", Machine_List!$J$72:$J$81, 0)), "No FID Match"))</f>
        <v/>
      </c>
    </row>
    <row r="705" customFormat="false" ht="15" hidden="false" customHeight="true" outlineLevel="0" collapsed="false">
      <c r="E705" s="1" t="str">
        <f aca="false">IF($A705="","", IFERROR(INDEX(Machine_List!$B$72:$B$81, MATCH("*"&amp;$B705&amp;"*", Machine_List!$J$72:$J$81, 0)), "No FID Match"))</f>
        <v/>
      </c>
    </row>
    <row r="706" customFormat="false" ht="15" hidden="false" customHeight="true" outlineLevel="0" collapsed="false">
      <c r="E706" s="1" t="str">
        <f aca="false">IF($A706="","", IFERROR(INDEX(Machine_List!$B$72:$B$81, MATCH("*"&amp;$B706&amp;"*", Machine_List!$J$72:$J$81, 0)), "No FID Match"))</f>
        <v/>
      </c>
    </row>
    <row r="707" customFormat="false" ht="15" hidden="false" customHeight="true" outlineLevel="0" collapsed="false">
      <c r="E707" s="1" t="str">
        <f aca="false">IF($A707="","", IFERROR(INDEX(Machine_List!$B$72:$B$81, MATCH("*"&amp;$B707&amp;"*", Machine_List!$J$72:$J$81, 0)), "No FID Match"))</f>
        <v/>
      </c>
    </row>
    <row r="708" customFormat="false" ht="15" hidden="false" customHeight="true" outlineLevel="0" collapsed="false">
      <c r="E708" s="1" t="str">
        <f aca="false">IF($A708="","", IFERROR(INDEX(Machine_List!$B$72:$B$81, MATCH("*"&amp;$B708&amp;"*", Machine_List!$J$72:$J$81, 0)), "No FID Match"))</f>
        <v/>
      </c>
    </row>
    <row r="709" customFormat="false" ht="15" hidden="false" customHeight="true" outlineLevel="0" collapsed="false">
      <c r="E709" s="1" t="str">
        <f aca="false">IF($A709="","", IFERROR(INDEX(Machine_List!$B$72:$B$81, MATCH("*"&amp;$B709&amp;"*", Machine_List!$J$72:$J$81, 0)), "No FID Match"))</f>
        <v/>
      </c>
    </row>
    <row r="710" customFormat="false" ht="15" hidden="false" customHeight="true" outlineLevel="0" collapsed="false">
      <c r="E710" s="1" t="str">
        <f aca="false">IF($A710="","", IFERROR(INDEX(Machine_List!$B$72:$B$81, MATCH("*"&amp;$B710&amp;"*", Machine_List!$J$72:$J$81, 0)), "No FID Match"))</f>
        <v/>
      </c>
    </row>
    <row r="711" customFormat="false" ht="15" hidden="false" customHeight="true" outlineLevel="0" collapsed="false">
      <c r="E711" s="1" t="str">
        <f aca="false">IF($A711="","", IFERROR(INDEX(Machine_List!$B$72:$B$81, MATCH("*"&amp;$B711&amp;"*", Machine_List!$J$72:$J$81, 0)), "No FID Match"))</f>
        <v/>
      </c>
    </row>
    <row r="712" customFormat="false" ht="15" hidden="false" customHeight="true" outlineLevel="0" collapsed="false">
      <c r="E712" s="1" t="str">
        <f aca="false">IF($A712="","", IFERROR(INDEX(Machine_List!$B$72:$B$81, MATCH("*"&amp;$B712&amp;"*", Machine_List!$J$72:$J$81, 0)), "No FID Match"))</f>
        <v/>
      </c>
    </row>
    <row r="713" customFormat="false" ht="15" hidden="false" customHeight="true" outlineLevel="0" collapsed="false">
      <c r="E713" s="1" t="str">
        <f aca="false">IF($A713="","", IFERROR(INDEX(Machine_List!$B$72:$B$81, MATCH("*"&amp;$B713&amp;"*", Machine_List!$J$72:$J$81, 0)), "No FID Match"))</f>
        <v/>
      </c>
    </row>
    <row r="714" customFormat="false" ht="15" hidden="false" customHeight="true" outlineLevel="0" collapsed="false">
      <c r="E714" s="1" t="str">
        <f aca="false">IF($A714="","", IFERROR(INDEX(Machine_List!$B$72:$B$81, MATCH("*"&amp;$B714&amp;"*", Machine_List!$J$72:$J$81, 0)), "No FID Match"))</f>
        <v/>
      </c>
    </row>
    <row r="715" customFormat="false" ht="15" hidden="false" customHeight="true" outlineLevel="0" collapsed="false">
      <c r="E715" s="1" t="str">
        <f aca="false">IF($A715="","", IFERROR(INDEX(Machine_List!$B$72:$B$81, MATCH("*"&amp;$B715&amp;"*", Machine_List!$J$72:$J$81, 0)), "No FID Match"))</f>
        <v/>
      </c>
    </row>
    <row r="716" customFormat="false" ht="15" hidden="false" customHeight="true" outlineLevel="0" collapsed="false">
      <c r="E716" s="1" t="str">
        <f aca="false">IF($A716="","", IFERROR(INDEX(Machine_List!$B$72:$B$81, MATCH("*"&amp;$B716&amp;"*", Machine_List!$J$72:$J$81, 0)), "No FID Match"))</f>
        <v/>
      </c>
    </row>
    <row r="717" customFormat="false" ht="15" hidden="false" customHeight="true" outlineLevel="0" collapsed="false">
      <c r="E717" s="1" t="str">
        <f aca="false">IF($A717="","", IFERROR(INDEX(Machine_List!$B$72:$B$81, MATCH("*"&amp;$B717&amp;"*", Machine_List!$J$72:$J$81, 0)), "No FID Match"))</f>
        <v/>
      </c>
    </row>
    <row r="718" customFormat="false" ht="15" hidden="false" customHeight="true" outlineLevel="0" collapsed="false">
      <c r="E718" s="1" t="str">
        <f aca="false">IF($A718="","", IFERROR(INDEX(Machine_List!$B$72:$B$81, MATCH("*"&amp;$B718&amp;"*", Machine_List!$J$72:$J$81, 0)), "No FID Match"))</f>
        <v/>
      </c>
    </row>
    <row r="719" customFormat="false" ht="15" hidden="false" customHeight="true" outlineLevel="0" collapsed="false">
      <c r="E719" s="1" t="str">
        <f aca="false">IF($A719="","", IFERROR(INDEX(Machine_List!$B$72:$B$81, MATCH("*"&amp;$B719&amp;"*", Machine_List!$J$72:$J$81, 0)), "No FID Match"))</f>
        <v/>
      </c>
    </row>
    <row r="720" customFormat="false" ht="15" hidden="false" customHeight="true" outlineLevel="0" collapsed="false">
      <c r="E720" s="1" t="str">
        <f aca="false">IF($A720="","", IFERROR(INDEX(Machine_List!$B$72:$B$81, MATCH("*"&amp;$B720&amp;"*", Machine_List!$J$72:$J$81, 0)), "No FID Match"))</f>
        <v/>
      </c>
    </row>
    <row r="721" customFormat="false" ht="15" hidden="false" customHeight="true" outlineLevel="0" collapsed="false">
      <c r="E721" s="1" t="str">
        <f aca="false">IF($A721="","", IFERROR(INDEX(Machine_List!$B$72:$B$81, MATCH("*"&amp;$B721&amp;"*", Machine_List!$J$72:$J$81, 0)), "No FID Match"))</f>
        <v/>
      </c>
    </row>
    <row r="722" customFormat="false" ht="15" hidden="false" customHeight="true" outlineLevel="0" collapsed="false">
      <c r="E722" s="1" t="str">
        <f aca="false">IF($A722="","", IFERROR(INDEX(Machine_List!$B$72:$B$81, MATCH("*"&amp;$B722&amp;"*", Machine_List!$J$72:$J$81, 0)), "No FID Match"))</f>
        <v/>
      </c>
    </row>
    <row r="723" customFormat="false" ht="15" hidden="false" customHeight="true" outlineLevel="0" collapsed="false">
      <c r="E723" s="1" t="str">
        <f aca="false">IF($A723="","", IFERROR(INDEX(Machine_List!$B$72:$B$81, MATCH("*"&amp;$B723&amp;"*", Machine_List!$J$72:$J$81, 0)), "No FID Match"))</f>
        <v/>
      </c>
    </row>
    <row r="724" customFormat="false" ht="15" hidden="false" customHeight="true" outlineLevel="0" collapsed="false">
      <c r="E724" s="1" t="str">
        <f aca="false">IF($A724="","", IFERROR(INDEX(Machine_List!$B$72:$B$81, MATCH("*"&amp;$B724&amp;"*", Machine_List!$J$72:$J$81, 0)), "No FID Match"))</f>
        <v/>
      </c>
    </row>
    <row r="725" customFormat="false" ht="15" hidden="false" customHeight="true" outlineLevel="0" collapsed="false">
      <c r="E725" s="1" t="str">
        <f aca="false">IF($A725="","", IFERROR(INDEX(Machine_List!$B$72:$B$81, MATCH("*"&amp;$B725&amp;"*", Machine_List!$J$72:$J$81, 0)), "No FID Match"))</f>
        <v/>
      </c>
    </row>
    <row r="726" customFormat="false" ht="15" hidden="false" customHeight="true" outlineLevel="0" collapsed="false">
      <c r="E726" s="1" t="str">
        <f aca="false">IF($A726="","", IFERROR(INDEX(Machine_List!$B$72:$B$81, MATCH("*"&amp;$B726&amp;"*", Machine_List!$J$72:$J$81, 0)), "No FID Match"))</f>
        <v/>
      </c>
    </row>
    <row r="727" customFormat="false" ht="15" hidden="false" customHeight="true" outlineLevel="0" collapsed="false">
      <c r="E727" s="1" t="str">
        <f aca="false">IF($A727="","", IFERROR(INDEX(Machine_List!$B$72:$B$81, MATCH("*"&amp;$B727&amp;"*", Machine_List!$J$72:$J$81, 0)), "No FID Match"))</f>
        <v/>
      </c>
    </row>
    <row r="728" customFormat="false" ht="15" hidden="false" customHeight="true" outlineLevel="0" collapsed="false">
      <c r="E728" s="1" t="str">
        <f aca="false">IF($A728="","", IFERROR(INDEX(Machine_List!$B$72:$B$81, MATCH("*"&amp;$B728&amp;"*", Machine_List!$J$72:$J$81, 0)), "No FID Match"))</f>
        <v/>
      </c>
    </row>
    <row r="729" customFormat="false" ht="15" hidden="false" customHeight="true" outlineLevel="0" collapsed="false">
      <c r="E729" s="1" t="str">
        <f aca="false">IF($A729="","", IFERROR(INDEX(Machine_List!$B$72:$B$81, MATCH("*"&amp;$B729&amp;"*", Machine_List!$J$72:$J$81, 0)), "No FID Match"))</f>
        <v/>
      </c>
    </row>
    <row r="730" customFormat="false" ht="15" hidden="false" customHeight="true" outlineLevel="0" collapsed="false">
      <c r="E730" s="1" t="str">
        <f aca="false">IF($A730="","", IFERROR(INDEX(Machine_List!$B$72:$B$81, MATCH("*"&amp;$B730&amp;"*", Machine_List!$J$72:$J$81, 0)), "No FID Match"))</f>
        <v/>
      </c>
    </row>
    <row r="731" customFormat="false" ht="15" hidden="false" customHeight="true" outlineLevel="0" collapsed="false">
      <c r="E731" s="1" t="str">
        <f aca="false">IF($A731="","", IFERROR(INDEX(Machine_List!$B$72:$B$81, MATCH("*"&amp;$B731&amp;"*", Machine_List!$J$72:$J$81, 0)), "No FID Match"))</f>
        <v/>
      </c>
    </row>
    <row r="732" customFormat="false" ht="15" hidden="false" customHeight="true" outlineLevel="0" collapsed="false">
      <c r="E732" s="1" t="str">
        <f aca="false">IF($A732="","", IFERROR(INDEX(Machine_List!$B$72:$B$81, MATCH("*"&amp;$B732&amp;"*", Machine_List!$J$72:$J$81, 0)), "No FID Match"))</f>
        <v/>
      </c>
    </row>
    <row r="733" customFormat="false" ht="15" hidden="false" customHeight="true" outlineLevel="0" collapsed="false">
      <c r="E733" s="1" t="str">
        <f aca="false">IF($A733="","", IFERROR(INDEX(Machine_List!$B$72:$B$81, MATCH("*"&amp;$B733&amp;"*", Machine_List!$J$72:$J$81, 0)), "No FID Match"))</f>
        <v/>
      </c>
    </row>
    <row r="734" customFormat="false" ht="15" hidden="false" customHeight="true" outlineLevel="0" collapsed="false">
      <c r="E734" s="1" t="str">
        <f aca="false">IF($A734="","", IFERROR(INDEX(Machine_List!$B$72:$B$81, MATCH("*"&amp;$B734&amp;"*", Machine_List!$J$72:$J$81, 0)), "No FID Match"))</f>
        <v/>
      </c>
    </row>
    <row r="735" customFormat="false" ht="15" hidden="false" customHeight="true" outlineLevel="0" collapsed="false">
      <c r="E735" s="1" t="str">
        <f aca="false">IF($A735="","", IFERROR(INDEX(Machine_List!$B$72:$B$81, MATCH("*"&amp;$B735&amp;"*", Machine_List!$J$72:$J$81, 0)), "No FID Match"))</f>
        <v/>
      </c>
    </row>
    <row r="736" customFormat="false" ht="15" hidden="false" customHeight="true" outlineLevel="0" collapsed="false">
      <c r="E736" s="1" t="str">
        <f aca="false">IF($A736="","", IFERROR(INDEX(Machine_List!$B$72:$B$81, MATCH("*"&amp;$B736&amp;"*", Machine_List!$J$72:$J$81, 0)), "No FID Match"))</f>
        <v/>
      </c>
    </row>
    <row r="737" customFormat="false" ht="15" hidden="false" customHeight="true" outlineLevel="0" collapsed="false">
      <c r="E737" s="1" t="str">
        <f aca="false">IF($A737="","", IFERROR(INDEX(Machine_List!$B$72:$B$81, MATCH("*"&amp;$B737&amp;"*", Machine_List!$J$72:$J$81, 0)), "No FID Match"))</f>
        <v/>
      </c>
    </row>
    <row r="738" customFormat="false" ht="15" hidden="false" customHeight="true" outlineLevel="0" collapsed="false">
      <c r="E738" s="1" t="str">
        <f aca="false">IF($A738="","", IFERROR(INDEX(Machine_List!$B$72:$B$81, MATCH("*"&amp;$B738&amp;"*", Machine_List!$J$72:$J$81, 0)), "No FID Match"))</f>
        <v/>
      </c>
    </row>
    <row r="739" customFormat="false" ht="15" hidden="false" customHeight="true" outlineLevel="0" collapsed="false">
      <c r="E739" s="1" t="str">
        <f aca="false">IF($A739="","", IFERROR(INDEX(Machine_List!$B$72:$B$81, MATCH("*"&amp;$B739&amp;"*", Machine_List!$J$72:$J$81, 0)), "No FID Match"))</f>
        <v/>
      </c>
    </row>
    <row r="740" customFormat="false" ht="15" hidden="false" customHeight="true" outlineLevel="0" collapsed="false">
      <c r="E740" s="1" t="str">
        <f aca="false">IF($A740="","", IFERROR(INDEX(Machine_List!$B$72:$B$81, MATCH("*"&amp;$B740&amp;"*", Machine_List!$J$72:$J$81, 0)), "No FID Match"))</f>
        <v/>
      </c>
    </row>
    <row r="741" customFormat="false" ht="15" hidden="false" customHeight="true" outlineLevel="0" collapsed="false">
      <c r="E741" s="1" t="str">
        <f aca="false">IF($A741="","", IFERROR(INDEX(Machine_List!$B$72:$B$81, MATCH("*"&amp;$B741&amp;"*", Machine_List!$J$72:$J$81, 0)), "No FID Match"))</f>
        <v/>
      </c>
    </row>
    <row r="742" customFormat="false" ht="15" hidden="false" customHeight="true" outlineLevel="0" collapsed="false">
      <c r="E742" s="1" t="str">
        <f aca="false">IF($A742="","", IFERROR(INDEX(Machine_List!$B$72:$B$81, MATCH("*"&amp;$B742&amp;"*", Machine_List!$J$72:$J$81, 0)), "No FID Match"))</f>
        <v/>
      </c>
    </row>
    <row r="743" customFormat="false" ht="15" hidden="false" customHeight="true" outlineLevel="0" collapsed="false">
      <c r="E743" s="1" t="str">
        <f aca="false">IF($A743="","", IFERROR(INDEX(Machine_List!$B$72:$B$81, MATCH("*"&amp;$B743&amp;"*", Machine_List!$J$72:$J$81, 0)), "No FID Match"))</f>
        <v/>
      </c>
    </row>
    <row r="744" customFormat="false" ht="15" hidden="false" customHeight="true" outlineLevel="0" collapsed="false">
      <c r="E744" s="1" t="str">
        <f aca="false">IF($A744="","", IFERROR(INDEX(Machine_List!$B$72:$B$81, MATCH("*"&amp;$B744&amp;"*", Machine_List!$J$72:$J$81, 0)), "No FID Match"))</f>
        <v/>
      </c>
    </row>
    <row r="745" customFormat="false" ht="15" hidden="false" customHeight="true" outlineLevel="0" collapsed="false">
      <c r="E745" s="1" t="str">
        <f aca="false">IF($A745="","", IFERROR(INDEX(Machine_List!$B$72:$B$81, MATCH("*"&amp;$B745&amp;"*", Machine_List!$J$72:$J$81, 0)), "No FID Match"))</f>
        <v/>
      </c>
    </row>
    <row r="746" customFormat="false" ht="15" hidden="false" customHeight="true" outlineLevel="0" collapsed="false">
      <c r="E746" s="1" t="str">
        <f aca="false">IF($A746="","", IFERROR(INDEX(Machine_List!$B$72:$B$81, MATCH("*"&amp;$B746&amp;"*", Machine_List!$J$72:$J$81, 0)), "No FID Match"))</f>
        <v/>
      </c>
    </row>
    <row r="747" customFormat="false" ht="15" hidden="false" customHeight="true" outlineLevel="0" collapsed="false">
      <c r="E747" s="1" t="str">
        <f aca="false">IF($A747="","", IFERROR(INDEX(Machine_List!$B$72:$B$81, MATCH("*"&amp;$B747&amp;"*", Machine_List!$J$72:$J$81, 0)), "No FID Match"))</f>
        <v/>
      </c>
    </row>
    <row r="748" customFormat="false" ht="15" hidden="false" customHeight="true" outlineLevel="0" collapsed="false">
      <c r="E748" s="1" t="str">
        <f aca="false">IF($A748="","", IFERROR(INDEX(Machine_List!$B$72:$B$81, MATCH("*"&amp;$B748&amp;"*", Machine_List!$J$72:$J$81, 0)), "No FID Match"))</f>
        <v/>
      </c>
    </row>
    <row r="749" customFormat="false" ht="15" hidden="false" customHeight="true" outlineLevel="0" collapsed="false">
      <c r="E749" s="1" t="str">
        <f aca="false">IF($A749="","", IFERROR(INDEX(Machine_List!$B$72:$B$81, MATCH("*"&amp;$B749&amp;"*", Machine_List!$J$72:$J$81, 0)), "No FID Match"))</f>
        <v/>
      </c>
    </row>
    <row r="750" customFormat="false" ht="15" hidden="false" customHeight="true" outlineLevel="0" collapsed="false">
      <c r="E750" s="1" t="str">
        <f aca="false">IF($A750="","", IFERROR(INDEX(Machine_List!$B$72:$B$81, MATCH("*"&amp;$B750&amp;"*", Machine_List!$J$72:$J$81, 0)), "No FID Match"))</f>
        <v/>
      </c>
    </row>
    <row r="751" customFormat="false" ht="15" hidden="false" customHeight="true" outlineLevel="0" collapsed="false">
      <c r="E751" s="1" t="str">
        <f aca="false">IF($A751="","", IFERROR(INDEX(Machine_List!$B$72:$B$81, MATCH("*"&amp;$B751&amp;"*", Machine_List!$J$72:$J$81, 0)), "No FID Match"))</f>
        <v/>
      </c>
    </row>
    <row r="752" customFormat="false" ht="15" hidden="false" customHeight="true" outlineLevel="0" collapsed="false">
      <c r="E752" s="1" t="str">
        <f aca="false">IF($A752="","", IFERROR(INDEX(Machine_List!$B$72:$B$81, MATCH("*"&amp;$B752&amp;"*", Machine_List!$J$72:$J$81, 0)), "No FID Match"))</f>
        <v/>
      </c>
    </row>
    <row r="753" customFormat="false" ht="15" hidden="false" customHeight="true" outlineLevel="0" collapsed="false">
      <c r="E753" s="1" t="str">
        <f aca="false">IF($A753="","", IFERROR(INDEX(Machine_List!$B$72:$B$81, MATCH("*"&amp;$B753&amp;"*", Machine_List!$J$72:$J$81, 0)), "No FID Match"))</f>
        <v/>
      </c>
    </row>
    <row r="754" customFormat="false" ht="15" hidden="false" customHeight="true" outlineLevel="0" collapsed="false">
      <c r="E754" s="1" t="str">
        <f aca="false">IF($A754="","", IFERROR(INDEX(Machine_List!$B$72:$B$81, MATCH("*"&amp;$B754&amp;"*", Machine_List!$J$72:$J$81, 0)), "No FID Match"))</f>
        <v/>
      </c>
    </row>
    <row r="755" customFormat="false" ht="15" hidden="false" customHeight="true" outlineLevel="0" collapsed="false">
      <c r="E755" s="1" t="str">
        <f aca="false">IF($A755="","", IFERROR(INDEX(Machine_List!$B$72:$B$81, MATCH("*"&amp;$B755&amp;"*", Machine_List!$J$72:$J$81, 0)), "No FID Match"))</f>
        <v/>
      </c>
    </row>
    <row r="756" customFormat="false" ht="15" hidden="false" customHeight="true" outlineLevel="0" collapsed="false">
      <c r="E756" s="1" t="str">
        <f aca="false">IF($A756="","", IFERROR(INDEX(Machine_List!$B$72:$B$81, MATCH("*"&amp;$B756&amp;"*", Machine_List!$J$72:$J$81, 0)), "No FID Match"))</f>
        <v/>
      </c>
    </row>
    <row r="757" customFormat="false" ht="15" hidden="false" customHeight="true" outlineLevel="0" collapsed="false">
      <c r="E757" s="1" t="str">
        <f aca="false">IF($A757="","", IFERROR(INDEX(Machine_List!$B$72:$B$81, MATCH("*"&amp;$B757&amp;"*", Machine_List!$J$72:$J$81, 0)), "No FID Match"))</f>
        <v/>
      </c>
    </row>
    <row r="758" customFormat="false" ht="15" hidden="false" customHeight="true" outlineLevel="0" collapsed="false">
      <c r="E758" s="1" t="str">
        <f aca="false">IF($A758="","", IFERROR(INDEX(Machine_List!$B$72:$B$81, MATCH("*"&amp;$B758&amp;"*", Machine_List!$J$72:$J$81, 0)), "No FID Match"))</f>
        <v/>
      </c>
    </row>
    <row r="759" customFormat="false" ht="15" hidden="false" customHeight="true" outlineLevel="0" collapsed="false">
      <c r="E759" s="1" t="str">
        <f aca="false">IF($A759="","", IFERROR(INDEX(Machine_List!$B$72:$B$81, MATCH("*"&amp;$B759&amp;"*", Machine_List!$J$72:$J$81, 0)), "No FID Match"))</f>
        <v/>
      </c>
    </row>
    <row r="760" customFormat="false" ht="15" hidden="false" customHeight="true" outlineLevel="0" collapsed="false">
      <c r="E760" s="1" t="str">
        <f aca="false">IF($A760="","", IFERROR(INDEX(Machine_List!$B$72:$B$81, MATCH("*"&amp;$B760&amp;"*", Machine_List!$J$72:$J$81, 0)), "No FID Match"))</f>
        <v/>
      </c>
    </row>
    <row r="761" customFormat="false" ht="15" hidden="false" customHeight="true" outlineLevel="0" collapsed="false">
      <c r="E761" s="1" t="str">
        <f aca="false">IF($A761="","", IFERROR(INDEX(Machine_List!$B$72:$B$81, MATCH("*"&amp;$B761&amp;"*", Machine_List!$J$72:$J$81, 0)), "No FID Match"))</f>
        <v/>
      </c>
    </row>
    <row r="762" customFormat="false" ht="15" hidden="false" customHeight="true" outlineLevel="0" collapsed="false">
      <c r="E762" s="1" t="str">
        <f aca="false">IF($A762="","", IFERROR(INDEX(Machine_List!$B$72:$B$81, MATCH("*"&amp;$B762&amp;"*", Machine_List!$J$72:$J$81, 0)), "No FID Match"))</f>
        <v/>
      </c>
    </row>
    <row r="763" customFormat="false" ht="15" hidden="false" customHeight="true" outlineLevel="0" collapsed="false">
      <c r="E763" s="1" t="str">
        <f aca="false">IF($A763="","", IFERROR(INDEX(Machine_List!$B$72:$B$81, MATCH("*"&amp;$B763&amp;"*", Machine_List!$J$72:$J$81, 0)), "No FID Match"))</f>
        <v/>
      </c>
    </row>
    <row r="764" customFormat="false" ht="15" hidden="false" customHeight="true" outlineLevel="0" collapsed="false">
      <c r="E764" s="1" t="str">
        <f aca="false">IF($A764="","", IFERROR(INDEX(Machine_List!$B$72:$B$81, MATCH("*"&amp;$B764&amp;"*", Machine_List!$J$72:$J$81, 0)), "No FID Match"))</f>
        <v/>
      </c>
    </row>
    <row r="765" customFormat="false" ht="15" hidden="false" customHeight="true" outlineLevel="0" collapsed="false">
      <c r="E765" s="1" t="str">
        <f aca="false">IF($A765="","", IFERROR(INDEX(Machine_List!$B$72:$B$81, MATCH("*"&amp;$B765&amp;"*", Machine_List!$J$72:$J$81, 0)), "No FID Match"))</f>
        <v/>
      </c>
    </row>
    <row r="766" customFormat="false" ht="15" hidden="false" customHeight="true" outlineLevel="0" collapsed="false">
      <c r="E766" s="1" t="str">
        <f aca="false">IF($A766="","", IFERROR(INDEX(Machine_List!$B$72:$B$81, MATCH("*"&amp;$B766&amp;"*", Machine_List!$J$72:$J$81, 0)), "No FID Match"))</f>
        <v/>
      </c>
    </row>
    <row r="767" customFormat="false" ht="15" hidden="false" customHeight="true" outlineLevel="0" collapsed="false">
      <c r="E767" s="1" t="str">
        <f aca="false">IF($A767="","", IFERROR(INDEX(Machine_List!$B$72:$B$81, MATCH("*"&amp;$B767&amp;"*", Machine_List!$J$72:$J$81, 0)), "No FID Match"))</f>
        <v/>
      </c>
    </row>
    <row r="768" customFormat="false" ht="15" hidden="false" customHeight="true" outlineLevel="0" collapsed="false">
      <c r="E768" s="1" t="str">
        <f aca="false">IF($A768="","", IFERROR(INDEX(Machine_List!$B$72:$B$81, MATCH("*"&amp;$B768&amp;"*", Machine_List!$J$72:$J$81, 0)), "No FID Match"))</f>
        <v/>
      </c>
    </row>
    <row r="769" customFormat="false" ht="15" hidden="false" customHeight="true" outlineLevel="0" collapsed="false">
      <c r="E769" s="1" t="str">
        <f aca="false">IF($A769="","", IFERROR(INDEX(Machine_List!$B$72:$B$81, MATCH("*"&amp;$B769&amp;"*", Machine_List!$J$72:$J$81, 0)), "No FID Match"))</f>
        <v/>
      </c>
    </row>
    <row r="770" customFormat="false" ht="15" hidden="false" customHeight="true" outlineLevel="0" collapsed="false">
      <c r="E770" s="1" t="str">
        <f aca="false">IF($A770="","", IFERROR(INDEX(Machine_List!$B$72:$B$81, MATCH("*"&amp;$B770&amp;"*", Machine_List!$J$72:$J$81, 0)), "No FID Match"))</f>
        <v/>
      </c>
    </row>
    <row r="771" customFormat="false" ht="15" hidden="false" customHeight="true" outlineLevel="0" collapsed="false">
      <c r="E771" s="1" t="str">
        <f aca="false">IF($A771="","", IFERROR(INDEX(Machine_List!$B$72:$B$81, MATCH("*"&amp;$B771&amp;"*", Machine_List!$J$72:$J$81, 0)), "No FID Match"))</f>
        <v/>
      </c>
    </row>
    <row r="772" customFormat="false" ht="15" hidden="false" customHeight="true" outlineLevel="0" collapsed="false">
      <c r="E772" s="1" t="str">
        <f aca="false">IF($A772="","", IFERROR(INDEX(Machine_List!$B$72:$B$81, MATCH("*"&amp;$B772&amp;"*", Machine_List!$J$72:$J$81, 0)), "No FID Match"))</f>
        <v/>
      </c>
    </row>
    <row r="773" customFormat="false" ht="15" hidden="false" customHeight="true" outlineLevel="0" collapsed="false">
      <c r="E773" s="1" t="str">
        <f aca="false">IF($A773="","", IFERROR(INDEX(Machine_List!$B$72:$B$81, MATCH("*"&amp;$B773&amp;"*", Machine_List!$J$72:$J$81, 0)), "No FID Match"))</f>
        <v/>
      </c>
    </row>
    <row r="774" customFormat="false" ht="15" hidden="false" customHeight="true" outlineLevel="0" collapsed="false">
      <c r="E774" s="1" t="str">
        <f aca="false">IF($A774="","", IFERROR(INDEX(Machine_List!$B$72:$B$81, MATCH("*"&amp;$B774&amp;"*", Machine_List!$J$72:$J$81, 0)), "No FID Match"))</f>
        <v/>
      </c>
    </row>
    <row r="775" customFormat="false" ht="15" hidden="false" customHeight="true" outlineLevel="0" collapsed="false">
      <c r="E775" s="1" t="str">
        <f aca="false">IF($A775="","", IFERROR(INDEX(Machine_List!$B$72:$B$81, MATCH("*"&amp;$B775&amp;"*", Machine_List!$J$72:$J$81, 0)), "No FID Match"))</f>
        <v/>
      </c>
    </row>
    <row r="776" customFormat="false" ht="15" hidden="false" customHeight="true" outlineLevel="0" collapsed="false">
      <c r="E776" s="1" t="str">
        <f aca="false">IF($A776="","", IFERROR(INDEX(Machine_List!$B$72:$B$81, MATCH("*"&amp;$B776&amp;"*", Machine_List!$J$72:$J$81, 0)), "No FID Match"))</f>
        <v/>
      </c>
    </row>
    <row r="777" customFormat="false" ht="15" hidden="false" customHeight="true" outlineLevel="0" collapsed="false">
      <c r="E777" s="1" t="str">
        <f aca="false">IF($A777="","", IFERROR(INDEX(Machine_List!$B$72:$B$81, MATCH("*"&amp;$B777&amp;"*", Machine_List!$J$72:$J$81, 0)), "No FID Match"))</f>
        <v/>
      </c>
    </row>
    <row r="778" customFormat="false" ht="15" hidden="false" customHeight="true" outlineLevel="0" collapsed="false">
      <c r="E778" s="1" t="str">
        <f aca="false">IF($A778="","", IFERROR(INDEX(Machine_List!$B$72:$B$81, MATCH("*"&amp;$B778&amp;"*", Machine_List!$J$72:$J$81, 0)), "No FID Match"))</f>
        <v/>
      </c>
    </row>
    <row r="779" customFormat="false" ht="15" hidden="false" customHeight="true" outlineLevel="0" collapsed="false">
      <c r="E779" s="1" t="str">
        <f aca="false">IF($A779="","", IFERROR(INDEX(Machine_List!$B$72:$B$81, MATCH("*"&amp;$B779&amp;"*", Machine_List!$J$72:$J$81, 0)), "No FID Match"))</f>
        <v/>
      </c>
    </row>
    <row r="780" customFormat="false" ht="15" hidden="false" customHeight="true" outlineLevel="0" collapsed="false">
      <c r="E780" s="1" t="str">
        <f aca="false">IF($A780="","", IFERROR(INDEX(Machine_List!$B$72:$B$81, MATCH("*"&amp;$B780&amp;"*", Machine_List!$J$72:$J$81, 0)), "No FID Match"))</f>
        <v/>
      </c>
    </row>
    <row r="781" customFormat="false" ht="15" hidden="false" customHeight="true" outlineLevel="0" collapsed="false">
      <c r="E781" s="1" t="str">
        <f aca="false">IF($A781="","", IFERROR(INDEX(Machine_List!$B$72:$B$81, MATCH("*"&amp;$B781&amp;"*", Machine_List!$J$72:$J$81, 0)), "No FID Match"))</f>
        <v/>
      </c>
    </row>
    <row r="782" customFormat="false" ht="15" hidden="false" customHeight="true" outlineLevel="0" collapsed="false">
      <c r="E782" s="1" t="str">
        <f aca="false">IF($A782="","", IFERROR(INDEX(Machine_List!$B$72:$B$81, MATCH("*"&amp;$B782&amp;"*", Machine_List!$J$72:$J$81, 0)), "No FID Match"))</f>
        <v/>
      </c>
    </row>
    <row r="783" customFormat="false" ht="15" hidden="false" customHeight="true" outlineLevel="0" collapsed="false">
      <c r="E783" s="1" t="str">
        <f aca="false">IF($A783="","", IFERROR(INDEX(Machine_List!$B$72:$B$81, MATCH("*"&amp;$B783&amp;"*", Machine_List!$J$72:$J$81, 0)), "No FID Match"))</f>
        <v/>
      </c>
    </row>
    <row r="784" customFormat="false" ht="15" hidden="false" customHeight="true" outlineLevel="0" collapsed="false">
      <c r="E784" s="1" t="str">
        <f aca="false">IF($A784="","", IFERROR(INDEX(Machine_List!$B$72:$B$81, MATCH("*"&amp;$B784&amp;"*", Machine_List!$J$72:$J$81, 0)), "No FID Match"))</f>
        <v/>
      </c>
    </row>
    <row r="785" customFormat="false" ht="15" hidden="false" customHeight="true" outlineLevel="0" collapsed="false">
      <c r="E785" s="1" t="str">
        <f aca="false">IF($A785="","", IFERROR(INDEX(Machine_List!$B$72:$B$81, MATCH("*"&amp;$B785&amp;"*", Machine_List!$J$72:$J$81, 0)), "No FID Match"))</f>
        <v/>
      </c>
    </row>
    <row r="786" customFormat="false" ht="15" hidden="false" customHeight="true" outlineLevel="0" collapsed="false">
      <c r="E786" s="1" t="str">
        <f aca="false">IF($A786="","", IFERROR(INDEX(Machine_List!$B$72:$B$81, MATCH("*"&amp;$B786&amp;"*", Machine_List!$J$72:$J$81, 0)), "No FID Match"))</f>
        <v/>
      </c>
    </row>
    <row r="787" customFormat="false" ht="15" hidden="false" customHeight="true" outlineLevel="0" collapsed="false">
      <c r="E787" s="1" t="str">
        <f aca="false">IF($A787="","", IFERROR(INDEX(Machine_List!$B$72:$B$81, MATCH("*"&amp;$B787&amp;"*", Machine_List!$J$72:$J$81, 0)), "No FID Match"))</f>
        <v/>
      </c>
    </row>
    <row r="788" customFormat="false" ht="15" hidden="false" customHeight="true" outlineLevel="0" collapsed="false">
      <c r="E788" s="1" t="str">
        <f aca="false">IF($A788="","", IFERROR(INDEX(Machine_List!$B$72:$B$81, MATCH("*"&amp;$B788&amp;"*", Machine_List!$J$72:$J$81, 0)), "No FID Match"))</f>
        <v/>
      </c>
    </row>
    <row r="789" customFormat="false" ht="15" hidden="false" customHeight="true" outlineLevel="0" collapsed="false">
      <c r="E789" s="1" t="str">
        <f aca="false">IF($A789="","", IFERROR(INDEX(Machine_List!$B$72:$B$81, MATCH("*"&amp;$B789&amp;"*", Machine_List!$J$72:$J$81, 0)), "No FID Match"))</f>
        <v/>
      </c>
    </row>
    <row r="790" customFormat="false" ht="15" hidden="false" customHeight="true" outlineLevel="0" collapsed="false">
      <c r="E790" s="1" t="str">
        <f aca="false">IF($A790="","", IFERROR(INDEX(Machine_List!$B$72:$B$81, MATCH("*"&amp;$B790&amp;"*", Machine_List!$J$72:$J$81, 0)), "No FID Match"))</f>
        <v/>
      </c>
    </row>
    <row r="791" customFormat="false" ht="15" hidden="false" customHeight="true" outlineLevel="0" collapsed="false">
      <c r="E791" s="1" t="str">
        <f aca="false">IF($A791="","", IFERROR(INDEX(Machine_List!$B$72:$B$81, MATCH("*"&amp;$B791&amp;"*", Machine_List!$J$72:$J$81, 0)), "No FID Match"))</f>
        <v/>
      </c>
    </row>
    <row r="792" customFormat="false" ht="15" hidden="false" customHeight="true" outlineLevel="0" collapsed="false">
      <c r="E792" s="1" t="str">
        <f aca="false">IF($A792="","", IFERROR(INDEX(Machine_List!$B$72:$B$81, MATCH("*"&amp;$B792&amp;"*", Machine_List!$J$72:$J$81, 0)), "No FID Match"))</f>
        <v/>
      </c>
    </row>
    <row r="793" customFormat="false" ht="15" hidden="false" customHeight="true" outlineLevel="0" collapsed="false">
      <c r="E793" s="1" t="str">
        <f aca="false">IF($A793="","", IFERROR(INDEX(Machine_List!$B$72:$B$81, MATCH("*"&amp;$B793&amp;"*", Machine_List!$J$72:$J$81, 0)), "No FID Match"))</f>
        <v/>
      </c>
    </row>
    <row r="794" customFormat="false" ht="15" hidden="false" customHeight="true" outlineLevel="0" collapsed="false">
      <c r="E794" s="1" t="str">
        <f aca="false">IF($A794="","", IFERROR(INDEX(Machine_List!$B$72:$B$81, MATCH("*"&amp;$B794&amp;"*", Machine_List!$J$72:$J$81, 0)), "No FID Match"))</f>
        <v/>
      </c>
    </row>
    <row r="795" customFormat="false" ht="15" hidden="false" customHeight="true" outlineLevel="0" collapsed="false">
      <c r="E795" s="1" t="str">
        <f aca="false">IF($A795="","", IFERROR(INDEX(Machine_List!$B$72:$B$81, MATCH("*"&amp;$B795&amp;"*", Machine_List!$J$72:$J$81, 0)), "No FID Match"))</f>
        <v/>
      </c>
    </row>
    <row r="796" customFormat="false" ht="15" hidden="false" customHeight="true" outlineLevel="0" collapsed="false">
      <c r="E796" s="1" t="str">
        <f aca="false">IF($A796="","", IFERROR(INDEX(Machine_List!$B$72:$B$81, MATCH("*"&amp;$B796&amp;"*", Machine_List!$J$72:$J$81, 0)), "No FID Match"))</f>
        <v/>
      </c>
    </row>
    <row r="797" customFormat="false" ht="15" hidden="false" customHeight="true" outlineLevel="0" collapsed="false">
      <c r="E797" s="1" t="str">
        <f aca="false">IF($A797="","", IFERROR(INDEX(Machine_List!$B$72:$B$81, MATCH("*"&amp;$B797&amp;"*", Machine_List!$J$72:$J$81, 0)), "No FID Match"))</f>
        <v/>
      </c>
    </row>
    <row r="798" customFormat="false" ht="15" hidden="false" customHeight="true" outlineLevel="0" collapsed="false">
      <c r="E798" s="1" t="str">
        <f aca="false">IF($A798="","", IFERROR(INDEX(Machine_List!$B$72:$B$81, MATCH("*"&amp;$B798&amp;"*", Machine_List!$J$72:$J$81, 0)), "No FID Match"))</f>
        <v/>
      </c>
    </row>
    <row r="799" customFormat="false" ht="15" hidden="false" customHeight="true" outlineLevel="0" collapsed="false">
      <c r="E799" s="1" t="str">
        <f aca="false">IF($A799="","", IFERROR(INDEX(Machine_List!$B$72:$B$81, MATCH("*"&amp;$B799&amp;"*", Machine_List!$J$72:$J$81, 0)), "No FID Match"))</f>
        <v/>
      </c>
    </row>
    <row r="800" customFormat="false" ht="15" hidden="false" customHeight="true" outlineLevel="0" collapsed="false">
      <c r="E800" s="1" t="str">
        <f aca="false">IF($A800="","", IFERROR(INDEX(Machine_List!$B$72:$B$81, MATCH("*"&amp;$B800&amp;"*", Machine_List!$J$72:$J$81, 0)), "No FID Match"))</f>
        <v/>
      </c>
    </row>
    <row r="801" customFormat="false" ht="15" hidden="false" customHeight="true" outlineLevel="0" collapsed="false">
      <c r="E801" s="1" t="str">
        <f aca="false">IF($A801="","", IFERROR(INDEX(Machine_List!$B$72:$B$81, MATCH("*"&amp;$B801&amp;"*", Machine_List!$J$72:$J$81, 0)), "No FID Match"))</f>
        <v/>
      </c>
    </row>
    <row r="802" customFormat="false" ht="15" hidden="false" customHeight="true" outlineLevel="0" collapsed="false">
      <c r="E802" s="1" t="str">
        <f aca="false">IF($A802="","", IFERROR(INDEX(Machine_List!$B$72:$B$81, MATCH("*"&amp;$B802&amp;"*", Machine_List!$J$72:$J$81, 0)), "No FID Match"))</f>
        <v/>
      </c>
    </row>
    <row r="803" customFormat="false" ht="15" hidden="false" customHeight="true" outlineLevel="0" collapsed="false">
      <c r="E803" s="1" t="str">
        <f aca="false">IF($A803="","", IFERROR(INDEX(Machine_List!$B$72:$B$81, MATCH("*"&amp;$B803&amp;"*", Machine_List!$J$72:$J$81, 0)), "No FID Match"))</f>
        <v/>
      </c>
    </row>
    <row r="804" customFormat="false" ht="15" hidden="false" customHeight="true" outlineLevel="0" collapsed="false">
      <c r="E804" s="1" t="str">
        <f aca="false">IF($A804="","", IFERROR(INDEX(Machine_List!$B$72:$B$81, MATCH("*"&amp;$B804&amp;"*", Machine_List!$J$72:$J$81, 0)), "No FID Match"))</f>
        <v/>
      </c>
    </row>
    <row r="805" customFormat="false" ht="15" hidden="false" customHeight="true" outlineLevel="0" collapsed="false">
      <c r="E805" s="1" t="str">
        <f aca="false">IF($A805="","", IFERROR(INDEX(Machine_List!$B$72:$B$81, MATCH("*"&amp;$B805&amp;"*", Machine_List!$J$72:$J$81, 0)), "No FID Match"))</f>
        <v/>
      </c>
    </row>
    <row r="806" customFormat="false" ht="15" hidden="false" customHeight="true" outlineLevel="0" collapsed="false">
      <c r="E806" s="1" t="str">
        <f aca="false">IF($A806="","", IFERROR(INDEX(Machine_List!$B$72:$B$81, MATCH("*"&amp;$B806&amp;"*", Machine_List!$J$72:$J$81, 0)), "No FID Match"))</f>
        <v/>
      </c>
    </row>
    <row r="807" customFormat="false" ht="15" hidden="false" customHeight="true" outlineLevel="0" collapsed="false">
      <c r="E807" s="1" t="str">
        <f aca="false">IF($A807="","", IFERROR(INDEX(Machine_List!$B$72:$B$81, MATCH("*"&amp;$B807&amp;"*", Machine_List!$J$72:$J$81, 0)), "No FID Match"))</f>
        <v/>
      </c>
    </row>
    <row r="808" customFormat="false" ht="15" hidden="false" customHeight="true" outlineLevel="0" collapsed="false">
      <c r="E808" s="1" t="str">
        <f aca="false">IF($A808="","", IFERROR(INDEX(Machine_List!$B$72:$B$81, MATCH("*"&amp;$B808&amp;"*", Machine_List!$J$72:$J$81, 0)), "No FID Match"))</f>
        <v/>
      </c>
    </row>
    <row r="809" customFormat="false" ht="15" hidden="false" customHeight="true" outlineLevel="0" collapsed="false">
      <c r="E809" s="1" t="str">
        <f aca="false">IF($A809="","", IFERROR(INDEX(Machine_List!$B$72:$B$81, MATCH("*"&amp;$B809&amp;"*", Machine_List!$J$72:$J$81, 0)), "No FID Match"))</f>
        <v/>
      </c>
    </row>
    <row r="810" customFormat="false" ht="15" hidden="false" customHeight="true" outlineLevel="0" collapsed="false">
      <c r="E810" s="1" t="str">
        <f aca="false">IF($A810="","", IFERROR(INDEX(Machine_List!$B$72:$B$81, MATCH("*"&amp;$B810&amp;"*", Machine_List!$J$72:$J$81, 0)), "No FID Match"))</f>
        <v/>
      </c>
    </row>
    <row r="811" customFormat="false" ht="15" hidden="false" customHeight="true" outlineLevel="0" collapsed="false">
      <c r="E811" s="1" t="str">
        <f aca="false">IF($A811="","", IFERROR(INDEX(Machine_List!$B$72:$B$81, MATCH("*"&amp;$B811&amp;"*", Machine_List!$J$72:$J$81, 0)), "No FID Match"))</f>
        <v/>
      </c>
    </row>
    <row r="812" customFormat="false" ht="15" hidden="false" customHeight="true" outlineLevel="0" collapsed="false">
      <c r="E812" s="1" t="str">
        <f aca="false">IF($A812="","", IFERROR(INDEX(Machine_List!$B$72:$B$81, MATCH("*"&amp;$B812&amp;"*", Machine_List!$J$72:$J$81, 0)), "No FID Match"))</f>
        <v/>
      </c>
    </row>
    <row r="813" customFormat="false" ht="15" hidden="false" customHeight="true" outlineLevel="0" collapsed="false">
      <c r="E813" s="1" t="str">
        <f aca="false">IF($A813="","", IFERROR(INDEX(Machine_List!$B$72:$B$81, MATCH("*"&amp;$B813&amp;"*", Machine_List!$J$72:$J$81, 0)), "No FID Match"))</f>
        <v/>
      </c>
    </row>
    <row r="814" customFormat="false" ht="15" hidden="false" customHeight="true" outlineLevel="0" collapsed="false">
      <c r="E814" s="1" t="str">
        <f aca="false">IF($A814="","", IFERROR(INDEX(Machine_List!$B$72:$B$81, MATCH("*"&amp;$B814&amp;"*", Machine_List!$J$72:$J$81, 0)), "No FID Match"))</f>
        <v/>
      </c>
    </row>
    <row r="815" customFormat="false" ht="15" hidden="false" customHeight="true" outlineLevel="0" collapsed="false">
      <c r="E815" s="1" t="str">
        <f aca="false">IF($A815="","", IFERROR(INDEX(Machine_List!$B$72:$B$81, MATCH("*"&amp;$B815&amp;"*", Machine_List!$J$72:$J$81, 0)), "No FID Match"))</f>
        <v/>
      </c>
    </row>
    <row r="816" customFormat="false" ht="15" hidden="false" customHeight="true" outlineLevel="0" collapsed="false">
      <c r="E816" s="1" t="str">
        <f aca="false">IF($A816="","", IFERROR(INDEX(Machine_List!$B$72:$B$81, MATCH("*"&amp;$B816&amp;"*", Machine_List!$J$72:$J$81, 0)), "No FID Match"))</f>
        <v/>
      </c>
    </row>
    <row r="817" customFormat="false" ht="15" hidden="false" customHeight="true" outlineLevel="0" collapsed="false">
      <c r="E817" s="1" t="str">
        <f aca="false">IF($A817="","", IFERROR(INDEX(Machine_List!$B$72:$B$81, MATCH("*"&amp;$B817&amp;"*", Machine_List!$J$72:$J$81, 0)), "No FID Match"))</f>
        <v/>
      </c>
    </row>
    <row r="818" customFormat="false" ht="15" hidden="false" customHeight="true" outlineLevel="0" collapsed="false">
      <c r="E818" s="1" t="str">
        <f aca="false">IF($A818="","", IFERROR(INDEX(Machine_List!$B$72:$B$81, MATCH("*"&amp;$B818&amp;"*", Machine_List!$J$72:$J$81, 0)), "No FID Match"))</f>
        <v/>
      </c>
    </row>
    <row r="819" customFormat="false" ht="15" hidden="false" customHeight="true" outlineLevel="0" collapsed="false">
      <c r="E819" s="1" t="str">
        <f aca="false">IF($A819="","", IFERROR(INDEX(Machine_List!$B$72:$B$81, MATCH("*"&amp;$B819&amp;"*", Machine_List!$J$72:$J$81, 0)), "No FID Match"))</f>
        <v/>
      </c>
    </row>
    <row r="820" customFormat="false" ht="15" hidden="false" customHeight="true" outlineLevel="0" collapsed="false">
      <c r="E820" s="1" t="str">
        <f aca="false">IF($A820="","", IFERROR(INDEX(Machine_List!$B$72:$B$81, MATCH("*"&amp;$B820&amp;"*", Machine_List!$J$72:$J$81, 0)), "No FID Match"))</f>
        <v/>
      </c>
    </row>
    <row r="821" customFormat="false" ht="15" hidden="false" customHeight="true" outlineLevel="0" collapsed="false">
      <c r="E821" s="1" t="str">
        <f aca="false">IF($A821="","", IFERROR(INDEX(Machine_List!$B$72:$B$81, MATCH("*"&amp;$B821&amp;"*", Machine_List!$J$72:$J$81, 0)), "No FID Match"))</f>
        <v/>
      </c>
    </row>
    <row r="822" customFormat="false" ht="15" hidden="false" customHeight="true" outlineLevel="0" collapsed="false">
      <c r="E822" s="1" t="str">
        <f aca="false">IF($A822="","", IFERROR(INDEX(Machine_List!$B$72:$B$81, MATCH("*"&amp;$B822&amp;"*", Machine_List!$J$72:$J$81, 0)), "No FID Match"))</f>
        <v/>
      </c>
    </row>
    <row r="823" customFormat="false" ht="15" hidden="false" customHeight="true" outlineLevel="0" collapsed="false">
      <c r="E823" s="1" t="str">
        <f aca="false">IF($A823="","", IFERROR(INDEX(Machine_List!$B$72:$B$81, MATCH("*"&amp;$B823&amp;"*", Machine_List!$J$72:$J$81, 0)), "No FID Match"))</f>
        <v/>
      </c>
    </row>
    <row r="824" customFormat="false" ht="15" hidden="false" customHeight="true" outlineLevel="0" collapsed="false">
      <c r="E824" s="1" t="str">
        <f aca="false">IF($A824="","", IFERROR(INDEX(Machine_List!$B$72:$B$81, MATCH("*"&amp;$B824&amp;"*", Machine_List!$J$72:$J$81, 0)), "No FID Match"))</f>
        <v/>
      </c>
    </row>
    <row r="825" customFormat="false" ht="15" hidden="false" customHeight="true" outlineLevel="0" collapsed="false">
      <c r="E825" s="1" t="str">
        <f aca="false">IF($A825="","", IFERROR(INDEX(Machine_List!$B$72:$B$81, MATCH("*"&amp;$B825&amp;"*", Machine_List!$J$72:$J$81, 0)), "No FID Match"))</f>
        <v/>
      </c>
    </row>
    <row r="826" customFormat="false" ht="15" hidden="false" customHeight="true" outlineLevel="0" collapsed="false">
      <c r="E826" s="1" t="str">
        <f aca="false">IF($A826="","", IFERROR(INDEX(Machine_List!$B$72:$B$81, MATCH("*"&amp;$B826&amp;"*", Machine_List!$J$72:$J$81, 0)), "No FID Match"))</f>
        <v/>
      </c>
    </row>
    <row r="827" customFormat="false" ht="15" hidden="false" customHeight="true" outlineLevel="0" collapsed="false">
      <c r="E827" s="1" t="str">
        <f aca="false">IF($A827="","", IFERROR(INDEX(Machine_List!$B$72:$B$81, MATCH("*"&amp;$B827&amp;"*", Machine_List!$J$72:$J$81, 0)), "No FID Match"))</f>
        <v/>
      </c>
    </row>
    <row r="828" customFormat="false" ht="15" hidden="false" customHeight="true" outlineLevel="0" collapsed="false">
      <c r="E828" s="1" t="str">
        <f aca="false">IF($A828="","", IFERROR(INDEX(Machine_List!$B$72:$B$81, MATCH("*"&amp;$B828&amp;"*", Machine_List!$J$72:$J$81, 0)), "No FID Match"))</f>
        <v/>
      </c>
    </row>
    <row r="829" customFormat="false" ht="15" hidden="false" customHeight="true" outlineLevel="0" collapsed="false">
      <c r="E829" s="1" t="str">
        <f aca="false">IF($A829="","", IFERROR(INDEX(Machine_List!$B$72:$B$81, MATCH("*"&amp;$B829&amp;"*", Machine_List!$J$72:$J$81, 0)), "No FID Match"))</f>
        <v/>
      </c>
    </row>
    <row r="830" customFormat="false" ht="15" hidden="false" customHeight="true" outlineLevel="0" collapsed="false">
      <c r="E830" s="1" t="str">
        <f aca="false">IF($A830="","", IFERROR(INDEX(Machine_List!$B$72:$B$81, MATCH("*"&amp;$B830&amp;"*", Machine_List!$J$72:$J$81, 0)), "No FID Match"))</f>
        <v/>
      </c>
    </row>
    <row r="831" customFormat="false" ht="15" hidden="false" customHeight="true" outlineLevel="0" collapsed="false">
      <c r="E831" s="1" t="str">
        <f aca="false">IF($A831="","", IFERROR(INDEX(Machine_List!$B$72:$B$81, MATCH("*"&amp;$B831&amp;"*", Machine_List!$J$72:$J$81, 0)), "No FID Match"))</f>
        <v/>
      </c>
    </row>
    <row r="832" customFormat="false" ht="15" hidden="false" customHeight="true" outlineLevel="0" collapsed="false">
      <c r="E832" s="1" t="str">
        <f aca="false">IF($A832="","", IFERROR(INDEX(Machine_List!$B$72:$B$81, MATCH("*"&amp;$B832&amp;"*", Machine_List!$J$72:$J$81, 0)), "No FID Match"))</f>
        <v/>
      </c>
    </row>
    <row r="833" customFormat="false" ht="15" hidden="false" customHeight="true" outlineLevel="0" collapsed="false">
      <c r="E833" s="1" t="str">
        <f aca="false">IF($A833="","", IFERROR(INDEX(Machine_List!$B$72:$B$81, MATCH("*"&amp;$B833&amp;"*", Machine_List!$J$72:$J$81, 0)), "No FID Match"))</f>
        <v/>
      </c>
    </row>
    <row r="834" customFormat="false" ht="15" hidden="false" customHeight="true" outlineLevel="0" collapsed="false">
      <c r="E834" s="1" t="str">
        <f aca="false">IF($A834="","", IFERROR(INDEX(Machine_List!$B$72:$B$81, MATCH("*"&amp;$B834&amp;"*", Machine_List!$J$72:$J$81, 0)), "No FID Match"))</f>
        <v/>
      </c>
    </row>
    <row r="835" customFormat="false" ht="15" hidden="false" customHeight="true" outlineLevel="0" collapsed="false">
      <c r="E835" s="1" t="str">
        <f aca="false">IF($A835="","", IFERROR(INDEX(Machine_List!$B$72:$B$81, MATCH("*"&amp;$B835&amp;"*", Machine_List!$J$72:$J$81, 0)), "No FID Match"))</f>
        <v/>
      </c>
    </row>
    <row r="836" customFormat="false" ht="15" hidden="false" customHeight="true" outlineLevel="0" collapsed="false">
      <c r="E836" s="1" t="str">
        <f aca="false">IF($A836="","", IFERROR(INDEX(Machine_List!$B$72:$B$81, MATCH("*"&amp;$B836&amp;"*", Machine_List!$J$72:$J$81, 0)), "No FID Match"))</f>
        <v/>
      </c>
    </row>
    <row r="837" customFormat="false" ht="15" hidden="false" customHeight="true" outlineLevel="0" collapsed="false">
      <c r="E837" s="1" t="str">
        <f aca="false">IF($A837="","", IFERROR(INDEX(Machine_List!$B$72:$B$81, MATCH("*"&amp;$B837&amp;"*", Machine_List!$J$72:$J$81, 0)), "No FID Match"))</f>
        <v/>
      </c>
    </row>
    <row r="838" customFormat="false" ht="15" hidden="false" customHeight="true" outlineLevel="0" collapsed="false">
      <c r="E838" s="1" t="str">
        <f aca="false">IF($A838="","", IFERROR(INDEX(Machine_List!$B$72:$B$81, MATCH("*"&amp;$B838&amp;"*", Machine_List!$J$72:$J$81, 0)), "No FID Match"))</f>
        <v/>
      </c>
    </row>
    <row r="839" customFormat="false" ht="15" hidden="false" customHeight="true" outlineLevel="0" collapsed="false">
      <c r="E839" s="1" t="str">
        <f aca="false">IF($A839="","", IFERROR(INDEX(Machine_List!$B$72:$B$81, MATCH("*"&amp;$B839&amp;"*", Machine_List!$J$72:$J$81, 0)), "No FID Match"))</f>
        <v/>
      </c>
    </row>
    <row r="840" customFormat="false" ht="15" hidden="false" customHeight="true" outlineLevel="0" collapsed="false">
      <c r="E840" s="1" t="str">
        <f aca="false">IF($A840="","", IFERROR(INDEX(Machine_List!$B$72:$B$81, MATCH("*"&amp;$B840&amp;"*", Machine_List!$J$72:$J$81, 0)), "No FID Match"))</f>
        <v/>
      </c>
    </row>
    <row r="841" customFormat="false" ht="15" hidden="false" customHeight="true" outlineLevel="0" collapsed="false">
      <c r="E841" s="1" t="str">
        <f aca="false">IF($A841="","", IFERROR(INDEX(Machine_List!$B$72:$B$81, MATCH("*"&amp;$B841&amp;"*", Machine_List!$J$72:$J$81, 0)), "No FID Match"))</f>
        <v/>
      </c>
    </row>
    <row r="842" customFormat="false" ht="15" hidden="false" customHeight="true" outlineLevel="0" collapsed="false">
      <c r="E842" s="1" t="str">
        <f aca="false">IF($A842="","", IFERROR(INDEX(Machine_List!$B$72:$B$81, MATCH("*"&amp;$B842&amp;"*", Machine_List!$J$72:$J$81, 0)), "No FID Match"))</f>
        <v/>
      </c>
    </row>
    <row r="843" customFormat="false" ht="15" hidden="false" customHeight="true" outlineLevel="0" collapsed="false">
      <c r="E843" s="1" t="str">
        <f aca="false">IF($A843="","", IFERROR(INDEX(Machine_List!$B$72:$B$81, MATCH("*"&amp;$B843&amp;"*", Machine_List!$J$72:$J$81, 0)), "No FID Match"))</f>
        <v/>
      </c>
    </row>
    <row r="844" customFormat="false" ht="15" hidden="false" customHeight="true" outlineLevel="0" collapsed="false">
      <c r="E844" s="1" t="str">
        <f aca="false">IF($A844="","", IFERROR(INDEX(Machine_List!$B$72:$B$81, MATCH("*"&amp;$B844&amp;"*", Machine_List!$J$72:$J$81, 0)), "No FID Match"))</f>
        <v/>
      </c>
    </row>
    <row r="845" customFormat="false" ht="15" hidden="false" customHeight="true" outlineLevel="0" collapsed="false">
      <c r="E845" s="1" t="str">
        <f aca="false">IF($A845="","", IFERROR(INDEX(Machine_List!$B$72:$B$81, MATCH("*"&amp;$B845&amp;"*", Machine_List!$J$72:$J$81, 0)), "No FID Match"))</f>
        <v/>
      </c>
    </row>
    <row r="846" customFormat="false" ht="15" hidden="false" customHeight="true" outlineLevel="0" collapsed="false">
      <c r="E846" s="1" t="str">
        <f aca="false">IF($A846="","", IFERROR(INDEX(Machine_List!$B$72:$B$81, MATCH("*"&amp;$B846&amp;"*", Machine_List!$J$72:$J$81, 0)), "No FID Match"))</f>
        <v/>
      </c>
    </row>
    <row r="847" customFormat="false" ht="15" hidden="false" customHeight="true" outlineLevel="0" collapsed="false">
      <c r="E847" s="1" t="str">
        <f aca="false">IF($A847="","", IFERROR(INDEX(Machine_List!$B$72:$B$81, MATCH("*"&amp;$B847&amp;"*", Machine_List!$J$72:$J$81, 0)), "No FID Match"))</f>
        <v/>
      </c>
    </row>
    <row r="848" customFormat="false" ht="15" hidden="false" customHeight="true" outlineLevel="0" collapsed="false">
      <c r="E848" s="1" t="str">
        <f aca="false">IF($A848="","", IFERROR(INDEX(Machine_List!$B$72:$B$81, MATCH("*"&amp;$B848&amp;"*", Machine_List!$J$72:$J$81, 0)), "No FID Match"))</f>
        <v/>
      </c>
    </row>
    <row r="849" customFormat="false" ht="15" hidden="false" customHeight="true" outlineLevel="0" collapsed="false">
      <c r="E849" s="1" t="str">
        <f aca="false">IF($A849="","", IFERROR(INDEX(Machine_List!$B$72:$B$81, MATCH("*"&amp;$B849&amp;"*", Machine_List!$J$72:$J$81, 0)), "No FID Match"))</f>
        <v/>
      </c>
    </row>
    <row r="850" customFormat="false" ht="15" hidden="false" customHeight="true" outlineLevel="0" collapsed="false">
      <c r="E850" s="1" t="str">
        <f aca="false">IF($A850="","", IFERROR(INDEX(Machine_List!$B$72:$B$81, MATCH("*"&amp;$B850&amp;"*", Machine_List!$J$72:$J$81, 0)), "No FID Match"))</f>
        <v/>
      </c>
    </row>
    <row r="851" customFormat="false" ht="15" hidden="false" customHeight="true" outlineLevel="0" collapsed="false">
      <c r="E851" s="1" t="str">
        <f aca="false">IF($A851="","", IFERROR(INDEX(Machine_List!$B$72:$B$81, MATCH("*"&amp;$B851&amp;"*", Machine_List!$J$72:$J$81, 0)), "No FID Match"))</f>
        <v/>
      </c>
    </row>
    <row r="852" customFormat="false" ht="15" hidden="false" customHeight="true" outlineLevel="0" collapsed="false">
      <c r="E852" s="1" t="str">
        <f aca="false">IF($A852="","", IFERROR(INDEX(Machine_List!$B$72:$B$81, MATCH("*"&amp;$B852&amp;"*", Machine_List!$J$72:$J$81, 0)), "No FID Match"))</f>
        <v/>
      </c>
    </row>
    <row r="853" customFormat="false" ht="15" hidden="false" customHeight="true" outlineLevel="0" collapsed="false">
      <c r="E853" s="1" t="str">
        <f aca="false">IF($A853="","", IFERROR(INDEX(Machine_List!$B$72:$B$81, MATCH("*"&amp;$B853&amp;"*", Machine_List!$J$72:$J$81, 0)), "No FID Match"))</f>
        <v/>
      </c>
    </row>
    <row r="854" customFormat="false" ht="15" hidden="false" customHeight="true" outlineLevel="0" collapsed="false">
      <c r="E854" s="1" t="str">
        <f aca="false">IF($A854="","", IFERROR(INDEX(Machine_List!$B$72:$B$81, MATCH("*"&amp;$B854&amp;"*", Machine_List!$J$72:$J$81, 0)), "No FID Match"))</f>
        <v/>
      </c>
    </row>
    <row r="855" customFormat="false" ht="15" hidden="false" customHeight="true" outlineLevel="0" collapsed="false">
      <c r="E855" s="1" t="str">
        <f aca="false">IF($A855="","", IFERROR(INDEX(Machine_List!$B$72:$B$81, MATCH("*"&amp;$B855&amp;"*", Machine_List!$J$72:$J$81, 0)), "No FID Match"))</f>
        <v/>
      </c>
    </row>
    <row r="856" customFormat="false" ht="15" hidden="false" customHeight="true" outlineLevel="0" collapsed="false">
      <c r="E856" s="1" t="str">
        <f aca="false">IF($A856="","", IFERROR(INDEX(Machine_List!$B$72:$B$81, MATCH("*"&amp;$B856&amp;"*", Machine_List!$J$72:$J$81, 0)), "No FID Match"))</f>
        <v/>
      </c>
    </row>
    <row r="857" customFormat="false" ht="15" hidden="false" customHeight="true" outlineLevel="0" collapsed="false">
      <c r="E857" s="1" t="str">
        <f aca="false">IF($A857="","", IFERROR(INDEX(Machine_List!$B$72:$B$81, MATCH("*"&amp;$B857&amp;"*", Machine_List!$J$72:$J$81, 0)), "No FID Match"))</f>
        <v/>
      </c>
    </row>
    <row r="858" customFormat="false" ht="15" hidden="false" customHeight="true" outlineLevel="0" collapsed="false">
      <c r="E858" s="1" t="str">
        <f aca="false">IF($A858="","", IFERROR(INDEX(Machine_List!$B$72:$B$81, MATCH("*"&amp;$B858&amp;"*", Machine_List!$J$72:$J$81, 0)), "No FID Match"))</f>
        <v/>
      </c>
    </row>
    <row r="859" customFormat="false" ht="15" hidden="false" customHeight="true" outlineLevel="0" collapsed="false">
      <c r="E859" s="1" t="str">
        <f aca="false">IF($A859="","", IFERROR(INDEX(Machine_List!$B$72:$B$81, MATCH("*"&amp;$B859&amp;"*", Machine_List!$J$72:$J$81, 0)), "No FID Match"))</f>
        <v/>
      </c>
    </row>
    <row r="860" customFormat="false" ht="15" hidden="false" customHeight="true" outlineLevel="0" collapsed="false">
      <c r="E860" s="1" t="str">
        <f aca="false">IF($A860="","", IFERROR(INDEX(Machine_List!$B$72:$B$81, MATCH("*"&amp;$B860&amp;"*", Machine_List!$J$72:$J$81, 0)), "No FID Match"))</f>
        <v/>
      </c>
    </row>
    <row r="861" customFormat="false" ht="15" hidden="false" customHeight="true" outlineLevel="0" collapsed="false">
      <c r="E861" s="1" t="str">
        <f aca="false">IF($A861="","", IFERROR(INDEX(Machine_List!$B$72:$B$81, MATCH("*"&amp;$B861&amp;"*", Machine_List!$J$72:$J$81, 0)), "No FID Match"))</f>
        <v/>
      </c>
    </row>
    <row r="862" customFormat="false" ht="15" hidden="false" customHeight="true" outlineLevel="0" collapsed="false">
      <c r="E862" s="1" t="str">
        <f aca="false">IF($A862="","", IFERROR(INDEX(Machine_List!$B$72:$B$81, MATCH("*"&amp;$B862&amp;"*", Machine_List!$J$72:$J$81, 0)), "No FID Match"))</f>
        <v/>
      </c>
    </row>
    <row r="863" customFormat="false" ht="15" hidden="false" customHeight="true" outlineLevel="0" collapsed="false">
      <c r="E863" s="1" t="str">
        <f aca="false">IF($A863="","", IFERROR(INDEX(Machine_List!$B$72:$B$81, MATCH("*"&amp;$B863&amp;"*", Machine_List!$J$72:$J$81, 0)), "No FID Match"))</f>
        <v/>
      </c>
    </row>
    <row r="864" customFormat="false" ht="15" hidden="false" customHeight="true" outlineLevel="0" collapsed="false">
      <c r="E864" s="1" t="str">
        <f aca="false">IF($A864="","", IFERROR(INDEX(Machine_List!$B$72:$B$81, MATCH("*"&amp;$B864&amp;"*", Machine_List!$J$72:$J$81, 0)), "No FID Match"))</f>
        <v/>
      </c>
    </row>
    <row r="865" customFormat="false" ht="15" hidden="false" customHeight="true" outlineLevel="0" collapsed="false">
      <c r="E865" s="1" t="str">
        <f aca="false">IF($A865="","", IFERROR(INDEX(Machine_List!$B$72:$B$81, MATCH("*"&amp;$B865&amp;"*", Machine_List!$J$72:$J$81, 0)), "No FID Match"))</f>
        <v/>
      </c>
    </row>
    <row r="866" customFormat="false" ht="15" hidden="false" customHeight="true" outlineLevel="0" collapsed="false">
      <c r="E866" s="1" t="str">
        <f aca="false">IF($A866="","", IFERROR(INDEX(Machine_List!$B$72:$B$81, MATCH("*"&amp;$B866&amp;"*", Machine_List!$J$72:$J$81, 0)), "No FID Match"))</f>
        <v/>
      </c>
    </row>
    <row r="867" customFormat="false" ht="15" hidden="false" customHeight="true" outlineLevel="0" collapsed="false">
      <c r="E867" s="1" t="str">
        <f aca="false">IF($A867="","", IFERROR(INDEX(Machine_List!$B$72:$B$81, MATCH("*"&amp;$B867&amp;"*", Machine_List!$J$72:$J$81, 0)), "No FID Match"))</f>
        <v/>
      </c>
    </row>
    <row r="868" customFormat="false" ht="15" hidden="false" customHeight="true" outlineLevel="0" collapsed="false">
      <c r="E868" s="1" t="str">
        <f aca="false">IF($A868="","", IFERROR(INDEX(Machine_List!$B$72:$B$81, MATCH("*"&amp;$B868&amp;"*", Machine_List!$J$72:$J$81, 0)), "No FID Match"))</f>
        <v/>
      </c>
    </row>
    <row r="869" customFormat="false" ht="15" hidden="false" customHeight="true" outlineLevel="0" collapsed="false">
      <c r="E869" s="1" t="str">
        <f aca="false">IF($A869="","", IFERROR(INDEX(Machine_List!$B$72:$B$81, MATCH("*"&amp;$B869&amp;"*", Machine_List!$J$72:$J$81, 0)), "No FID Match"))</f>
        <v/>
      </c>
    </row>
    <row r="870" customFormat="false" ht="15" hidden="false" customHeight="true" outlineLevel="0" collapsed="false">
      <c r="E870" s="1" t="str">
        <f aca="false">IF($A870="","", IFERROR(INDEX(Machine_List!$B$72:$B$81, MATCH("*"&amp;$B870&amp;"*", Machine_List!$J$72:$J$81, 0)), "No FID Match"))</f>
        <v/>
      </c>
    </row>
    <row r="871" customFormat="false" ht="15" hidden="false" customHeight="true" outlineLevel="0" collapsed="false">
      <c r="E871" s="1" t="str">
        <f aca="false">IF($A871="","", IFERROR(INDEX(Machine_List!$B$72:$B$81, MATCH("*"&amp;$B871&amp;"*", Machine_List!$J$72:$J$81, 0)), "No FID Match"))</f>
        <v/>
      </c>
    </row>
    <row r="872" customFormat="false" ht="15" hidden="false" customHeight="true" outlineLevel="0" collapsed="false">
      <c r="E872" s="1" t="str">
        <f aca="false">IF($A872="","", IFERROR(INDEX(Machine_List!$B$72:$B$81, MATCH("*"&amp;$B872&amp;"*", Machine_List!$J$72:$J$81, 0)), "No FID Match"))</f>
        <v/>
      </c>
    </row>
    <row r="873" customFormat="false" ht="15" hidden="false" customHeight="true" outlineLevel="0" collapsed="false">
      <c r="E873" s="1" t="str">
        <f aca="false">IF($A873="","", IFERROR(INDEX(Machine_List!$B$72:$B$81, MATCH("*"&amp;$B873&amp;"*", Machine_List!$J$72:$J$81, 0)), "No FID Match"))</f>
        <v/>
      </c>
    </row>
    <row r="874" customFormat="false" ht="15" hidden="false" customHeight="true" outlineLevel="0" collapsed="false">
      <c r="E874" s="1" t="str">
        <f aca="false">IF($A874="","", IFERROR(INDEX(Machine_List!$B$72:$B$81, MATCH("*"&amp;$B874&amp;"*", Machine_List!$J$72:$J$81, 0)), "No FID Match"))</f>
        <v/>
      </c>
    </row>
    <row r="875" customFormat="false" ht="15" hidden="false" customHeight="true" outlineLevel="0" collapsed="false">
      <c r="E875" s="1" t="str">
        <f aca="false">IF($A875="","", IFERROR(INDEX(Machine_List!$B$72:$B$81, MATCH("*"&amp;$B875&amp;"*", Machine_List!$J$72:$J$81, 0)), "No FID Match"))</f>
        <v/>
      </c>
    </row>
    <row r="876" customFormat="false" ht="15" hidden="false" customHeight="true" outlineLevel="0" collapsed="false">
      <c r="E876" s="1" t="str">
        <f aca="false">IF($A876="","", IFERROR(INDEX(Machine_List!$B$72:$B$81, MATCH("*"&amp;$B876&amp;"*", Machine_List!$J$72:$J$81, 0)), "No FID Match"))</f>
        <v/>
      </c>
    </row>
    <row r="877" customFormat="false" ht="15" hidden="false" customHeight="true" outlineLevel="0" collapsed="false">
      <c r="E877" s="1" t="str">
        <f aca="false">IF($A877="","", IFERROR(INDEX(Machine_List!$B$72:$B$81, MATCH("*"&amp;$B877&amp;"*", Machine_List!$J$72:$J$81, 0)), "No FID Match"))</f>
        <v/>
      </c>
    </row>
    <row r="878" customFormat="false" ht="15" hidden="false" customHeight="true" outlineLevel="0" collapsed="false">
      <c r="E878" s="1" t="str">
        <f aca="false">IF($A878="","", IFERROR(INDEX(Machine_List!$B$72:$B$81, MATCH("*"&amp;$B878&amp;"*", Machine_List!$J$72:$J$81, 0)), "No FID Match"))</f>
        <v/>
      </c>
    </row>
    <row r="879" customFormat="false" ht="15" hidden="false" customHeight="true" outlineLevel="0" collapsed="false">
      <c r="E879" s="1" t="str">
        <f aca="false">IF($A879="","", IFERROR(INDEX(Machine_List!$B$72:$B$81, MATCH("*"&amp;$B879&amp;"*", Machine_List!$J$72:$J$81, 0)), "No FID Match"))</f>
        <v/>
      </c>
    </row>
    <row r="880" customFormat="false" ht="15" hidden="false" customHeight="true" outlineLevel="0" collapsed="false">
      <c r="E880" s="1" t="str">
        <f aca="false">IF($A880="","", IFERROR(INDEX(Machine_List!$B$72:$B$81, MATCH("*"&amp;$B880&amp;"*", Machine_List!$J$72:$J$81, 0)), "No FID Match"))</f>
        <v/>
      </c>
    </row>
    <row r="881" customFormat="false" ht="15" hidden="false" customHeight="true" outlineLevel="0" collapsed="false">
      <c r="E881" s="1" t="str">
        <f aca="false">IF($A881="","", IFERROR(INDEX(Machine_List!$B$72:$B$81, MATCH("*"&amp;$B881&amp;"*", Machine_List!$J$72:$J$81, 0)), "No FID Match"))</f>
        <v/>
      </c>
    </row>
    <row r="882" customFormat="false" ht="15" hidden="false" customHeight="true" outlineLevel="0" collapsed="false">
      <c r="E882" s="1" t="str">
        <f aca="false">IF($A882="","", IFERROR(INDEX(Machine_List!$B$72:$B$81, MATCH("*"&amp;$B882&amp;"*", Machine_List!$J$72:$J$81, 0)), "No FID Match"))</f>
        <v/>
      </c>
    </row>
    <row r="883" customFormat="false" ht="15" hidden="false" customHeight="true" outlineLevel="0" collapsed="false">
      <c r="E883" s="1" t="str">
        <f aca="false">IF($A883="","", IFERROR(INDEX(Machine_List!$B$72:$B$81, MATCH("*"&amp;$B883&amp;"*", Machine_List!$J$72:$J$81, 0)), "No FID Match"))</f>
        <v/>
      </c>
    </row>
    <row r="884" customFormat="false" ht="15" hidden="false" customHeight="true" outlineLevel="0" collapsed="false">
      <c r="E884" s="1" t="str">
        <f aca="false">IF($A884="","", IFERROR(INDEX(Machine_List!$B$72:$B$81, MATCH("*"&amp;$B884&amp;"*", Machine_List!$J$72:$J$81, 0)), "No FID Match"))</f>
        <v/>
      </c>
    </row>
    <row r="885" customFormat="false" ht="15" hidden="false" customHeight="true" outlineLevel="0" collapsed="false">
      <c r="E885" s="1" t="str">
        <f aca="false">IF($A885="","", IFERROR(INDEX(Machine_List!$B$72:$B$81, MATCH("*"&amp;$B885&amp;"*", Machine_List!$J$72:$J$81, 0)), "No FID Match"))</f>
        <v/>
      </c>
    </row>
    <row r="886" customFormat="false" ht="15" hidden="false" customHeight="true" outlineLevel="0" collapsed="false">
      <c r="E886" s="1" t="str">
        <f aca="false">IF($A886="","", IFERROR(INDEX(Machine_List!$B$72:$B$81, MATCH("*"&amp;$B886&amp;"*", Machine_List!$J$72:$J$81, 0)), "No FID Match"))</f>
        <v/>
      </c>
    </row>
    <row r="887" customFormat="false" ht="15" hidden="false" customHeight="true" outlineLevel="0" collapsed="false">
      <c r="E887" s="1" t="str">
        <f aca="false">IF($A887="","", IFERROR(INDEX(Machine_List!$B$72:$B$81, MATCH("*"&amp;$B887&amp;"*", Machine_List!$J$72:$J$81, 0)), "No FID Match"))</f>
        <v/>
      </c>
    </row>
    <row r="888" customFormat="false" ht="15" hidden="false" customHeight="true" outlineLevel="0" collapsed="false">
      <c r="E888" s="1" t="str">
        <f aca="false">IF($A888="","", IFERROR(INDEX(Machine_List!$B$72:$B$81, MATCH("*"&amp;$B888&amp;"*", Machine_List!$J$72:$J$81, 0)), "No FID Match"))</f>
        <v/>
      </c>
    </row>
    <row r="889" customFormat="false" ht="15" hidden="false" customHeight="true" outlineLevel="0" collapsed="false">
      <c r="E889" s="1" t="str">
        <f aca="false">IF($A889="","", IFERROR(INDEX(Machine_List!$B$72:$B$81, MATCH("*"&amp;$B889&amp;"*", Machine_List!$J$72:$J$81, 0)), "No FID Match"))</f>
        <v/>
      </c>
    </row>
    <row r="890" customFormat="false" ht="15" hidden="false" customHeight="true" outlineLevel="0" collapsed="false">
      <c r="E890" s="1" t="str">
        <f aca="false">IF($A890="","", IFERROR(INDEX(Machine_List!$B$72:$B$81, MATCH("*"&amp;$B890&amp;"*", Machine_List!$J$72:$J$81, 0)), "No FID Match"))</f>
        <v/>
      </c>
    </row>
    <row r="891" customFormat="false" ht="15" hidden="false" customHeight="true" outlineLevel="0" collapsed="false">
      <c r="E891" s="1" t="str">
        <f aca="false">IF($A891="","", IFERROR(INDEX(Machine_List!$B$72:$B$81, MATCH("*"&amp;$B891&amp;"*", Machine_List!$J$72:$J$81, 0)), "No FID Match"))</f>
        <v/>
      </c>
    </row>
    <row r="892" customFormat="false" ht="15" hidden="false" customHeight="true" outlineLevel="0" collapsed="false">
      <c r="E892" s="1" t="str">
        <f aca="false">IF($A892="","", IFERROR(INDEX(Machine_List!$B$72:$B$81, MATCH("*"&amp;$B892&amp;"*", Machine_List!$J$72:$J$81, 0)), "No FID Match"))</f>
        <v/>
      </c>
    </row>
    <row r="893" customFormat="false" ht="15" hidden="false" customHeight="true" outlineLevel="0" collapsed="false">
      <c r="E893" s="1" t="str">
        <f aca="false">IF($A893="","", IFERROR(INDEX(Machine_List!$B$72:$B$81, MATCH("*"&amp;$B893&amp;"*", Machine_List!$J$72:$J$81, 0)), "No FID Match"))</f>
        <v/>
      </c>
    </row>
    <row r="894" customFormat="false" ht="15" hidden="false" customHeight="true" outlineLevel="0" collapsed="false">
      <c r="E894" s="1" t="str">
        <f aca="false">IF($A894="","", IFERROR(INDEX(Machine_List!$B$72:$B$81, MATCH("*"&amp;$B894&amp;"*", Machine_List!$J$72:$J$81, 0)), "No FID Match"))</f>
        <v/>
      </c>
    </row>
    <row r="895" customFormat="false" ht="15" hidden="false" customHeight="true" outlineLevel="0" collapsed="false">
      <c r="E895" s="1" t="str">
        <f aca="false">IF($A895="","", IFERROR(INDEX(Machine_List!$B$72:$B$81, MATCH("*"&amp;$B895&amp;"*", Machine_List!$J$72:$J$81, 0)), "No FID Match"))</f>
        <v/>
      </c>
    </row>
    <row r="896" customFormat="false" ht="15" hidden="false" customHeight="true" outlineLevel="0" collapsed="false">
      <c r="E896" s="1" t="str">
        <f aca="false">IF($A896="","", IFERROR(INDEX(Machine_List!$B$72:$B$81, MATCH("*"&amp;$B896&amp;"*", Machine_List!$J$72:$J$81, 0)), "No FID Match"))</f>
        <v/>
      </c>
    </row>
    <row r="897" customFormat="false" ht="15" hidden="false" customHeight="true" outlineLevel="0" collapsed="false">
      <c r="E897" s="1" t="str">
        <f aca="false">IF($A897="","", IFERROR(INDEX(Machine_List!$B$72:$B$81, MATCH("*"&amp;$B897&amp;"*", Machine_List!$J$72:$J$81, 0)), "No FID Match"))</f>
        <v/>
      </c>
    </row>
    <row r="898" customFormat="false" ht="15" hidden="false" customHeight="true" outlineLevel="0" collapsed="false">
      <c r="E898" s="1" t="str">
        <f aca="false">IF($A898="","", IFERROR(INDEX(Machine_List!$B$72:$B$81, MATCH("*"&amp;$B898&amp;"*", Machine_List!$J$72:$J$81, 0)), "No FID Match"))</f>
        <v/>
      </c>
    </row>
    <row r="899" customFormat="false" ht="15" hidden="false" customHeight="true" outlineLevel="0" collapsed="false">
      <c r="E899" s="1" t="str">
        <f aca="false">IF($A899="","", IFERROR(INDEX(Machine_List!$B$72:$B$81, MATCH("*"&amp;$B899&amp;"*", Machine_List!$J$72:$J$81, 0)), "No FID Match"))</f>
        <v/>
      </c>
    </row>
    <row r="900" customFormat="false" ht="15" hidden="false" customHeight="true" outlineLevel="0" collapsed="false">
      <c r="E900" s="1" t="str">
        <f aca="false">IF($A900="","", IFERROR(INDEX(Machine_List!$B$72:$B$81, MATCH("*"&amp;$B900&amp;"*", Machine_List!$J$72:$J$81, 0)), "No FID Match"))</f>
        <v/>
      </c>
    </row>
    <row r="901" customFormat="false" ht="15" hidden="false" customHeight="true" outlineLevel="0" collapsed="false">
      <c r="E901" s="1" t="str">
        <f aca="false">IF($A901="","", IFERROR(INDEX(Machine_List!$B$72:$B$81, MATCH("*"&amp;$B901&amp;"*", Machine_List!$J$72:$J$81, 0)), "No FID Match"))</f>
        <v/>
      </c>
    </row>
    <row r="902" customFormat="false" ht="15" hidden="false" customHeight="true" outlineLevel="0" collapsed="false">
      <c r="E902" s="1" t="str">
        <f aca="false">IF($A902="","", IFERROR(INDEX(Machine_List!$B$72:$B$81, MATCH("*"&amp;$B902&amp;"*", Machine_List!$J$72:$J$81, 0)), "No FID Match"))</f>
        <v/>
      </c>
    </row>
    <row r="903" customFormat="false" ht="15" hidden="false" customHeight="true" outlineLevel="0" collapsed="false">
      <c r="E903" s="1" t="str">
        <f aca="false">IF($A903="","", IFERROR(INDEX(Machine_List!$B$72:$B$81, MATCH("*"&amp;$B903&amp;"*", Machine_List!$J$72:$J$81, 0)), "No FID Match"))</f>
        <v/>
      </c>
    </row>
    <row r="904" customFormat="false" ht="15" hidden="false" customHeight="true" outlineLevel="0" collapsed="false">
      <c r="E904" s="1" t="str">
        <f aca="false">IF($A904="","", IFERROR(INDEX(Machine_List!$B$72:$B$81, MATCH("*"&amp;$B904&amp;"*", Machine_List!$J$72:$J$81, 0)), "No FID Match"))</f>
        <v/>
      </c>
    </row>
    <row r="905" customFormat="false" ht="15" hidden="false" customHeight="true" outlineLevel="0" collapsed="false">
      <c r="E905" s="1" t="str">
        <f aca="false">IF($A905="","", IFERROR(INDEX(Machine_List!$B$72:$B$81, MATCH("*"&amp;$B905&amp;"*", Machine_List!$J$72:$J$81, 0)), "No FID Match"))</f>
        <v/>
      </c>
    </row>
    <row r="906" customFormat="false" ht="15" hidden="false" customHeight="true" outlineLevel="0" collapsed="false">
      <c r="E906" s="1" t="str">
        <f aca="false">IF($A906="","", IFERROR(INDEX(Machine_List!$B$72:$B$81, MATCH("*"&amp;$B906&amp;"*", Machine_List!$J$72:$J$81, 0)), "No FID Match"))</f>
        <v/>
      </c>
    </row>
    <row r="907" customFormat="false" ht="15" hidden="false" customHeight="true" outlineLevel="0" collapsed="false">
      <c r="E907" s="1" t="str">
        <f aca="false">IF($A907="","", IFERROR(INDEX(Machine_List!$B$72:$B$81, MATCH("*"&amp;$B907&amp;"*", Machine_List!$J$72:$J$81, 0)), "No FID Match"))</f>
        <v/>
      </c>
    </row>
    <row r="908" customFormat="false" ht="15" hidden="false" customHeight="true" outlineLevel="0" collapsed="false">
      <c r="E908" s="1" t="str">
        <f aca="false">IF($A908="","", IFERROR(INDEX(Machine_List!$B$72:$B$81, MATCH("*"&amp;$B908&amp;"*", Machine_List!$J$72:$J$81, 0)), "No FID Match"))</f>
        <v/>
      </c>
    </row>
    <row r="909" customFormat="false" ht="15" hidden="false" customHeight="true" outlineLevel="0" collapsed="false">
      <c r="E909" s="1" t="str">
        <f aca="false">IF($A909="","", IFERROR(INDEX(Machine_List!$B$72:$B$81, MATCH("*"&amp;$B909&amp;"*", Machine_List!$J$72:$J$81, 0)), "No FID Match"))</f>
        <v/>
      </c>
    </row>
    <row r="910" customFormat="false" ht="15" hidden="false" customHeight="true" outlineLevel="0" collapsed="false">
      <c r="E910" s="1" t="str">
        <f aca="false">IF($A910="","", IFERROR(INDEX(Machine_List!$B$72:$B$81, MATCH("*"&amp;$B910&amp;"*", Machine_List!$J$72:$J$81, 0)), "No FID Match"))</f>
        <v/>
      </c>
    </row>
    <row r="911" customFormat="false" ht="15" hidden="false" customHeight="true" outlineLevel="0" collapsed="false">
      <c r="E911" s="1" t="str">
        <f aca="false">IF($A911="","", IFERROR(INDEX(Machine_List!$B$72:$B$81, MATCH("*"&amp;$B911&amp;"*", Machine_List!$J$72:$J$81, 0)), "No FID Match"))</f>
        <v/>
      </c>
    </row>
    <row r="912" customFormat="false" ht="15" hidden="false" customHeight="true" outlineLevel="0" collapsed="false">
      <c r="E912" s="1" t="str">
        <f aca="false">IF($A912="","", IFERROR(INDEX(Machine_List!$B$72:$B$81, MATCH("*"&amp;$B912&amp;"*", Machine_List!$J$72:$J$81, 0)), "No FID Match"))</f>
        <v/>
      </c>
    </row>
    <row r="913" customFormat="false" ht="15" hidden="false" customHeight="true" outlineLevel="0" collapsed="false">
      <c r="E913" s="1" t="str">
        <f aca="false">IF($A913="","", IFERROR(INDEX(Machine_List!$B$72:$B$81, MATCH("*"&amp;$B913&amp;"*", Machine_List!$J$72:$J$81, 0)), "No FID Match"))</f>
        <v/>
      </c>
    </row>
    <row r="914" customFormat="false" ht="15" hidden="false" customHeight="true" outlineLevel="0" collapsed="false">
      <c r="E914" s="1" t="str">
        <f aca="false">IF($A914="","", IFERROR(INDEX(Machine_List!$B$72:$B$81, MATCH("*"&amp;$B914&amp;"*", Machine_List!$J$72:$J$81, 0)), "No FID Match"))</f>
        <v/>
      </c>
    </row>
    <row r="915" customFormat="false" ht="15" hidden="false" customHeight="true" outlineLevel="0" collapsed="false">
      <c r="E915" s="1" t="str">
        <f aca="false">IF($A915="","", IFERROR(INDEX(Machine_List!$B$72:$B$81, MATCH("*"&amp;$B915&amp;"*", Machine_List!$J$72:$J$81, 0)), "No FID Match"))</f>
        <v/>
      </c>
    </row>
    <row r="916" customFormat="false" ht="15" hidden="false" customHeight="true" outlineLevel="0" collapsed="false">
      <c r="E916" s="1" t="str">
        <f aca="false">IF($A916="","", IFERROR(INDEX(Machine_List!$B$72:$B$81, MATCH("*"&amp;$B916&amp;"*", Machine_List!$J$72:$J$81, 0)), "No FID Match"))</f>
        <v/>
      </c>
    </row>
    <row r="917" customFormat="false" ht="15" hidden="false" customHeight="true" outlineLevel="0" collapsed="false">
      <c r="E917" s="1" t="str">
        <f aca="false">IF($A917="","", IFERROR(INDEX(Machine_List!$B$72:$B$81, MATCH("*"&amp;$B917&amp;"*", Machine_List!$J$72:$J$81, 0)), "No FID Match"))</f>
        <v/>
      </c>
    </row>
    <row r="918" customFormat="false" ht="15" hidden="false" customHeight="true" outlineLevel="0" collapsed="false">
      <c r="E918" s="1" t="str">
        <f aca="false">IF($A918="","", IFERROR(INDEX(Machine_List!$B$72:$B$81, MATCH("*"&amp;$B918&amp;"*", Machine_List!$J$72:$J$81, 0)), "No FID Match"))</f>
        <v/>
      </c>
    </row>
    <row r="919" customFormat="false" ht="15" hidden="false" customHeight="true" outlineLevel="0" collapsed="false">
      <c r="E919" s="1" t="str">
        <f aca="false">IF($A919="","", IFERROR(INDEX(Machine_List!$B$72:$B$81, MATCH("*"&amp;$B919&amp;"*", Machine_List!$J$72:$J$81, 0)), "No FID Match"))</f>
        <v/>
      </c>
    </row>
    <row r="920" customFormat="false" ht="15" hidden="false" customHeight="true" outlineLevel="0" collapsed="false">
      <c r="E920" s="1" t="str">
        <f aca="false">IF($A920="","", IFERROR(INDEX(Machine_List!$B$72:$B$81, MATCH("*"&amp;$B920&amp;"*", Machine_List!$J$72:$J$81, 0)), "No FID Match"))</f>
        <v/>
      </c>
    </row>
    <row r="921" customFormat="false" ht="15" hidden="false" customHeight="true" outlineLevel="0" collapsed="false">
      <c r="E921" s="1" t="str">
        <f aca="false">IF($A921="","", IFERROR(INDEX(Machine_List!$B$72:$B$81, MATCH("*"&amp;$B921&amp;"*", Machine_List!$J$72:$J$81, 0)), "No FID Match"))</f>
        <v/>
      </c>
    </row>
    <row r="922" customFormat="false" ht="15" hidden="false" customHeight="true" outlineLevel="0" collapsed="false">
      <c r="E922" s="1" t="str">
        <f aca="false">IF($A922="","", IFERROR(INDEX(Machine_List!$B$72:$B$81, MATCH("*"&amp;$B922&amp;"*", Machine_List!$J$72:$J$81, 0)), "No FID Match"))</f>
        <v/>
      </c>
    </row>
    <row r="923" customFormat="false" ht="15" hidden="false" customHeight="true" outlineLevel="0" collapsed="false">
      <c r="E923" s="1" t="str">
        <f aca="false">IF($A923="","", IFERROR(INDEX(Machine_List!$B$72:$B$81, MATCH("*"&amp;$B923&amp;"*", Machine_List!$J$72:$J$81, 0)), "No FID Match"))</f>
        <v/>
      </c>
    </row>
    <row r="924" customFormat="false" ht="15" hidden="false" customHeight="true" outlineLevel="0" collapsed="false">
      <c r="E924" s="1" t="str">
        <f aca="false">IF($A924="","", IFERROR(INDEX(Machine_List!$B$72:$B$81, MATCH("*"&amp;$B924&amp;"*", Machine_List!$J$72:$J$81, 0)), "No FID Match"))</f>
        <v/>
      </c>
    </row>
    <row r="925" customFormat="false" ht="15" hidden="false" customHeight="true" outlineLevel="0" collapsed="false">
      <c r="E925" s="1" t="str">
        <f aca="false">IF($A925="","", IFERROR(INDEX(Machine_List!$B$72:$B$81, MATCH("*"&amp;$B925&amp;"*", Machine_List!$J$72:$J$81, 0)), "No FID Match"))</f>
        <v/>
      </c>
    </row>
    <row r="926" customFormat="false" ht="15" hidden="false" customHeight="true" outlineLevel="0" collapsed="false">
      <c r="E926" s="1" t="str">
        <f aca="false">IF($A926="","", IFERROR(INDEX(Machine_List!$B$72:$B$81, MATCH("*"&amp;$B926&amp;"*", Machine_List!$J$72:$J$81, 0)), "No FID Match"))</f>
        <v/>
      </c>
    </row>
    <row r="927" customFormat="false" ht="15" hidden="false" customHeight="true" outlineLevel="0" collapsed="false">
      <c r="E927" s="1" t="str">
        <f aca="false">IF($A927="","", IFERROR(INDEX(Machine_List!$B$72:$B$81, MATCH("*"&amp;$B927&amp;"*", Machine_List!$J$72:$J$81, 0)), "No FID Match"))</f>
        <v/>
      </c>
    </row>
    <row r="928" customFormat="false" ht="15" hidden="false" customHeight="true" outlineLevel="0" collapsed="false">
      <c r="E928" s="1" t="str">
        <f aca="false">IF($A928="","", IFERROR(INDEX(Machine_List!$B$72:$B$81, MATCH("*"&amp;$B928&amp;"*", Machine_List!$J$72:$J$81, 0)), "No FID Match"))</f>
        <v/>
      </c>
    </row>
    <row r="929" customFormat="false" ht="15" hidden="false" customHeight="true" outlineLevel="0" collapsed="false">
      <c r="E929" s="1" t="str">
        <f aca="false">IF($A929="","", IFERROR(INDEX(Machine_List!$B$72:$B$81, MATCH("*"&amp;$B929&amp;"*", Machine_List!$J$72:$J$81, 0)), "No FID Match"))</f>
        <v/>
      </c>
    </row>
    <row r="930" customFormat="false" ht="15" hidden="false" customHeight="true" outlineLevel="0" collapsed="false">
      <c r="E930" s="1" t="str">
        <f aca="false">IF($A930="","", IFERROR(INDEX(Machine_List!$B$72:$B$81, MATCH("*"&amp;$B930&amp;"*", Machine_List!$J$72:$J$81, 0)), "No FID Match"))</f>
        <v/>
      </c>
    </row>
    <row r="931" customFormat="false" ht="15" hidden="false" customHeight="true" outlineLevel="0" collapsed="false">
      <c r="E931" s="1" t="str">
        <f aca="false">IF($A931="","", IFERROR(INDEX(Machine_List!$B$72:$B$81, MATCH("*"&amp;$B931&amp;"*", Machine_List!$J$72:$J$81, 0)), "No FID Match"))</f>
        <v/>
      </c>
    </row>
    <row r="932" customFormat="false" ht="15" hidden="false" customHeight="true" outlineLevel="0" collapsed="false">
      <c r="E932" s="1" t="str">
        <f aca="false">IF($A932="","", IFERROR(INDEX(Machine_List!$B$72:$B$81, MATCH("*"&amp;$B932&amp;"*", Machine_List!$J$72:$J$81, 0)), "No FID Match"))</f>
        <v/>
      </c>
    </row>
    <row r="933" customFormat="false" ht="15" hidden="false" customHeight="true" outlineLevel="0" collapsed="false">
      <c r="E933" s="1" t="str">
        <f aca="false">IF($A933="","", IFERROR(INDEX(Machine_List!$B$72:$B$81, MATCH("*"&amp;$B933&amp;"*", Machine_List!$J$72:$J$81, 0)), "No FID Match"))</f>
        <v/>
      </c>
    </row>
    <row r="934" customFormat="false" ht="15" hidden="false" customHeight="true" outlineLevel="0" collapsed="false">
      <c r="E934" s="1" t="str">
        <f aca="false">IF($A934="","", IFERROR(INDEX(Machine_List!$B$72:$B$81, MATCH("*"&amp;$B934&amp;"*", Machine_List!$J$72:$J$81, 0)), "No FID Match"))</f>
        <v/>
      </c>
    </row>
    <row r="935" customFormat="false" ht="15" hidden="false" customHeight="true" outlineLevel="0" collapsed="false">
      <c r="E935" s="1" t="str">
        <f aca="false">IF($A935="","", IFERROR(INDEX(Machine_List!$B$72:$B$81, MATCH("*"&amp;$B935&amp;"*", Machine_List!$J$72:$J$81, 0)), "No FID Match"))</f>
        <v/>
      </c>
    </row>
    <row r="936" customFormat="false" ht="15" hidden="false" customHeight="true" outlineLevel="0" collapsed="false">
      <c r="E936" s="1" t="str">
        <f aca="false">IF($A936="","", IFERROR(INDEX(Machine_List!$B$72:$B$81, MATCH("*"&amp;$B936&amp;"*", Machine_List!$J$72:$J$81, 0)), "No FID Match"))</f>
        <v/>
      </c>
    </row>
    <row r="937" customFormat="false" ht="15" hidden="false" customHeight="true" outlineLevel="0" collapsed="false">
      <c r="E937" s="1" t="str">
        <f aca="false">IF($A937="","", IFERROR(INDEX(Machine_List!$B$72:$B$81, MATCH("*"&amp;$B937&amp;"*", Machine_List!$J$72:$J$81, 0)), "No FID Match"))</f>
        <v/>
      </c>
    </row>
    <row r="938" customFormat="false" ht="15" hidden="false" customHeight="true" outlineLevel="0" collapsed="false">
      <c r="E938" s="1" t="str">
        <f aca="false">IF($A938="","", IFERROR(INDEX(Machine_List!$B$72:$B$81, MATCH("*"&amp;$B938&amp;"*", Machine_List!$J$72:$J$81, 0)), "No FID Match"))</f>
        <v/>
      </c>
    </row>
    <row r="939" customFormat="false" ht="15" hidden="false" customHeight="true" outlineLevel="0" collapsed="false">
      <c r="E939" s="1" t="str">
        <f aca="false">IF($A939="","", IFERROR(INDEX(Machine_List!$B$72:$B$81, MATCH("*"&amp;$B939&amp;"*", Machine_List!$J$72:$J$81, 0)), "No FID Match"))</f>
        <v/>
      </c>
    </row>
    <row r="940" customFormat="false" ht="15" hidden="false" customHeight="true" outlineLevel="0" collapsed="false">
      <c r="E940" s="1" t="str">
        <f aca="false">IF($A940="","", IFERROR(INDEX(Machine_List!$B$72:$B$81, MATCH("*"&amp;$B940&amp;"*", Machine_List!$J$72:$J$81, 0)), "No FID Match"))</f>
        <v/>
      </c>
    </row>
    <row r="941" customFormat="false" ht="15" hidden="false" customHeight="true" outlineLevel="0" collapsed="false">
      <c r="E941" s="1" t="str">
        <f aca="false">IF($A941="","", IFERROR(INDEX(Machine_List!$B$72:$B$81, MATCH("*"&amp;$B941&amp;"*", Machine_List!$J$72:$J$81, 0)), "No FID Match"))</f>
        <v/>
      </c>
    </row>
    <row r="942" customFormat="false" ht="15" hidden="false" customHeight="true" outlineLevel="0" collapsed="false">
      <c r="E942" s="1" t="str">
        <f aca="false">IF($A942="","", IFERROR(INDEX(Machine_List!$B$72:$B$81, MATCH("*"&amp;$B942&amp;"*", Machine_List!$J$72:$J$81, 0)), "No FID Match"))</f>
        <v/>
      </c>
    </row>
    <row r="943" customFormat="false" ht="15" hidden="false" customHeight="true" outlineLevel="0" collapsed="false">
      <c r="E943" s="1" t="str">
        <f aca="false">IF($A943="","", IFERROR(INDEX(Machine_List!$B$72:$B$81, MATCH("*"&amp;$B943&amp;"*", Machine_List!$J$72:$J$81, 0)), "No FID Match"))</f>
        <v/>
      </c>
    </row>
    <row r="944" customFormat="false" ht="15" hidden="false" customHeight="true" outlineLevel="0" collapsed="false">
      <c r="E944" s="1" t="str">
        <f aca="false">IF($A944="","", IFERROR(INDEX(Machine_List!$B$72:$B$81, MATCH("*"&amp;$B944&amp;"*", Machine_List!$J$72:$J$81, 0)), "No FID Match"))</f>
        <v/>
      </c>
    </row>
    <row r="945" customFormat="false" ht="15" hidden="false" customHeight="true" outlineLevel="0" collapsed="false">
      <c r="E945" s="1" t="str">
        <f aca="false">IF($A945="","", IFERROR(INDEX(Machine_List!$B$72:$B$81, MATCH("*"&amp;$B945&amp;"*", Machine_List!$J$72:$J$81, 0)), "No FID Match"))</f>
        <v/>
      </c>
    </row>
    <row r="946" customFormat="false" ht="15" hidden="false" customHeight="true" outlineLevel="0" collapsed="false">
      <c r="E946" s="1" t="str">
        <f aca="false">IF($A946="","", IFERROR(INDEX(Machine_List!$B$72:$B$81, MATCH("*"&amp;$B946&amp;"*", Machine_List!$J$72:$J$81, 0)), "No FID Match"))</f>
        <v/>
      </c>
    </row>
    <row r="947" customFormat="false" ht="15" hidden="false" customHeight="true" outlineLevel="0" collapsed="false">
      <c r="E947" s="1" t="str">
        <f aca="false">IF($A947="","", IFERROR(INDEX(Machine_List!$B$72:$B$81, MATCH("*"&amp;$B947&amp;"*", Machine_List!$J$72:$J$81, 0)), "No FID Match"))</f>
        <v/>
      </c>
    </row>
    <row r="948" customFormat="false" ht="15" hidden="false" customHeight="true" outlineLevel="0" collapsed="false">
      <c r="E948" s="1" t="str">
        <f aca="false">IF($A948="","", IFERROR(INDEX(Machine_List!$B$72:$B$81, MATCH("*"&amp;$B948&amp;"*", Machine_List!$J$72:$J$81, 0)), "No FID Match"))</f>
        <v/>
      </c>
    </row>
    <row r="949" customFormat="false" ht="15" hidden="false" customHeight="true" outlineLevel="0" collapsed="false">
      <c r="E949" s="1" t="str">
        <f aca="false">IF($A949="","", IFERROR(INDEX(Machine_List!$B$72:$B$81, MATCH("*"&amp;$B949&amp;"*", Machine_List!$J$72:$J$81, 0)), "No FID Match"))</f>
        <v/>
      </c>
    </row>
    <row r="950" customFormat="false" ht="15" hidden="false" customHeight="true" outlineLevel="0" collapsed="false">
      <c r="E950" s="1" t="str">
        <f aca="false">IF($A950="","", IFERROR(INDEX(Machine_List!$B$72:$B$81, MATCH("*"&amp;$B950&amp;"*", Machine_List!$J$72:$J$81, 0)), "No FID Match"))</f>
        <v/>
      </c>
    </row>
    <row r="951" customFormat="false" ht="15" hidden="false" customHeight="true" outlineLevel="0" collapsed="false">
      <c r="E951" s="1" t="str">
        <f aca="false">IF($A951="","", IFERROR(INDEX(Machine_List!$B$72:$B$81, MATCH("*"&amp;$B951&amp;"*", Machine_List!$J$72:$J$81, 0)), "No FID Match"))</f>
        <v/>
      </c>
    </row>
    <row r="952" customFormat="false" ht="15" hidden="false" customHeight="true" outlineLevel="0" collapsed="false">
      <c r="E952" s="1" t="str">
        <f aca="false">IF($A952="","", IFERROR(INDEX(Machine_List!$B$72:$B$81, MATCH("*"&amp;$B952&amp;"*", Machine_List!$J$72:$J$81, 0)), "No FID Match"))</f>
        <v/>
      </c>
    </row>
    <row r="953" customFormat="false" ht="15" hidden="false" customHeight="true" outlineLevel="0" collapsed="false">
      <c r="E953" s="1" t="str">
        <f aca="false">IF($A953="","", IFERROR(INDEX(Machine_List!$B$72:$B$81, MATCH("*"&amp;$B953&amp;"*", Machine_List!$J$72:$J$81, 0)), "No FID Match"))</f>
        <v/>
      </c>
    </row>
    <row r="954" customFormat="false" ht="15" hidden="false" customHeight="true" outlineLevel="0" collapsed="false">
      <c r="E954" s="1" t="str">
        <f aca="false">IF($A954="","", IFERROR(INDEX(Machine_List!$B$72:$B$81, MATCH("*"&amp;$B954&amp;"*", Machine_List!$J$72:$J$81, 0)), "No FID Match"))</f>
        <v/>
      </c>
    </row>
    <row r="955" customFormat="false" ht="15" hidden="false" customHeight="true" outlineLevel="0" collapsed="false">
      <c r="E955" s="1" t="str">
        <f aca="false">IF($A955="","", IFERROR(INDEX(Machine_List!$B$72:$B$81, MATCH("*"&amp;$B955&amp;"*", Machine_List!$J$72:$J$81, 0)), "No FID Match"))</f>
        <v/>
      </c>
    </row>
    <row r="956" customFormat="false" ht="15" hidden="false" customHeight="true" outlineLevel="0" collapsed="false">
      <c r="E956" s="1" t="str">
        <f aca="false">IF($A956="","", IFERROR(INDEX(Machine_List!$B$72:$B$81, MATCH("*"&amp;$B956&amp;"*", Machine_List!$J$72:$J$81, 0)), "No FID Match"))</f>
        <v/>
      </c>
    </row>
    <row r="957" customFormat="false" ht="15" hidden="false" customHeight="true" outlineLevel="0" collapsed="false">
      <c r="E957" s="1" t="str">
        <f aca="false">IF($A957="","", IFERROR(INDEX(Machine_List!$B$72:$B$81, MATCH("*"&amp;$B957&amp;"*", Machine_List!$J$72:$J$81, 0)), "No FID Match"))</f>
        <v/>
      </c>
    </row>
    <row r="958" customFormat="false" ht="15" hidden="false" customHeight="true" outlineLevel="0" collapsed="false">
      <c r="E958" s="1" t="str">
        <f aca="false">IF($A958="","", IFERROR(INDEX(Machine_List!$B$72:$B$81, MATCH("*"&amp;$B958&amp;"*", Machine_List!$J$72:$J$81, 0)), "No FID Match"))</f>
        <v/>
      </c>
    </row>
    <row r="959" customFormat="false" ht="15" hidden="false" customHeight="true" outlineLevel="0" collapsed="false">
      <c r="E959" s="1" t="str">
        <f aca="false">IF($A959="","", IFERROR(INDEX(Machine_List!$B$72:$B$81, MATCH("*"&amp;$B959&amp;"*", Machine_List!$J$72:$J$81, 0)), "No FID Match"))</f>
        <v/>
      </c>
    </row>
    <row r="960" customFormat="false" ht="15" hidden="false" customHeight="true" outlineLevel="0" collapsed="false">
      <c r="E960" s="1" t="str">
        <f aca="false">IF($A960="","", IFERROR(INDEX(Machine_List!$B$72:$B$81, MATCH("*"&amp;$B960&amp;"*", Machine_List!$J$72:$J$81, 0)), "No FID Match"))</f>
        <v/>
      </c>
    </row>
    <row r="961" customFormat="false" ht="15" hidden="false" customHeight="true" outlineLevel="0" collapsed="false">
      <c r="E961" s="1" t="str">
        <f aca="false">IF($A961="","", IFERROR(INDEX(Machine_List!$B$72:$B$81, MATCH("*"&amp;$B961&amp;"*", Machine_List!$J$72:$J$81, 0)), "No FID Match"))</f>
        <v/>
      </c>
    </row>
    <row r="962" customFormat="false" ht="15" hidden="false" customHeight="true" outlineLevel="0" collapsed="false">
      <c r="E962" s="1" t="str">
        <f aca="false">IF($A962="","", IFERROR(INDEX(Machine_List!$B$72:$B$81, MATCH("*"&amp;$B962&amp;"*", Machine_List!$J$72:$J$81, 0)), "No FID Match"))</f>
        <v/>
      </c>
    </row>
    <row r="963" customFormat="false" ht="15" hidden="false" customHeight="true" outlineLevel="0" collapsed="false">
      <c r="E963" s="1" t="str">
        <f aca="false">IF($A963="","", IFERROR(INDEX(Machine_List!$B$72:$B$81, MATCH("*"&amp;$B963&amp;"*", Machine_List!$J$72:$J$81, 0)), "No FID Match"))</f>
        <v/>
      </c>
    </row>
    <row r="964" customFormat="false" ht="15" hidden="false" customHeight="true" outlineLevel="0" collapsed="false">
      <c r="E964" s="1" t="str">
        <f aca="false">IF($A964="","", IFERROR(INDEX(Machine_List!$B$72:$B$81, MATCH("*"&amp;$B964&amp;"*", Machine_List!$J$72:$J$81, 0)), "No FID Match"))</f>
        <v/>
      </c>
    </row>
    <row r="965" customFormat="false" ht="15" hidden="false" customHeight="true" outlineLevel="0" collapsed="false">
      <c r="E965" s="1" t="str">
        <f aca="false">IF($A965="","", IFERROR(INDEX(Machine_List!$B$72:$B$81, MATCH("*"&amp;$B965&amp;"*", Machine_List!$J$72:$J$81, 0)), "No FID Match"))</f>
        <v/>
      </c>
    </row>
    <row r="966" customFormat="false" ht="15" hidden="false" customHeight="true" outlineLevel="0" collapsed="false">
      <c r="E966" s="1" t="str">
        <f aca="false">IF($A966="","", IFERROR(INDEX(Machine_List!$B$72:$B$81, MATCH("*"&amp;$B966&amp;"*", Machine_List!$J$72:$J$81, 0)), "No FID Match"))</f>
        <v/>
      </c>
    </row>
    <row r="967" customFormat="false" ht="15" hidden="false" customHeight="true" outlineLevel="0" collapsed="false">
      <c r="E967" s="1" t="str">
        <f aca="false">IF($A967="","", IFERROR(INDEX(Machine_List!$B$72:$B$81, MATCH("*"&amp;$B967&amp;"*", Machine_List!$J$72:$J$81, 0)), "No FID Match"))</f>
        <v/>
      </c>
    </row>
    <row r="968" customFormat="false" ht="15" hidden="false" customHeight="true" outlineLevel="0" collapsed="false">
      <c r="E968" s="1" t="str">
        <f aca="false">IF($A968="","", IFERROR(INDEX(Machine_List!$B$72:$B$81, MATCH("*"&amp;$B968&amp;"*", Machine_List!$J$72:$J$81, 0)), "No FID Match"))</f>
        <v/>
      </c>
    </row>
    <row r="969" customFormat="false" ht="15" hidden="false" customHeight="true" outlineLevel="0" collapsed="false">
      <c r="E969" s="1" t="str">
        <f aca="false">IF($A969="","", IFERROR(INDEX(Machine_List!$B$72:$B$81, MATCH("*"&amp;$B969&amp;"*", Machine_List!$J$72:$J$81, 0)), "No FID Match"))</f>
        <v/>
      </c>
    </row>
    <row r="970" customFormat="false" ht="15" hidden="false" customHeight="true" outlineLevel="0" collapsed="false">
      <c r="E970" s="1" t="str">
        <f aca="false">IF($A970="","", IFERROR(INDEX(Machine_List!$B$72:$B$81, MATCH("*"&amp;$B970&amp;"*", Machine_List!$J$72:$J$81, 0)), "No FID Match"))</f>
        <v/>
      </c>
    </row>
    <row r="971" customFormat="false" ht="15" hidden="false" customHeight="true" outlineLevel="0" collapsed="false">
      <c r="E971" s="1" t="str">
        <f aca="false">IF($A971="","", IFERROR(INDEX(Machine_List!$B$72:$B$81, MATCH("*"&amp;$B971&amp;"*", Machine_List!$J$72:$J$81, 0)), "No FID Match"))</f>
        <v/>
      </c>
    </row>
    <row r="972" customFormat="false" ht="15" hidden="false" customHeight="true" outlineLevel="0" collapsed="false">
      <c r="E972" s="1" t="str">
        <f aca="false">IF($A972="","", IFERROR(INDEX(Machine_List!$B$72:$B$81, MATCH("*"&amp;$B972&amp;"*", Machine_List!$J$72:$J$81, 0)), "No FID Match"))</f>
        <v/>
      </c>
    </row>
    <row r="973" customFormat="false" ht="15" hidden="false" customHeight="true" outlineLevel="0" collapsed="false">
      <c r="E973" s="1" t="str">
        <f aca="false">IF($A973="","", IFERROR(INDEX(Machine_List!$B$72:$B$81, MATCH("*"&amp;$B973&amp;"*", Machine_List!$J$72:$J$81, 0)), "No FID Match"))</f>
        <v/>
      </c>
    </row>
    <row r="974" customFormat="false" ht="15" hidden="false" customHeight="true" outlineLevel="0" collapsed="false">
      <c r="E974" s="1" t="str">
        <f aca="false">IF($A974="","", IFERROR(INDEX(Machine_List!$B$72:$B$81, MATCH("*"&amp;$B974&amp;"*", Machine_List!$J$72:$J$81, 0)), "No FID Match"))</f>
        <v/>
      </c>
    </row>
    <row r="975" customFormat="false" ht="15" hidden="false" customHeight="true" outlineLevel="0" collapsed="false">
      <c r="E975" s="1" t="str">
        <f aca="false">IF($A975="","", IFERROR(INDEX(Machine_List!$B$72:$B$81, MATCH("*"&amp;$B975&amp;"*", Machine_List!$J$72:$J$81, 0)), "No FID Match"))</f>
        <v/>
      </c>
    </row>
    <row r="976" customFormat="false" ht="15" hidden="false" customHeight="true" outlineLevel="0" collapsed="false">
      <c r="E976" s="1" t="str">
        <f aca="false">IF($A976="","", IFERROR(INDEX(Machine_List!$B$72:$B$81, MATCH("*"&amp;$B976&amp;"*", Machine_List!$J$72:$J$81, 0)), "No FID Match"))</f>
        <v/>
      </c>
    </row>
    <row r="977" customFormat="false" ht="15" hidden="false" customHeight="true" outlineLevel="0" collapsed="false">
      <c r="E977" s="1" t="str">
        <f aca="false">IF($A977="","", IFERROR(INDEX(Machine_List!$B$72:$B$81, MATCH("*"&amp;$B977&amp;"*", Machine_List!$J$72:$J$81, 0)), "No FID Match"))</f>
        <v/>
      </c>
    </row>
    <row r="978" customFormat="false" ht="15" hidden="false" customHeight="true" outlineLevel="0" collapsed="false">
      <c r="E978" s="1" t="str">
        <f aca="false">IF($A978="","", IFERROR(INDEX(Machine_List!$B$72:$B$81, MATCH("*"&amp;$B978&amp;"*", Machine_List!$J$72:$J$81, 0)), "No FID Match"))</f>
        <v/>
      </c>
    </row>
    <row r="979" customFormat="false" ht="15" hidden="false" customHeight="true" outlineLevel="0" collapsed="false">
      <c r="E979" s="1" t="str">
        <f aca="false">IF($A979="","", IFERROR(INDEX(Machine_List!$B$72:$B$81, MATCH("*"&amp;$B979&amp;"*", Machine_List!$J$72:$J$81, 0)), "No FID Match"))</f>
        <v/>
      </c>
    </row>
    <row r="980" customFormat="false" ht="15" hidden="false" customHeight="true" outlineLevel="0" collapsed="false">
      <c r="E980" s="1" t="str">
        <f aca="false">IF($A980="","", IFERROR(INDEX(Machine_List!$B$72:$B$81, MATCH("*"&amp;$B980&amp;"*", Machine_List!$J$72:$J$81, 0)), "No FID Match"))</f>
        <v/>
      </c>
    </row>
    <row r="981" customFormat="false" ht="15" hidden="false" customHeight="true" outlineLevel="0" collapsed="false">
      <c r="E981" s="1" t="str">
        <f aca="false">IF($A981="","", IFERROR(INDEX(Machine_List!$B$72:$B$81, MATCH("*"&amp;$B981&amp;"*", Machine_List!$J$72:$J$81, 0)), "No FID Match"))</f>
        <v/>
      </c>
    </row>
    <row r="982" customFormat="false" ht="15" hidden="false" customHeight="true" outlineLevel="0" collapsed="false">
      <c r="E982" s="1" t="str">
        <f aca="false">IF($A982="","", IFERROR(INDEX(Machine_List!$B$72:$B$81, MATCH("*"&amp;$B982&amp;"*", Machine_List!$J$72:$J$81, 0)), "No FID Match"))</f>
        <v/>
      </c>
    </row>
    <row r="983" customFormat="false" ht="15" hidden="false" customHeight="true" outlineLevel="0" collapsed="false">
      <c r="E983" s="1" t="str">
        <f aca="false">IF($A983="","", IFERROR(INDEX(Machine_List!$B$72:$B$81, MATCH("*"&amp;$B983&amp;"*", Machine_List!$J$72:$J$81, 0)), "No FID Match"))</f>
        <v/>
      </c>
    </row>
    <row r="984" customFormat="false" ht="15" hidden="false" customHeight="true" outlineLevel="0" collapsed="false">
      <c r="E984" s="1" t="str">
        <f aca="false">IF($A984="","", IFERROR(INDEX(Machine_List!$B$72:$B$81, MATCH("*"&amp;$B984&amp;"*", Machine_List!$J$72:$J$81, 0)), "No FID Match"))</f>
        <v/>
      </c>
    </row>
    <row r="985" customFormat="false" ht="15" hidden="false" customHeight="true" outlineLevel="0" collapsed="false">
      <c r="E985" s="1" t="str">
        <f aca="false">IF($A985="","", IFERROR(INDEX(Machine_List!$B$72:$B$81, MATCH("*"&amp;$B985&amp;"*", Machine_List!$J$72:$J$81, 0)), "No FID Match"))</f>
        <v/>
      </c>
    </row>
    <row r="986" customFormat="false" ht="15" hidden="false" customHeight="true" outlineLevel="0" collapsed="false">
      <c r="E986" s="1" t="str">
        <f aca="false">IF($A986="","", IFERROR(INDEX(Machine_List!$B$72:$B$81, MATCH("*"&amp;$B986&amp;"*", Machine_List!$J$72:$J$81, 0)), "No FID Match"))</f>
        <v/>
      </c>
    </row>
    <row r="987" customFormat="false" ht="15" hidden="false" customHeight="true" outlineLevel="0" collapsed="false">
      <c r="E987" s="1" t="str">
        <f aca="false">IF($A987="","", IFERROR(INDEX(Machine_List!$B$72:$B$81, MATCH("*"&amp;$B987&amp;"*", Machine_List!$J$72:$J$81, 0)), "No FID Match"))</f>
        <v/>
      </c>
    </row>
    <row r="988" customFormat="false" ht="15" hidden="false" customHeight="true" outlineLevel="0" collapsed="false">
      <c r="E988" s="1" t="str">
        <f aca="false">IF($A988="","", IFERROR(INDEX(Machine_List!$B$72:$B$81, MATCH("*"&amp;$B988&amp;"*", Machine_List!$J$72:$J$81, 0)), "No FID Match"))</f>
        <v/>
      </c>
    </row>
    <row r="989" customFormat="false" ht="15" hidden="false" customHeight="true" outlineLevel="0" collapsed="false">
      <c r="E989" s="1" t="str">
        <f aca="false">IF($A989="","", IFERROR(INDEX(Machine_List!$B$72:$B$81, MATCH("*"&amp;$B989&amp;"*", Machine_List!$J$72:$J$81, 0)), "No FID Match"))</f>
        <v/>
      </c>
    </row>
    <row r="990" customFormat="false" ht="15" hidden="false" customHeight="true" outlineLevel="0" collapsed="false">
      <c r="E990" s="1" t="str">
        <f aca="false">IF($A990="","", IFERROR(INDEX(Machine_List!$B$72:$B$81, MATCH("*"&amp;$B990&amp;"*", Machine_List!$J$72:$J$81, 0)), "No FID Match"))</f>
        <v/>
      </c>
    </row>
    <row r="991" customFormat="false" ht="15" hidden="false" customHeight="true" outlineLevel="0" collapsed="false">
      <c r="E991" s="1" t="str">
        <f aca="false">IF($A991="","", IFERROR(INDEX(Machine_List!$B$72:$B$81, MATCH("*"&amp;$B991&amp;"*", Machine_List!$J$72:$J$81, 0)), "No FID Match"))</f>
        <v/>
      </c>
    </row>
    <row r="992" customFormat="false" ht="15" hidden="false" customHeight="true" outlineLevel="0" collapsed="false">
      <c r="E992" s="1" t="str">
        <f aca="false">IF($A992="","", IFERROR(INDEX(Machine_List!$B$72:$B$81, MATCH("*"&amp;$B992&amp;"*", Machine_List!$J$72:$J$81, 0)), "No FID Match"))</f>
        <v/>
      </c>
    </row>
    <row r="993" customFormat="false" ht="15" hidden="false" customHeight="true" outlineLevel="0" collapsed="false">
      <c r="E993" s="1" t="str">
        <f aca="false">IF($A993="","", IFERROR(INDEX(Machine_List!$B$72:$B$81, MATCH("*"&amp;$B993&amp;"*", Machine_List!$J$72:$J$81, 0)), "No FID Match"))</f>
        <v/>
      </c>
    </row>
    <row r="994" customFormat="false" ht="15" hidden="false" customHeight="true" outlineLevel="0" collapsed="false">
      <c r="E994" s="1" t="str">
        <f aca="false">IF($A994="","", IFERROR(INDEX(Machine_List!$B$72:$B$81, MATCH("*"&amp;$B994&amp;"*", Machine_List!$J$72:$J$81, 0)), "No FID Match"))</f>
        <v/>
      </c>
    </row>
    <row r="995" customFormat="false" ht="15" hidden="false" customHeight="true" outlineLevel="0" collapsed="false">
      <c r="E995" s="1" t="str">
        <f aca="false">IF($A995="","", IFERROR(INDEX(Machine_List!$B$72:$B$81, MATCH("*"&amp;$B995&amp;"*", Machine_List!$J$72:$J$81, 0)), "No FID Match"))</f>
        <v/>
      </c>
    </row>
    <row r="996" customFormat="false" ht="15" hidden="false" customHeight="true" outlineLevel="0" collapsed="false">
      <c r="E996" s="1" t="str">
        <f aca="false">IF($A996="","", IFERROR(INDEX(Machine_List!$B$72:$B$81, MATCH("*"&amp;$B996&amp;"*", Machine_List!$J$72:$J$81, 0)), "No FID Match"))</f>
        <v/>
      </c>
    </row>
    <row r="997" customFormat="false" ht="15" hidden="false" customHeight="true" outlineLevel="0" collapsed="false">
      <c r="E997" s="1" t="str">
        <f aca="false">IF($A997="","", IFERROR(INDEX(Machine_List!$B$72:$B$81, MATCH("*"&amp;$B997&amp;"*", Machine_List!$J$72:$J$81, 0)), "No FID Match"))</f>
        <v/>
      </c>
    </row>
    <row r="998" customFormat="false" ht="15" hidden="false" customHeight="true" outlineLevel="0" collapsed="false">
      <c r="E998" s="1" t="str">
        <f aca="false">IF($A998="","", IFERROR(INDEX(Machine_List!$B$72:$B$81, MATCH("*"&amp;$B998&amp;"*", Machine_List!$J$72:$J$81, 0)), "No FID Match"))</f>
        <v/>
      </c>
    </row>
    <row r="999" customFormat="false" ht="15" hidden="false" customHeight="true" outlineLevel="0" collapsed="false">
      <c r="E999" s="1" t="str">
        <f aca="false">IF($A999="","", IFERROR(INDEX(Machine_List!$B$72:$B$81, MATCH("*"&amp;$B999&amp;"*", Machine_List!$J$72:$J$81, 0)), "No FID Match"))</f>
        <v/>
      </c>
    </row>
    <row r="1000" customFormat="false" ht="15" hidden="false" customHeight="true" outlineLevel="0" collapsed="false">
      <c r="E1000" s="1" t="str">
        <f aca="false">IF($A1000="","", IFERROR(INDEX(Machine_List!$B$72:$B$81, MATCH("*"&amp;$B1000&amp;"*", Machine_List!$J$72:$J$81, 0)), "No FID Match"))</f>
        <v/>
      </c>
    </row>
  </sheetData>
  <conditionalFormatting sqref="P4:BV103">
    <cfRule type="expression" priority="2" aboveAverage="0" equalAverage="0" bottom="0" percent="0" rank="0" text="" dxfId="14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G5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15" ySplit="3" topLeftCell="P4" activePane="bottomRight" state="frozen"/>
      <selection pane="topLeft" activeCell="A1" activeCellId="0" sqref="A1"/>
      <selection pane="topRight" activeCell="P1" activeCellId="0" sqref="P1"/>
      <selection pane="bottomLeft" activeCell="A4" activeCellId="0" sqref="A4"/>
      <selection pane="bottomRight" activeCell="CB24" activeCellId="0" sqref="CB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22"/>
    <col collapsed="false" customWidth="true" hidden="false" outlineLevel="0" max="3" min="3" style="1" width="5.11"/>
    <col collapsed="false" customWidth="true" hidden="false" outlineLevel="0" max="4" min="4" style="1" width="5"/>
    <col collapsed="false" customWidth="true" hidden="false" outlineLevel="0" max="5" min="5" style="1" width="15.33"/>
    <col collapsed="false" customWidth="true" hidden="false" outlineLevel="0" max="6" min="6" style="1" width="16.77"/>
    <col collapsed="false" customWidth="true" hidden="false" outlineLevel="0" max="7" min="7" style="1" width="12.67"/>
    <col collapsed="false" customWidth="true" hidden="false" outlineLevel="0" max="8" min="8" style="1" width="6.56"/>
    <col collapsed="false" customWidth="true" hidden="false" outlineLevel="0" max="9" min="9" style="1" width="7.88"/>
    <col collapsed="false" customWidth="true" hidden="false" outlineLevel="0" max="10" min="10" style="1" width="15.44"/>
    <col collapsed="false" customWidth="true" hidden="false" outlineLevel="0" max="11" min="11" style="1" width="6.67"/>
    <col collapsed="false" customWidth="true" hidden="false" outlineLevel="0" max="12" min="12" style="1" width="9.21"/>
    <col collapsed="false" customWidth="true" hidden="false" outlineLevel="0" max="13" min="13" style="1" width="15.44"/>
    <col collapsed="false" customWidth="true" hidden="false" outlineLevel="0" max="14" min="14" style="1" width="9.79"/>
    <col collapsed="false" customWidth="true" hidden="false" outlineLevel="0" max="15" min="15" style="1" width="21.88"/>
    <col collapsed="false" customWidth="true" hidden="false" outlineLevel="0" max="17" min="16" style="1" width="5.11"/>
    <col collapsed="false" customWidth="true" hidden="false" outlineLevel="0" max="31" min="18" style="1" width="4.44"/>
    <col collapsed="false" customWidth="true" hidden="false" outlineLevel="0" max="33" min="32" style="1" width="6.44"/>
    <col collapsed="false" customWidth="true" hidden="false" outlineLevel="0" max="36" min="34" style="1" width="4.44"/>
    <col collapsed="false" customWidth="true" hidden="false" outlineLevel="0" max="39" min="37" style="1" width="6.44"/>
    <col collapsed="false" customWidth="true" hidden="false" outlineLevel="0" max="64" min="40" style="1" width="4.44"/>
    <col collapsed="false" customWidth="true" hidden="false" outlineLevel="0" max="68" min="65" style="1" width="6.44"/>
    <col collapsed="false" customWidth="true" hidden="false" outlineLevel="0" max="74" min="69" style="1" width="4.44"/>
    <col collapsed="false" customWidth="true" hidden="false" outlineLevel="0" max="75" min="75" style="1" width="12"/>
    <col collapsed="false" customWidth="true" hidden="false" outlineLevel="0" max="76" min="76" style="1" width="28.56"/>
    <col collapsed="false" customWidth="true" hidden="false" outlineLevel="0" max="77" min="77" style="1" width="8.76"/>
    <col collapsed="false" customWidth="true" hidden="false" outlineLevel="0" max="78" min="78" style="1" width="8.11"/>
    <col collapsed="false" customWidth="true" hidden="false" outlineLevel="0" max="79" min="79" style="1" width="7.67"/>
    <col collapsed="false" customWidth="true" hidden="false" outlineLevel="0" max="80" min="80" style="1" width="8.56"/>
    <col collapsed="false" customWidth="true" hidden="false" outlineLevel="0" max="81" min="81" style="1" width="8.34"/>
    <col collapsed="false" customWidth="true" hidden="false" outlineLevel="0" max="82" min="82" style="1" width="8"/>
    <col collapsed="false" customWidth="true" hidden="false" outlineLevel="0" max="83" min="83" style="1" width="8.56"/>
    <col collapsed="false" customWidth="true" hidden="false" outlineLevel="0" max="84" min="84" style="1" width="8.44"/>
    <col collapsed="false" customWidth="true" hidden="false" outlineLevel="0" max="85" min="85" style="1" width="8"/>
    <col collapsed="false" customWidth="true" hidden="false" outlineLevel="0" max="86" min="86" style="1" width="12.88"/>
    <col collapsed="false" customWidth="true" hidden="false" outlineLevel="0" max="100" min="87" style="1" width="13"/>
  </cols>
  <sheetData>
    <row r="1" customFormat="false" ht="15" hidden="false" customHeight="true" outlineLevel="0" collapsed="false">
      <c r="D1" s="29"/>
      <c r="E1" s="30"/>
      <c r="F1" s="29"/>
      <c r="G1" s="29"/>
      <c r="H1" s="29"/>
      <c r="I1" s="29"/>
      <c r="J1" s="29"/>
      <c r="K1" s="29"/>
      <c r="L1" s="29"/>
      <c r="M1" s="29"/>
      <c r="N1" s="29"/>
      <c r="BW1" s="29"/>
      <c r="BX1" s="32" t="s">
        <v>256</v>
      </c>
      <c r="BY1" s="29"/>
      <c r="BZ1" s="29"/>
      <c r="CA1" s="29"/>
      <c r="CB1" s="29"/>
      <c r="CC1" s="29"/>
      <c r="CD1" s="29"/>
      <c r="CE1" s="29"/>
      <c r="CF1" s="29"/>
      <c r="CG1" s="29"/>
    </row>
    <row r="2" customFormat="false" ht="15" hidden="false" customHeight="true" outlineLevel="0" collapsed="false">
      <c r="D2" s="29"/>
      <c r="E2" s="33"/>
      <c r="F2" s="33"/>
      <c r="G2" s="33"/>
      <c r="H2" s="33"/>
      <c r="I2" s="33"/>
      <c r="J2" s="33"/>
      <c r="K2" s="33"/>
      <c r="L2" s="33"/>
      <c r="M2" s="33"/>
      <c r="N2" s="33"/>
      <c r="Q2" s="35"/>
      <c r="BW2" s="29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customFormat="false" ht="15" hidden="false" customHeight="true" outlineLevel="0" collapsed="false">
      <c r="A3" s="3" t="s">
        <v>137</v>
      </c>
      <c r="B3" s="3" t="s">
        <v>11</v>
      </c>
      <c r="C3" s="3" t="s">
        <v>10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61" t="s">
        <v>247</v>
      </c>
      <c r="P3" s="62" t="n">
        <v>46113</v>
      </c>
      <c r="Q3" s="62" t="n">
        <v>46115</v>
      </c>
      <c r="R3" s="61" t="n">
        <v>46116</v>
      </c>
      <c r="S3" s="61" t="n">
        <v>46117</v>
      </c>
      <c r="T3" s="61" t="n">
        <v>46118</v>
      </c>
      <c r="U3" s="61" t="n">
        <v>46119</v>
      </c>
      <c r="V3" s="61" t="n">
        <v>46120</v>
      </c>
      <c r="W3" s="61" t="n">
        <v>46121</v>
      </c>
      <c r="X3" s="61" t="n">
        <v>46122</v>
      </c>
      <c r="Y3" s="61" t="n">
        <v>46123</v>
      </c>
      <c r="Z3" s="61" t="n">
        <v>46124</v>
      </c>
      <c r="AA3" s="61" t="n">
        <v>46125</v>
      </c>
      <c r="AB3" s="61" t="n">
        <v>46126</v>
      </c>
      <c r="AC3" s="61" t="n">
        <v>46127</v>
      </c>
      <c r="AD3" s="61" t="n">
        <v>46128</v>
      </c>
      <c r="AE3" s="61" t="n">
        <v>46129</v>
      </c>
      <c r="AF3" s="61" t="n">
        <v>46130</v>
      </c>
      <c r="AG3" s="61" t="n">
        <v>46131</v>
      </c>
      <c r="AH3" s="61" t="n">
        <v>46132</v>
      </c>
      <c r="AI3" s="61" t="n">
        <v>46133</v>
      </c>
      <c r="AJ3" s="61" t="n">
        <v>46134</v>
      </c>
      <c r="AK3" s="61" t="n">
        <v>46135</v>
      </c>
      <c r="AL3" s="61" t="n">
        <v>46136</v>
      </c>
      <c r="AM3" s="61" t="n">
        <v>46137</v>
      </c>
      <c r="AN3" s="61" t="n">
        <v>46138</v>
      </c>
      <c r="AO3" s="61" t="n">
        <v>46139</v>
      </c>
      <c r="AP3" s="61" t="n">
        <v>46140</v>
      </c>
      <c r="AQ3" s="61" t="n">
        <v>46141</v>
      </c>
      <c r="AR3" s="61" t="n">
        <v>46142</v>
      </c>
      <c r="AS3" s="61" t="n">
        <v>46143</v>
      </c>
      <c r="AT3" s="61" t="n">
        <v>46144</v>
      </c>
      <c r="AU3" s="61" t="n">
        <v>46145</v>
      </c>
      <c r="AV3" s="61" t="n">
        <v>46146</v>
      </c>
      <c r="AW3" s="61" t="n">
        <v>46147</v>
      </c>
      <c r="AX3" s="61" t="n">
        <v>46148</v>
      </c>
      <c r="AY3" s="61" t="n">
        <v>46149</v>
      </c>
      <c r="AZ3" s="61" t="n">
        <v>46150</v>
      </c>
      <c r="BA3" s="61" t="n">
        <v>46151</v>
      </c>
      <c r="BB3" s="61" t="n">
        <v>46152</v>
      </c>
      <c r="BC3" s="61" t="n">
        <v>46153</v>
      </c>
      <c r="BD3" s="61" t="n">
        <v>46154</v>
      </c>
      <c r="BE3" s="61" t="n">
        <v>46155</v>
      </c>
      <c r="BF3" s="61" t="n">
        <v>46156</v>
      </c>
      <c r="BG3" s="61" t="n">
        <v>46157</v>
      </c>
      <c r="BH3" s="61" t="n">
        <v>46158</v>
      </c>
      <c r="BI3" s="61" t="n">
        <v>46159</v>
      </c>
      <c r="BJ3" s="61" t="n">
        <v>46160</v>
      </c>
      <c r="BK3" s="61" t="n">
        <v>46161</v>
      </c>
      <c r="BL3" s="61" t="n">
        <v>46162</v>
      </c>
      <c r="BM3" s="61" t="n">
        <v>46163</v>
      </c>
      <c r="BN3" s="61" t="n">
        <v>46164</v>
      </c>
      <c r="BO3" s="61" t="n">
        <v>46165</v>
      </c>
      <c r="BP3" s="61" t="n">
        <v>46166</v>
      </c>
      <c r="BQ3" s="61" t="n">
        <v>46167</v>
      </c>
      <c r="BR3" s="61" t="n">
        <v>46168</v>
      </c>
      <c r="BS3" s="63" t="n">
        <v>46169</v>
      </c>
      <c r="BT3" s="63" t="n">
        <v>46170</v>
      </c>
      <c r="BU3" s="63" t="n">
        <v>46171</v>
      </c>
      <c r="BV3" s="63" t="n">
        <v>46172</v>
      </c>
      <c r="BW3" s="44" t="s">
        <v>248</v>
      </c>
      <c r="BX3" s="45" t="n">
        <v>66</v>
      </c>
      <c r="BY3" s="45" t="n">
        <v>302</v>
      </c>
      <c r="BZ3" s="45" t="n">
        <v>554</v>
      </c>
      <c r="CA3" s="45" t="n">
        <v>156</v>
      </c>
      <c r="CB3" s="45" t="n">
        <v>920</v>
      </c>
      <c r="CC3" s="45" t="n">
        <v>654</v>
      </c>
      <c r="CD3" s="45" t="n">
        <v>1084</v>
      </c>
      <c r="CE3" s="45" t="n">
        <v>564</v>
      </c>
      <c r="CF3" s="45" t="n">
        <v>258</v>
      </c>
      <c r="CG3" s="45" t="n">
        <v>880</v>
      </c>
    </row>
    <row r="4" customFormat="false" ht="15" hidden="false" customHeight="true" outlineLevel="0" collapsed="false">
      <c r="A4" s="46" t="str">
        <f aca="false">IF(Job_Master!A4="","",Job_Master!A4)</f>
        <v>BJ-104</v>
      </c>
      <c r="B4" s="4" t="n">
        <f aca="false">IF($A4="","",Job_Master!B4)</f>
        <v>28</v>
      </c>
      <c r="C4" s="4" t="str">
        <f aca="false">IF($A4="","",Job_Master!C4)</f>
        <v>2P</v>
      </c>
      <c r="D4" s="47" t="n">
        <f aca="false">IF($A4="","",Job_Master!D4)</f>
        <v>2</v>
      </c>
      <c r="E4" s="48" t="str">
        <f aca="false">IF($A4="","",IFERROR(INDEX(Machine_List!$B$82:$B$86,MATCH("*"&amp;$B4&amp;"*",Machine_List!$J$82:$J$86,0)),"NO COMPATIBLE MACHINE"))</f>
        <v>QC-MC-01</v>
      </c>
      <c r="F4" s="48" t="str">
        <f aca="false">IF($E4="","",IFERROR(VLOOKUP($E4,Machine_List!$B:$G,6,0),""))</f>
        <v>General Workman</v>
      </c>
      <c r="G4" s="50" t="n">
        <f aca="false">IF($E4="","",IFERROR(VLOOKUP($E4,Machine_List!$B:$C,2,0),""))</f>
        <v>46518</v>
      </c>
      <c r="H4" s="48" t="n">
        <f aca="false">IF($E4="","",IFERROR(VLOOKUP($E4,Machine_List!$B:$D,3,0),""))</f>
        <v>6</v>
      </c>
      <c r="I4" s="45"/>
      <c r="J4" s="51" t="n">
        <f aca="true">IF($A4="","",IF($I4&lt;&gt;"",$I4,MAX(FID_Plan!$M4,IFERROR(LOOKUP(2,1/($E$3:INDIRECT("E"&amp;(ROW()-1))=$E4),$M$3:INDIRECT("M"&amp;(ROW()-1))),FID_Plan!$M4))))</f>
        <v>46130.7652116402</v>
      </c>
      <c r="K4" s="48" t="n">
        <f aca="false">IF($A4="","",IFERROR(VLOOKUP(B4,CHOOSE(MATCH(C4,Settings!$L$4:$L$10,0),OPR_2P!$A$4:$I$18,SEG_6P!$A$4:$I$18,SOL_4P!$A$4:$I$18,RW_2P!$A$4:$I$18,RW2_4P!$A$4:$I$18,FLAP_4P!$A$4:$I$18,TUBE_4P!$A$4:$I$18),8,0),0))</f>
        <v>17</v>
      </c>
      <c r="L4" s="48" t="n">
        <f aca="false">IF($A4="","",K4*D4)</f>
        <v>34</v>
      </c>
      <c r="M4" s="51" t="n">
        <f aca="false">IF($A4="","",$J4+($L4/(IF(F4="Contract Workman",Settings!$K$5,Settings!$K$4))))</f>
        <v>46132.3392857143</v>
      </c>
      <c r="N4" s="48" t="str">
        <f aca="false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2" t="str">
        <f aca="false"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3" t="str">
        <f aca="false">IF(AND(Q$3&gt;=$J4, Q$3&lt;$M4), $A4, "")</f>
        <v/>
      </c>
      <c r="Q4" s="53" t="str">
        <f aca="false">IF(AND(R$3&gt;=$J4, R$3&lt;$M4), $A4, "")</f>
        <v/>
      </c>
      <c r="R4" s="53" t="str">
        <f aca="false">IF(AND(S$3&gt;=$J4, S$3&lt;$M4), $A4, "")</f>
        <v/>
      </c>
      <c r="S4" s="53" t="str">
        <f aca="false">IF(AND(T$3&gt;=$J4, T$3&lt;$M4), $A4, "")</f>
        <v/>
      </c>
      <c r="T4" s="53" t="str">
        <f aca="false">IF(AND(U$3&gt;=$J4, U$3&lt;$M4), $A4, "")</f>
        <v/>
      </c>
      <c r="U4" s="53" t="str">
        <f aca="false">IF(AND(V$3&gt;=$J4, V$3&lt;$M4), $A4, "")</f>
        <v/>
      </c>
      <c r="V4" s="53" t="str">
        <f aca="false">IF(AND(W$3&gt;=$J4, W$3&lt;$M4), $A4, "")</f>
        <v/>
      </c>
      <c r="W4" s="53" t="str">
        <f aca="false">IF(AND(X$3&gt;=$J4, X$3&lt;$M4), $A4, "")</f>
        <v/>
      </c>
      <c r="X4" s="53" t="str">
        <f aca="false">IF(AND(Y$3&gt;=$J4, Y$3&lt;$M4), $A4, "")</f>
        <v/>
      </c>
      <c r="Y4" s="53" t="str">
        <f aca="false">IF(AND(Z$3&gt;=$J4, Z$3&lt;$M4), $A4, "")</f>
        <v/>
      </c>
      <c r="Z4" s="53" t="str">
        <f aca="false">IF(AND(AA$3&gt;=$J4, AA$3&lt;$M4), $A4, "")</f>
        <v/>
      </c>
      <c r="AA4" s="53" t="str">
        <f aca="false">IF(AND(AB$3&gt;=$J4, AB$3&lt;$M4), $A4, "")</f>
        <v/>
      </c>
      <c r="AB4" s="53" t="str">
        <f aca="false">IF(AND(AC$3&gt;=$J4, AC$3&lt;$M4), $A4, "")</f>
        <v/>
      </c>
      <c r="AC4" s="53" t="str">
        <f aca="false">IF(AND(AD$3&gt;=$J4, AD$3&lt;$M4), $A4, "")</f>
        <v/>
      </c>
      <c r="AD4" s="53" t="str">
        <f aca="false">IF(AND(AE$3&gt;=$J4, AE$3&lt;$M4), $A4, "")</f>
        <v/>
      </c>
      <c r="AE4" s="53" t="str">
        <f aca="false">IF(AND(AF$3&gt;=$J4, AF$3&lt;$M4), $A4, "")</f>
        <v/>
      </c>
      <c r="AF4" s="53" t="str">
        <f aca="false">IF(AND(AG$3&gt;=$J4, AG$3&lt;$M4), $A4, "")</f>
        <v>BJ-104</v>
      </c>
      <c r="AG4" s="53" t="str">
        <f aca="false">IF(AND(AH$3&gt;=$J4, AH$3&lt;$M4), $A4, "")</f>
        <v>BJ-104</v>
      </c>
      <c r="AH4" s="53" t="str">
        <f aca="false">IF(AND(AI$3&gt;=$J4, AI$3&lt;$M4), $A4, "")</f>
        <v/>
      </c>
      <c r="AI4" s="53" t="str">
        <f aca="false">IF(AND(AJ$3&gt;=$J4, AJ$3&lt;$M4), $A4, "")</f>
        <v/>
      </c>
      <c r="AJ4" s="53" t="str">
        <f aca="false">IF(AND(AK$3&gt;=$J4, AK$3&lt;$M4), $A4, "")</f>
        <v/>
      </c>
      <c r="AK4" s="53" t="str">
        <f aca="false">IF(AND(AL$3&gt;=$J4, AL$3&lt;$M4), $A4, "")</f>
        <v/>
      </c>
      <c r="AL4" s="53" t="str">
        <f aca="false">IF(AND(AM$3&gt;=$J4, AM$3&lt;$M4), $A4, "")</f>
        <v/>
      </c>
      <c r="AM4" s="53" t="str">
        <f aca="false">IF(AND(AN$3&gt;=$J4, AN$3&lt;$M4), $A4, "")</f>
        <v/>
      </c>
      <c r="AN4" s="53" t="str">
        <f aca="false">IF(AND(AO$3&gt;=$J4, AO$3&lt;$M4), $A4, "")</f>
        <v/>
      </c>
      <c r="AO4" s="53" t="str">
        <f aca="false">IF(AND(AP$3&gt;=$J4, AP$3&lt;$M4), $A4, "")</f>
        <v/>
      </c>
      <c r="AP4" s="53" t="str">
        <f aca="false">IF(AND(AQ$3&gt;=$J4, AQ$3&lt;$M4), $A4, "")</f>
        <v/>
      </c>
      <c r="AQ4" s="53" t="str">
        <f aca="false">IF(AND(AR$3&gt;=$J4, AR$3&lt;$M4), $A4, "")</f>
        <v/>
      </c>
      <c r="AR4" s="53" t="str">
        <f aca="false">IF(AND(AS$3&gt;=$J4, AS$3&lt;$M4), $A4, "")</f>
        <v/>
      </c>
      <c r="AS4" s="53" t="str">
        <f aca="false">IF(AND(AT$3&gt;=$J4, AT$3&lt;$M4), $A4, "")</f>
        <v/>
      </c>
      <c r="AT4" s="53" t="str">
        <f aca="false">IF(AND(AU$3&gt;=$J4, AU$3&lt;$M4), $A4, "")</f>
        <v/>
      </c>
      <c r="AU4" s="53" t="str">
        <f aca="false">IF(AND(AV$3&gt;=$J4, AV$3&lt;$M4), $A4, "")</f>
        <v/>
      </c>
      <c r="AV4" s="53" t="str">
        <f aca="false">IF(AND(AW$3&gt;=$J4, AW$3&lt;$M4), $A4, "")</f>
        <v/>
      </c>
      <c r="AW4" s="53" t="str">
        <f aca="false">IF(AND(AX$3&gt;=$J4, AX$3&lt;$M4), $A4, "")</f>
        <v/>
      </c>
      <c r="AX4" s="53" t="str">
        <f aca="false">IF(AND(AY$3&gt;=$J4, AY$3&lt;$M4), $A4, "")</f>
        <v/>
      </c>
      <c r="AY4" s="53" t="str">
        <f aca="false">IF(AND(AZ$3&gt;=$J4, AZ$3&lt;$M4), $A4, "")</f>
        <v/>
      </c>
      <c r="AZ4" s="53" t="str">
        <f aca="false">IF(AND(BA$3&gt;=$J4, BA$3&lt;$M4), $A4, "")</f>
        <v/>
      </c>
      <c r="BA4" s="53" t="str">
        <f aca="false">IF(AND(BB$3&gt;=$J4, BB$3&lt;$M4), $A4, "")</f>
        <v/>
      </c>
      <c r="BB4" s="53" t="str">
        <f aca="false">IF(AND(BC$3&gt;=$J4, BC$3&lt;$M4), $A4, "")</f>
        <v/>
      </c>
      <c r="BC4" s="53" t="str">
        <f aca="false">IF(AND(BD$3&gt;=$J4, BD$3&lt;$M4), $A4, "")</f>
        <v/>
      </c>
      <c r="BD4" s="53" t="str">
        <f aca="false">IF(AND(BE$3&gt;=$J4, BE$3&lt;$M4), $A4, "")</f>
        <v/>
      </c>
      <c r="BE4" s="53" t="str">
        <f aca="false">IF(AND(BF$3&gt;=$J4, BF$3&lt;$M4), $A4, "")</f>
        <v/>
      </c>
      <c r="BF4" s="53" t="str">
        <f aca="false">IF(AND(BG$3&gt;=$J4, BG$3&lt;$M4), $A4, "")</f>
        <v/>
      </c>
      <c r="BG4" s="53" t="str">
        <f aca="false">IF(AND(BH$3&gt;=$J4, BH$3&lt;$M4), $A4, "")</f>
        <v/>
      </c>
      <c r="BH4" s="53" t="str">
        <f aca="false">IF(AND(BI$3&gt;=$J4, BI$3&lt;$M4), $A4, "")</f>
        <v/>
      </c>
      <c r="BI4" s="53" t="str">
        <f aca="false">IF(AND(BJ$3&gt;=$J4, BJ$3&lt;$M4), $A4, "")</f>
        <v/>
      </c>
      <c r="BJ4" s="53" t="str">
        <f aca="false">IF(AND(BK$3&gt;=$J4, BK$3&lt;$M4), $A4, "")</f>
        <v/>
      </c>
      <c r="BK4" s="53" t="str">
        <f aca="false">IF(AND(BL$3&gt;=$J4, BL$3&lt;$M4), $A4, "")</f>
        <v/>
      </c>
      <c r="BL4" s="53" t="str">
        <f aca="false">IF(AND(BM$3&gt;=$J4, BM$3&lt;$M4), $A4, "")</f>
        <v/>
      </c>
      <c r="BM4" s="53" t="str">
        <f aca="false">IF(AND(BN$3&gt;=$J4, BN$3&lt;$M4), $A4, "")</f>
        <v/>
      </c>
      <c r="BN4" s="1" t="str">
        <f aca="false">IF(AND(BO$3&gt;=$J4, BO$3&lt;$M4), $A4, "")</f>
        <v/>
      </c>
      <c r="BO4" s="1" t="str">
        <f aca="false">IF(AND(BP$3&gt;=$J4, BP$3&lt;$M4), $A4, "")</f>
        <v/>
      </c>
      <c r="BP4" s="1" t="str">
        <f aca="false">IF(AND(BQ$3&gt;=$J4, BQ$3&lt;$M4), $A4, "")</f>
        <v/>
      </c>
      <c r="BW4" s="44" t="s">
        <v>249</v>
      </c>
      <c r="BX4" s="45" t="n">
        <v>3240</v>
      </c>
      <c r="BY4" s="45" t="n">
        <v>3348</v>
      </c>
      <c r="BZ4" s="45" t="n">
        <v>3240</v>
      </c>
      <c r="CA4" s="45" t="n">
        <v>3348</v>
      </c>
      <c r="CB4" s="45" t="n">
        <v>3348</v>
      </c>
      <c r="CC4" s="45" t="n">
        <v>3240</v>
      </c>
      <c r="CD4" s="45" t="n">
        <v>3348</v>
      </c>
      <c r="CE4" s="45" t="n">
        <v>3240</v>
      </c>
      <c r="CF4" s="45" t="n">
        <v>3348</v>
      </c>
      <c r="CG4" s="45" t="n">
        <v>3348</v>
      </c>
    </row>
    <row r="5" customFormat="false" ht="15" hidden="false" customHeight="true" outlineLevel="0" collapsed="false">
      <c r="A5" s="46" t="str">
        <f aca="false">IF(Job_Master!A5="","",Job_Master!A5)</f>
        <v>BJ-101</v>
      </c>
      <c r="B5" s="4" t="n">
        <f aca="false">IF($A5="","",Job_Master!B5)</f>
        <v>42</v>
      </c>
      <c r="C5" s="4" t="str">
        <f aca="false">IF($A5="","",Job_Master!C5)</f>
        <v>SOL</v>
      </c>
      <c r="D5" s="4" t="n">
        <f aca="false">IF($A5="","",Job_Master!D5)</f>
        <v>4</v>
      </c>
      <c r="E5" s="48" t="str">
        <f aca="false">IF($A5="","",IFERROR(INDEX(Machine_List!$B$82:$B$86,MATCH("*"&amp;$B5&amp;"*",Machine_List!$J$82:$J$86,0)),"NO COMPATIBLE MACHINE"))</f>
        <v>QC-MC-01</v>
      </c>
      <c r="F5" s="4" t="str">
        <f aca="false">IF($E5="","",IFERROR(VLOOKUP($E5,Machine_List!$B:$G,6,0),""))</f>
        <v>General Workman</v>
      </c>
      <c r="G5" s="55" t="n">
        <f aca="false">IF($E5="","",IFERROR(VLOOKUP($E5,Machine_List!$B:$C,2,0),""))</f>
        <v>46518</v>
      </c>
      <c r="H5" s="4" t="n">
        <f aca="false">IF($E5="","",IFERROR(VLOOKUP($E5,Machine_List!$B:$D,3,0),""))</f>
        <v>6</v>
      </c>
      <c r="I5" s="56"/>
      <c r="J5" s="57" t="n">
        <f aca="true">IF($A5="","",IF($I5&lt;&gt;"",$I5,MAX(FID_Plan!$M5,IFERROR(LOOKUP(2,1/($E$3:INDIRECT("E"&amp;(ROW()-1))=$E5),$M$3:INDIRECT("M"&amp;(ROW()-1))),FID_Plan!$M5))))</f>
        <v>46164.2572751323</v>
      </c>
      <c r="K5" s="4" t="n">
        <f aca="false">IF($A5="","",IFERROR(VLOOKUP(B5,CHOOSE(MATCH(C5,Settings!$L$4:$L$10,0),OPR_2P!$A$4:$I$18,SEG_6P!$A$4:$I$18,SOL_4P!$A$4:$I$18,RW_2P!$A$4:$I$18,RW2_4P!$A$4:$I$18,FLAP_4P!$A$4:$I$18,TUBE_4P!$A$4:$I$18),8,0),0))</f>
        <v>33</v>
      </c>
      <c r="L5" s="4" t="n">
        <f aca="false">IF($A5="","",K5*D5)</f>
        <v>132</v>
      </c>
      <c r="M5" s="57" t="n">
        <f aca="false">IF($A5="","",$J5+($L5/(IF(F5="Contract Workman",Settings!$K$5,Settings!$K$4))))</f>
        <v>46170.3683862434</v>
      </c>
      <c r="N5" s="4" t="str">
        <f aca="false">IF($A5="","",IF(F5="Contract Workman",IF(AND(MOD(M5,1)&gt;=8/24,MOD(M5,1)&lt;20/24),"Shift S1","Shift S2"),IF(AND(MOD(M5,1)&gt;=7/24,MOD(M5,1)&lt;15/24),"Shift A",IF(AND(MOD(M5,1)&gt;=15/24,MOD(M5,1)&lt;23/24),"Shift B","Shift C"))))</f>
        <v>Shift A</v>
      </c>
      <c r="O5" s="52" t="str">
        <f aca="false"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3" t="str">
        <f aca="false">IF(AND(Q$3&gt;=$J5, Q$3&lt;$M5), $A5, "")</f>
        <v/>
      </c>
      <c r="Q5" s="53" t="str">
        <f aca="false">IF(AND(R$3&gt;=$J5, R$3&lt;$M5), $A5, "")</f>
        <v/>
      </c>
      <c r="R5" s="53" t="str">
        <f aca="false">IF(AND(S$3&gt;=$J5, S$3&lt;$M5), $A5, "")</f>
        <v/>
      </c>
      <c r="S5" s="53" t="str">
        <f aca="false">IF(AND(T$3&gt;=$J5, T$3&lt;$M5), $A5, "")</f>
        <v/>
      </c>
      <c r="T5" s="53" t="str">
        <f aca="false">IF(AND(U$3&gt;=$J5, U$3&lt;$M5), $A5, "")</f>
        <v/>
      </c>
      <c r="U5" s="53" t="str">
        <f aca="false">IF(AND(V$3&gt;=$J5, V$3&lt;$M5), $A5, "")</f>
        <v/>
      </c>
      <c r="V5" s="53" t="str">
        <f aca="false">IF(AND(W$3&gt;=$J5, W$3&lt;$M5), $A5, "")</f>
        <v/>
      </c>
      <c r="W5" s="53" t="str">
        <f aca="false">IF(AND(X$3&gt;=$J5, X$3&lt;$M5), $A5, "")</f>
        <v/>
      </c>
      <c r="X5" s="53" t="str">
        <f aca="false">IF(AND(Y$3&gt;=$J5, Y$3&lt;$M5), $A5, "")</f>
        <v/>
      </c>
      <c r="Y5" s="53" t="str">
        <f aca="false">IF(AND(Z$3&gt;=$J5, Z$3&lt;$M5), $A5, "")</f>
        <v/>
      </c>
      <c r="Z5" s="53" t="str">
        <f aca="false">IF(AND(AA$3&gt;=$J5, AA$3&lt;$M5), $A5, "")</f>
        <v/>
      </c>
      <c r="AA5" s="53" t="str">
        <f aca="false">IF(AND(AB$3&gt;=$J5, AB$3&lt;$M5), $A5, "")</f>
        <v/>
      </c>
      <c r="AB5" s="53" t="str">
        <f aca="false">IF(AND(AC$3&gt;=$J5, AC$3&lt;$M5), $A5, "")</f>
        <v/>
      </c>
      <c r="AC5" s="53" t="str">
        <f aca="false">IF(AND(AD$3&gt;=$J5, AD$3&lt;$M5), $A5, "")</f>
        <v/>
      </c>
      <c r="AD5" s="53" t="str">
        <f aca="false">IF(AND(AE$3&gt;=$J5, AE$3&lt;$M5), $A5, "")</f>
        <v/>
      </c>
      <c r="AE5" s="53" t="str">
        <f aca="false">IF(AND(AF$3&gt;=$J5, AF$3&lt;$M5), $A5, "")</f>
        <v/>
      </c>
      <c r="AF5" s="53" t="str">
        <f aca="false">IF(AND(AG$3&gt;=$J5, AG$3&lt;$M5), $A5, "")</f>
        <v/>
      </c>
      <c r="AG5" s="53" t="str">
        <f aca="false">IF(AND(AH$3&gt;=$J5, AH$3&lt;$M5), $A5, "")</f>
        <v/>
      </c>
      <c r="AH5" s="53" t="str">
        <f aca="false">IF(AND(AI$3&gt;=$J5, AI$3&lt;$M5), $A5, "")</f>
        <v/>
      </c>
      <c r="AI5" s="53" t="str">
        <f aca="false">IF(AND(AJ$3&gt;=$J5, AJ$3&lt;$M5), $A5, "")</f>
        <v/>
      </c>
      <c r="AJ5" s="53" t="str">
        <f aca="false">IF(AND(AK$3&gt;=$J5, AK$3&lt;$M5), $A5, "")</f>
        <v/>
      </c>
      <c r="AK5" s="53" t="str">
        <f aca="false">IF(AND(AL$3&gt;=$J5, AL$3&lt;$M5), $A5, "")</f>
        <v/>
      </c>
      <c r="AL5" s="53" t="str">
        <f aca="false">IF(AND(AM$3&gt;=$J5, AM$3&lt;$M5), $A5, "")</f>
        <v/>
      </c>
      <c r="AM5" s="53" t="str">
        <f aca="false">IF(AND(AN$3&gt;=$J5, AN$3&lt;$M5), $A5, "")</f>
        <v/>
      </c>
      <c r="AN5" s="53" t="str">
        <f aca="false">IF(AND(AO$3&gt;=$J5, AO$3&lt;$M5), $A5, "")</f>
        <v/>
      </c>
      <c r="AO5" s="53" t="str">
        <f aca="false">IF(AND(AP$3&gt;=$J5, AP$3&lt;$M5), $A5, "")</f>
        <v/>
      </c>
      <c r="AP5" s="53" t="str">
        <f aca="false">IF(AND(AQ$3&gt;=$J5, AQ$3&lt;$M5), $A5, "")</f>
        <v/>
      </c>
      <c r="AQ5" s="53" t="str">
        <f aca="false">IF(AND(AR$3&gt;=$J5, AR$3&lt;$M5), $A5, "")</f>
        <v/>
      </c>
      <c r="AR5" s="53" t="str">
        <f aca="false">IF(AND(AS$3&gt;=$J5, AS$3&lt;$M5), $A5, "")</f>
        <v/>
      </c>
      <c r="AS5" s="53" t="str">
        <f aca="false">IF(AND(AT$3&gt;=$J5, AT$3&lt;$M5), $A5, "")</f>
        <v/>
      </c>
      <c r="AT5" s="53" t="str">
        <f aca="false">IF(AND(AU$3&gt;=$J5, AU$3&lt;$M5), $A5, "")</f>
        <v/>
      </c>
      <c r="AU5" s="53" t="str">
        <f aca="false">IF(AND(AV$3&gt;=$J5, AV$3&lt;$M5), $A5, "")</f>
        <v/>
      </c>
      <c r="AV5" s="53" t="str">
        <f aca="false">IF(AND(AW$3&gt;=$J5, AW$3&lt;$M5), $A5, "")</f>
        <v/>
      </c>
      <c r="AW5" s="53" t="str">
        <f aca="false">IF(AND(AX$3&gt;=$J5, AX$3&lt;$M5), $A5, "")</f>
        <v/>
      </c>
      <c r="AX5" s="53" t="str">
        <f aca="false">IF(AND(AY$3&gt;=$J5, AY$3&lt;$M5), $A5, "")</f>
        <v/>
      </c>
      <c r="AY5" s="53" t="str">
        <f aca="false">IF(AND(AZ$3&gt;=$J5, AZ$3&lt;$M5), $A5, "")</f>
        <v/>
      </c>
      <c r="AZ5" s="53" t="str">
        <f aca="false">IF(AND(BA$3&gt;=$J5, BA$3&lt;$M5), $A5, "")</f>
        <v/>
      </c>
      <c r="BA5" s="53" t="str">
        <f aca="false">IF(AND(BB$3&gt;=$J5, BB$3&lt;$M5), $A5, "")</f>
        <v/>
      </c>
      <c r="BB5" s="53" t="str">
        <f aca="false">IF(AND(BC$3&gt;=$J5, BC$3&lt;$M5), $A5, "")</f>
        <v/>
      </c>
      <c r="BC5" s="53" t="str">
        <f aca="false">IF(AND(BD$3&gt;=$J5, BD$3&lt;$M5), $A5, "")</f>
        <v/>
      </c>
      <c r="BD5" s="53" t="str">
        <f aca="false">IF(AND(BE$3&gt;=$J5, BE$3&lt;$M5), $A5, "")</f>
        <v/>
      </c>
      <c r="BE5" s="53" t="str">
        <f aca="false">IF(AND(BF$3&gt;=$J5, BF$3&lt;$M5), $A5, "")</f>
        <v/>
      </c>
      <c r="BF5" s="53" t="str">
        <f aca="false">IF(AND(BG$3&gt;=$J5, BG$3&lt;$M5), $A5, "")</f>
        <v/>
      </c>
      <c r="BG5" s="53" t="str">
        <f aca="false">IF(AND(BH$3&gt;=$J5, BH$3&lt;$M5), $A5, "")</f>
        <v/>
      </c>
      <c r="BH5" s="53" t="str">
        <f aca="false">IF(AND(BI$3&gt;=$J5, BI$3&lt;$M5), $A5, "")</f>
        <v/>
      </c>
      <c r="BI5" s="53" t="str">
        <f aca="false">IF(AND(BJ$3&gt;=$J5, BJ$3&lt;$M5), $A5, "")</f>
        <v/>
      </c>
      <c r="BJ5" s="53" t="str">
        <f aca="false">IF(AND(BK$3&gt;=$J5, BK$3&lt;$M5), $A5, "")</f>
        <v/>
      </c>
      <c r="BK5" s="53" t="str">
        <f aca="false">IF(AND(BL$3&gt;=$J5, BL$3&lt;$M5), $A5, "")</f>
        <v/>
      </c>
      <c r="BL5" s="53" t="str">
        <f aca="false">IF(AND(BM$3&gt;=$J5, BM$3&lt;$M5), $A5, "")</f>
        <v/>
      </c>
      <c r="BM5" s="53" t="str">
        <f aca="false">IF(AND(BN$3&gt;=$J5, BN$3&lt;$M5), $A5, "")</f>
        <v/>
      </c>
      <c r="BN5" s="1" t="str">
        <f aca="false">IF(AND(BO$3&gt;=$J5, BO$3&lt;$M5), $A5, "")</f>
        <v>BJ-101</v>
      </c>
      <c r="BO5" s="1" t="str">
        <f aca="false">IF(AND(BP$3&gt;=$J5, BP$3&lt;$M5), $A5, "")</f>
        <v>BJ-101</v>
      </c>
      <c r="BP5" s="1" t="str">
        <f aca="false">IF(AND(BQ$3&gt;=$J5, BQ$3&lt;$M5), $A5, "")</f>
        <v>BJ-101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</row>
    <row r="6" customFormat="false" ht="15" hidden="false" customHeight="true" outlineLevel="0" collapsed="false">
      <c r="A6" s="46" t="str">
        <f aca="false">IF(Job_Master!A6="","",Job_Master!A6)</f>
        <v>BJ-105</v>
      </c>
      <c r="B6" s="4" t="n">
        <f aca="false">IF($A6="","",Job_Master!B6)</f>
        <v>28</v>
      </c>
      <c r="C6" s="4" t="str">
        <f aca="false">IF($A6="","",Job_Master!C6)</f>
        <v>RW</v>
      </c>
      <c r="D6" s="4" t="n">
        <f aca="false">IF($A6="","",Job_Master!D6)</f>
        <v>2</v>
      </c>
      <c r="E6" s="48" t="str">
        <f aca="false">IF($A6="","",IFERROR(INDEX(Machine_List!$B$82:$B$86,MATCH("*"&amp;$B6&amp;"*",Machine_List!$J$82:$J$86,0)),"NO COMPATIBLE MACHINE"))</f>
        <v>QC-MC-01</v>
      </c>
      <c r="F6" s="4" t="str">
        <f aca="false">IF($E6="","",IFERROR(VLOOKUP($E6,Machine_List!$B:$G,6,0),""))</f>
        <v>General Workman</v>
      </c>
      <c r="G6" s="55" t="n">
        <f aca="false">IF($E6="","",IFERROR(VLOOKUP($E6,Machine_List!$B:$C,2,0),""))</f>
        <v>46518</v>
      </c>
      <c r="H6" s="4" t="n">
        <f aca="false">IF($E6="","",IFERROR(VLOOKUP($E6,Machine_List!$B:$D,3,0),""))</f>
        <v>6</v>
      </c>
      <c r="I6" s="56"/>
      <c r="J6" s="57" t="n">
        <f aca="true">IF($A6="","",IF($I6&lt;&gt;"",$I6,MAX(FID_Plan!$M6,IFERROR(LOOKUP(2,1/($E$3:INDIRECT("E"&amp;(ROW()-1))=$E6),$M$3:INDIRECT("M"&amp;(ROW()-1))),FID_Plan!$M6))))</f>
        <v>46170.3683862434</v>
      </c>
      <c r="K6" s="4" t="n">
        <f aca="false">IF($A6="","",IFERROR(VLOOKUP(B6,CHOOSE(MATCH(C6,Settings!$L$4:$L$10,0),OPR_2P!$A$4:$I$18,SEG_6P!$A$4:$I$18,SOL_4P!$A$4:$I$18,RW_2P!$A$4:$I$18,RW2_4P!$A$4:$I$18,FLAP_4P!$A$4:$I$18,TUBE_4P!$A$4:$I$18),8,0),0))</f>
        <v>34</v>
      </c>
      <c r="L6" s="4" t="n">
        <f aca="false">IF($A6="","",K6*D6)</f>
        <v>68</v>
      </c>
      <c r="M6" s="57" t="n">
        <f aca="false">IF($A6="","",$J6+($L6/(IF(F6="Contract Workman",Settings!$K$5,Settings!$K$4))))</f>
        <v>46173.5165343915</v>
      </c>
      <c r="N6" s="4" t="str">
        <f aca="false">IF($A6="","",IF(F6="Contract Workman",IF(AND(MOD(M6,1)&gt;=8/24,MOD(M6,1)&lt;20/24),"Shift S1","Shift S2"),IF(AND(MOD(M6,1)&gt;=7/24,MOD(M6,1)&lt;15/24),"Shift A",IF(AND(MOD(M6,1)&gt;=15/24,MOD(M6,1)&lt;23/24),"Shift B","Shift C"))))</f>
        <v>Shift A</v>
      </c>
      <c r="O6" s="52" t="str">
        <f aca="false"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3" t="str">
        <f aca="false">IF(AND(Q$3&gt;=$J6, Q$3&lt;$M6), $A6, "")</f>
        <v/>
      </c>
      <c r="Q6" s="53" t="str">
        <f aca="false">IF(AND(R$3&gt;=$J6, R$3&lt;$M6), $A6, "")</f>
        <v/>
      </c>
      <c r="R6" s="53" t="str">
        <f aca="false">IF(AND(S$3&gt;=$J6, S$3&lt;$M6), $A6, "")</f>
        <v/>
      </c>
      <c r="S6" s="53" t="str">
        <f aca="false">IF(AND(T$3&gt;=$J6, T$3&lt;$M6), $A6, "")</f>
        <v/>
      </c>
      <c r="T6" s="53" t="str">
        <f aca="false">IF(AND(U$3&gt;=$J6, U$3&lt;$M6), $A6, "")</f>
        <v/>
      </c>
      <c r="U6" s="53" t="str">
        <f aca="false">IF(AND(V$3&gt;=$J6, V$3&lt;$M6), $A6, "")</f>
        <v/>
      </c>
      <c r="V6" s="53" t="str">
        <f aca="false">IF(AND(W$3&gt;=$J6, W$3&lt;$M6), $A6, "")</f>
        <v/>
      </c>
      <c r="W6" s="53" t="str">
        <f aca="false">IF(AND(X$3&gt;=$J6, X$3&lt;$M6), $A6, "")</f>
        <v/>
      </c>
      <c r="X6" s="53" t="str">
        <f aca="false">IF(AND(Y$3&gt;=$J6, Y$3&lt;$M6), $A6, "")</f>
        <v/>
      </c>
      <c r="Y6" s="53" t="str">
        <f aca="false">IF(AND(Z$3&gt;=$J6, Z$3&lt;$M6), $A6, "")</f>
        <v/>
      </c>
      <c r="Z6" s="53" t="str">
        <f aca="false">IF(AND(AA$3&gt;=$J6, AA$3&lt;$M6), $A6, "")</f>
        <v/>
      </c>
      <c r="AA6" s="53" t="str">
        <f aca="false">IF(AND(AB$3&gt;=$J6, AB$3&lt;$M6), $A6, "")</f>
        <v/>
      </c>
      <c r="AB6" s="53" t="str">
        <f aca="false">IF(AND(AC$3&gt;=$J6, AC$3&lt;$M6), $A6, "")</f>
        <v/>
      </c>
      <c r="AC6" s="53" t="str">
        <f aca="false">IF(AND(AD$3&gt;=$J6, AD$3&lt;$M6), $A6, "")</f>
        <v/>
      </c>
      <c r="AD6" s="53" t="str">
        <f aca="false">IF(AND(AE$3&gt;=$J6, AE$3&lt;$M6), $A6, "")</f>
        <v/>
      </c>
      <c r="AE6" s="53" t="str">
        <f aca="false">IF(AND(AF$3&gt;=$J6, AF$3&lt;$M6), $A6, "")</f>
        <v/>
      </c>
      <c r="AF6" s="53" t="str">
        <f aca="false">IF(AND(AG$3&gt;=$J6, AG$3&lt;$M6), $A6, "")</f>
        <v/>
      </c>
      <c r="AG6" s="53" t="str">
        <f aca="false">IF(AND(AH$3&gt;=$J6, AH$3&lt;$M6), $A6, "")</f>
        <v/>
      </c>
      <c r="AH6" s="53" t="str">
        <f aca="false">IF(AND(AI$3&gt;=$J6, AI$3&lt;$M6), $A6, "")</f>
        <v/>
      </c>
      <c r="AI6" s="53" t="str">
        <f aca="false">IF(AND(AJ$3&gt;=$J6, AJ$3&lt;$M6), $A6, "")</f>
        <v/>
      </c>
      <c r="AJ6" s="53" t="str">
        <f aca="false">IF(AND(AK$3&gt;=$J6, AK$3&lt;$M6), $A6, "")</f>
        <v/>
      </c>
      <c r="AK6" s="53" t="str">
        <f aca="false">IF(AND(AL$3&gt;=$J6, AL$3&lt;$M6), $A6, "")</f>
        <v/>
      </c>
      <c r="AL6" s="53" t="str">
        <f aca="false">IF(AND(AM$3&gt;=$J6, AM$3&lt;$M6), $A6, "")</f>
        <v/>
      </c>
      <c r="AM6" s="53" t="str">
        <f aca="false">IF(AND(AN$3&gt;=$J6, AN$3&lt;$M6), $A6, "")</f>
        <v/>
      </c>
      <c r="AN6" s="53" t="str">
        <f aca="false">IF(AND(AO$3&gt;=$J6, AO$3&lt;$M6), $A6, "")</f>
        <v/>
      </c>
      <c r="AO6" s="53" t="str">
        <f aca="false">IF(AND(AP$3&gt;=$J6, AP$3&lt;$M6), $A6, "")</f>
        <v/>
      </c>
      <c r="AP6" s="53" t="str">
        <f aca="false">IF(AND(AQ$3&gt;=$J6, AQ$3&lt;$M6), $A6, "")</f>
        <v/>
      </c>
      <c r="AQ6" s="53" t="str">
        <f aca="false">IF(AND(AR$3&gt;=$J6, AR$3&lt;$M6), $A6, "")</f>
        <v/>
      </c>
      <c r="AR6" s="53" t="str">
        <f aca="false">IF(AND(AS$3&gt;=$J6, AS$3&lt;$M6), $A6, "")</f>
        <v/>
      </c>
      <c r="AS6" s="53" t="str">
        <f aca="false">IF(AND(AT$3&gt;=$J6, AT$3&lt;$M6), $A6, "")</f>
        <v/>
      </c>
      <c r="AT6" s="53" t="str">
        <f aca="false">IF(AND(AU$3&gt;=$J6, AU$3&lt;$M6), $A6, "")</f>
        <v/>
      </c>
      <c r="AU6" s="53" t="str">
        <f aca="false">IF(AND(AV$3&gt;=$J6, AV$3&lt;$M6), $A6, "")</f>
        <v/>
      </c>
      <c r="AV6" s="53" t="str">
        <f aca="false">IF(AND(AW$3&gt;=$J6, AW$3&lt;$M6), $A6, "")</f>
        <v/>
      </c>
      <c r="AW6" s="53" t="str">
        <f aca="false">IF(AND(AX$3&gt;=$J6, AX$3&lt;$M6), $A6, "")</f>
        <v/>
      </c>
      <c r="AX6" s="53" t="str">
        <f aca="false">IF(AND(AY$3&gt;=$J6, AY$3&lt;$M6), $A6, "")</f>
        <v/>
      </c>
      <c r="AY6" s="53" t="str">
        <f aca="false">IF(AND(AZ$3&gt;=$J6, AZ$3&lt;$M6), $A6, "")</f>
        <v/>
      </c>
      <c r="AZ6" s="53" t="str">
        <f aca="false">IF(AND(BA$3&gt;=$J6, BA$3&lt;$M6), $A6, "")</f>
        <v/>
      </c>
      <c r="BA6" s="53" t="str">
        <f aca="false">IF(AND(BB$3&gt;=$J6, BB$3&lt;$M6), $A6, "")</f>
        <v/>
      </c>
      <c r="BB6" s="53" t="str">
        <f aca="false">IF(AND(BC$3&gt;=$J6, BC$3&lt;$M6), $A6, "")</f>
        <v/>
      </c>
      <c r="BC6" s="53" t="str">
        <f aca="false">IF(AND(BD$3&gt;=$J6, BD$3&lt;$M6), $A6, "")</f>
        <v/>
      </c>
      <c r="BD6" s="53" t="str">
        <f aca="false">IF(AND(BE$3&gt;=$J6, BE$3&lt;$M6), $A6, "")</f>
        <v/>
      </c>
      <c r="BE6" s="53" t="str">
        <f aca="false">IF(AND(BF$3&gt;=$J6, BF$3&lt;$M6), $A6, "")</f>
        <v/>
      </c>
      <c r="BF6" s="53" t="str">
        <f aca="false">IF(AND(BG$3&gt;=$J6, BG$3&lt;$M6), $A6, "")</f>
        <v/>
      </c>
      <c r="BG6" s="53" t="str">
        <f aca="false">IF(AND(BH$3&gt;=$J6, BH$3&lt;$M6), $A6, "")</f>
        <v/>
      </c>
      <c r="BH6" s="53" t="str">
        <f aca="false">IF(AND(BI$3&gt;=$J6, BI$3&lt;$M6), $A6, "")</f>
        <v/>
      </c>
      <c r="BI6" s="53" t="str">
        <f aca="false">IF(AND(BJ$3&gt;=$J6, BJ$3&lt;$M6), $A6, "")</f>
        <v/>
      </c>
      <c r="BJ6" s="53" t="str">
        <f aca="false">IF(AND(BK$3&gt;=$J6, BK$3&lt;$M6), $A6, "")</f>
        <v/>
      </c>
      <c r="BK6" s="53" t="str">
        <f aca="false">IF(AND(BL$3&gt;=$J6, BL$3&lt;$M6), $A6, "")</f>
        <v/>
      </c>
      <c r="BL6" s="53" t="str">
        <f aca="false">IF(AND(BM$3&gt;=$J6, BM$3&lt;$M6), $A6, "")</f>
        <v/>
      </c>
      <c r="BM6" s="53" t="str">
        <f aca="false">IF(AND(BN$3&gt;=$J6, BN$3&lt;$M6), $A6, "")</f>
        <v/>
      </c>
      <c r="BN6" s="1" t="str">
        <f aca="false">IF(AND(BO$3&gt;=$J6, BO$3&lt;$M6), $A6, "")</f>
        <v/>
      </c>
      <c r="BO6" s="1" t="str">
        <f aca="false">IF(AND(BP$3&gt;=$J6, BP$3&lt;$M6), $A6, "")</f>
        <v/>
      </c>
      <c r="BP6" s="1" t="str">
        <f aca="false">IF(AND(BQ$3&gt;=$J6, BQ$3&lt;$M6), $A6, "")</f>
        <v/>
      </c>
    </row>
    <row r="7" customFormat="false" ht="15" hidden="false" customHeight="true" outlineLevel="0" collapsed="false">
      <c r="A7" s="46" t="str">
        <f aca="false">IF(Job_Master!A7="","",Job_Master!A7)</f>
        <v>BJ-100</v>
      </c>
      <c r="B7" s="4" t="n">
        <f aca="false">IF($A7="","",Job_Master!B7)</f>
        <v>25</v>
      </c>
      <c r="C7" s="4" t="str">
        <f aca="false">IF($A7="","",Job_Master!C7)</f>
        <v>SEG</v>
      </c>
      <c r="D7" s="4" t="n">
        <f aca="false">IF($A7="","",Job_Master!D7)</f>
        <v>6</v>
      </c>
      <c r="E7" s="48" t="str">
        <f aca="false">IF($A7="","",IFERROR(INDEX(Machine_List!$B$82:$B$86,MATCH("*"&amp;$B7&amp;"*",Machine_List!$J$82:$J$86,0)),"NO COMPATIBLE MACHINE"))</f>
        <v>QC-MC-01</v>
      </c>
      <c r="F7" s="4" t="str">
        <f aca="false">IF($E7="","",IFERROR(VLOOKUP($E7,Machine_List!$B:$G,6,0),""))</f>
        <v>General Workman</v>
      </c>
      <c r="G7" s="55" t="n">
        <f aca="false">IF($E7="","",IFERROR(VLOOKUP($E7,Machine_List!$B:$C,2,0),""))</f>
        <v>46518</v>
      </c>
      <c r="H7" s="4" t="n">
        <f aca="false">IF($E7="","",IFERROR(VLOOKUP($E7,Machine_List!$B:$D,3,0),""))</f>
        <v>6</v>
      </c>
      <c r="I7" s="56"/>
      <c r="J7" s="57" t="n">
        <f aca="true">IF($A7="","",IF($I7&lt;&gt;"",$I7,MAX(FID_Plan!$M7,IFERROR(LOOKUP(2,1/($E$3:INDIRECT("E"&amp;(ROW()-1))=$E7),$M$3:INDIRECT("M"&amp;(ROW()-1))),FID_Plan!$M7))))</f>
        <v>46178.1296296296</v>
      </c>
      <c r="K7" s="4" t="n">
        <f aca="false">IF($A7="","",IFERROR(VLOOKUP(B7,CHOOSE(MATCH(C7,Settings!$L$4:$L$10,0),OPR_2P!$A$4:$I$18,SEG_6P!$A$4:$I$18,SOL_4P!$A$4:$I$18,RW_2P!$A$4:$I$18,RW2_4P!$A$4:$I$18,FLAP_4P!$A$4:$I$18,TUBE_4P!$A$4:$I$18),8,0),0))</f>
        <v>23</v>
      </c>
      <c r="L7" s="4" t="n">
        <f aca="false">IF($A7="","",K7*D7)</f>
        <v>138</v>
      </c>
      <c r="M7" s="57" t="n">
        <f aca="false">IF($A7="","",$J7+($L7/(IF(F7="Contract Workman",Settings!$K$5,Settings!$K$4))))</f>
        <v>46184.5185185185</v>
      </c>
      <c r="N7" s="4" t="str">
        <f aca="false">IF($A7="","",IF(F7="Contract Workman",IF(AND(MOD(M7,1)&gt;=8/24,MOD(M7,1)&lt;20/24),"Shift S1","Shift S2"),IF(AND(MOD(M7,1)&gt;=7/24,MOD(M7,1)&lt;15/24),"Shift A",IF(AND(MOD(M7,1)&gt;=15/24,MOD(M7,1)&lt;23/24),"Shift B","Shift C"))))</f>
        <v>Shift A</v>
      </c>
      <c r="O7" s="52" t="str">
        <f aca="false"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3" t="str">
        <f aca="false">IF(AND(Q$3&gt;=$J7, Q$3&lt;$M7), $A7, "")</f>
        <v/>
      </c>
      <c r="Q7" s="53" t="str">
        <f aca="false">IF(AND(R$3&gt;=$J7, R$3&lt;$M7), $A7, "")</f>
        <v/>
      </c>
      <c r="R7" s="53" t="str">
        <f aca="false">IF(AND(S$3&gt;=$J7, S$3&lt;$M7), $A7, "")</f>
        <v/>
      </c>
      <c r="S7" s="53" t="str">
        <f aca="false">IF(AND(T$3&gt;=$J7, T$3&lt;$M7), $A7, "")</f>
        <v/>
      </c>
      <c r="T7" s="53" t="str">
        <f aca="false">IF(AND(U$3&gt;=$J7, U$3&lt;$M7), $A7, "")</f>
        <v/>
      </c>
      <c r="U7" s="53" t="str">
        <f aca="false">IF(AND(V$3&gt;=$J7, V$3&lt;$M7), $A7, "")</f>
        <v/>
      </c>
      <c r="V7" s="53" t="str">
        <f aca="false">IF(AND(W$3&gt;=$J7, W$3&lt;$M7), $A7, "")</f>
        <v/>
      </c>
      <c r="W7" s="53" t="str">
        <f aca="false">IF(AND(X$3&gt;=$J7, X$3&lt;$M7), $A7, "")</f>
        <v/>
      </c>
      <c r="X7" s="53" t="str">
        <f aca="false">IF(AND(Y$3&gt;=$J7, Y$3&lt;$M7), $A7, "")</f>
        <v/>
      </c>
      <c r="Y7" s="53" t="str">
        <f aca="false">IF(AND(Z$3&gt;=$J7, Z$3&lt;$M7), $A7, "")</f>
        <v/>
      </c>
      <c r="Z7" s="53" t="str">
        <f aca="false">IF(AND(AA$3&gt;=$J7, AA$3&lt;$M7), $A7, "")</f>
        <v/>
      </c>
      <c r="AA7" s="53" t="str">
        <f aca="false">IF(AND(AB$3&gt;=$J7, AB$3&lt;$M7), $A7, "")</f>
        <v/>
      </c>
      <c r="AB7" s="53" t="str">
        <f aca="false">IF(AND(AC$3&gt;=$J7, AC$3&lt;$M7), $A7, "")</f>
        <v/>
      </c>
      <c r="AC7" s="53" t="str">
        <f aca="false">IF(AND(AD$3&gt;=$J7, AD$3&lt;$M7), $A7, "")</f>
        <v/>
      </c>
      <c r="AD7" s="53" t="str">
        <f aca="false">IF(AND(AE$3&gt;=$J7, AE$3&lt;$M7), $A7, "")</f>
        <v/>
      </c>
      <c r="AE7" s="53" t="str">
        <f aca="false">IF(AND(AF$3&gt;=$J7, AF$3&lt;$M7), $A7, "")</f>
        <v/>
      </c>
      <c r="AF7" s="53" t="str">
        <f aca="false">IF(AND(AG$3&gt;=$J7, AG$3&lt;$M7), $A7, "")</f>
        <v/>
      </c>
      <c r="AG7" s="53" t="str">
        <f aca="false">IF(AND(AH$3&gt;=$J7, AH$3&lt;$M7), $A7, "")</f>
        <v/>
      </c>
      <c r="AH7" s="53" t="str">
        <f aca="false">IF(AND(AI$3&gt;=$J7, AI$3&lt;$M7), $A7, "")</f>
        <v/>
      </c>
      <c r="AI7" s="53" t="str">
        <f aca="false">IF(AND(AJ$3&gt;=$J7, AJ$3&lt;$M7), $A7, "")</f>
        <v/>
      </c>
      <c r="AJ7" s="53" t="str">
        <f aca="false">IF(AND(AK$3&gt;=$J7, AK$3&lt;$M7), $A7, "")</f>
        <v/>
      </c>
      <c r="AK7" s="53" t="str">
        <f aca="false">IF(AND(AL$3&gt;=$J7, AL$3&lt;$M7), $A7, "")</f>
        <v/>
      </c>
      <c r="AL7" s="53" t="str">
        <f aca="false">IF(AND(AM$3&gt;=$J7, AM$3&lt;$M7), $A7, "")</f>
        <v/>
      </c>
      <c r="AM7" s="53" t="str">
        <f aca="false">IF(AND(AN$3&gt;=$J7, AN$3&lt;$M7), $A7, "")</f>
        <v/>
      </c>
      <c r="AN7" s="53" t="str">
        <f aca="false">IF(AND(AO$3&gt;=$J7, AO$3&lt;$M7), $A7, "")</f>
        <v/>
      </c>
      <c r="AO7" s="53" t="str">
        <f aca="false">IF(AND(AP$3&gt;=$J7, AP$3&lt;$M7), $A7, "")</f>
        <v/>
      </c>
      <c r="AP7" s="53" t="str">
        <f aca="false">IF(AND(AQ$3&gt;=$J7, AQ$3&lt;$M7), $A7, "")</f>
        <v/>
      </c>
      <c r="AQ7" s="53" t="str">
        <f aca="false">IF(AND(AR$3&gt;=$J7, AR$3&lt;$M7), $A7, "")</f>
        <v/>
      </c>
      <c r="AR7" s="53" t="str">
        <f aca="false">IF(AND(AS$3&gt;=$J7, AS$3&lt;$M7), $A7, "")</f>
        <v/>
      </c>
      <c r="AS7" s="53" t="str">
        <f aca="false">IF(AND(AT$3&gt;=$J7, AT$3&lt;$M7), $A7, "")</f>
        <v/>
      </c>
      <c r="AT7" s="53" t="str">
        <f aca="false">IF(AND(AU$3&gt;=$J7, AU$3&lt;$M7), $A7, "")</f>
        <v/>
      </c>
      <c r="AU7" s="53" t="str">
        <f aca="false">IF(AND(AV$3&gt;=$J7, AV$3&lt;$M7), $A7, "")</f>
        <v/>
      </c>
      <c r="AV7" s="53" t="str">
        <f aca="false">IF(AND(AW$3&gt;=$J7, AW$3&lt;$M7), $A7, "")</f>
        <v/>
      </c>
      <c r="AW7" s="53" t="str">
        <f aca="false">IF(AND(AX$3&gt;=$J7, AX$3&lt;$M7), $A7, "")</f>
        <v/>
      </c>
      <c r="AX7" s="53" t="str">
        <f aca="false">IF(AND(AY$3&gt;=$J7, AY$3&lt;$M7), $A7, "")</f>
        <v/>
      </c>
      <c r="AY7" s="53" t="str">
        <f aca="false">IF(AND(AZ$3&gt;=$J7, AZ$3&lt;$M7), $A7, "")</f>
        <v/>
      </c>
      <c r="AZ7" s="53" t="str">
        <f aca="false">IF(AND(BA$3&gt;=$J7, BA$3&lt;$M7), $A7, "")</f>
        <v/>
      </c>
      <c r="BA7" s="53" t="str">
        <f aca="false">IF(AND(BB$3&gt;=$J7, BB$3&lt;$M7), $A7, "")</f>
        <v/>
      </c>
      <c r="BB7" s="53" t="str">
        <f aca="false">IF(AND(BC$3&gt;=$J7, BC$3&lt;$M7), $A7, "")</f>
        <v/>
      </c>
      <c r="BC7" s="53" t="str">
        <f aca="false">IF(AND(BD$3&gt;=$J7, BD$3&lt;$M7), $A7, "")</f>
        <v/>
      </c>
      <c r="BD7" s="53" t="str">
        <f aca="false">IF(AND(BE$3&gt;=$J7, BE$3&lt;$M7), $A7, "")</f>
        <v/>
      </c>
      <c r="BE7" s="53" t="str">
        <f aca="false">IF(AND(BF$3&gt;=$J7, BF$3&lt;$M7), $A7, "")</f>
        <v/>
      </c>
      <c r="BF7" s="53" t="str">
        <f aca="false">IF(AND(BG$3&gt;=$J7, BG$3&lt;$M7), $A7, "")</f>
        <v/>
      </c>
      <c r="BG7" s="53" t="str">
        <f aca="false">IF(AND(BH$3&gt;=$J7, BH$3&lt;$M7), $A7, "")</f>
        <v/>
      </c>
      <c r="BH7" s="53" t="str">
        <f aca="false">IF(AND(BI$3&gt;=$J7, BI$3&lt;$M7), $A7, "")</f>
        <v/>
      </c>
      <c r="BI7" s="53" t="str">
        <f aca="false">IF(AND(BJ$3&gt;=$J7, BJ$3&lt;$M7), $A7, "")</f>
        <v/>
      </c>
      <c r="BJ7" s="53" t="str">
        <f aca="false">IF(AND(BK$3&gt;=$J7, BK$3&lt;$M7), $A7, "")</f>
        <v/>
      </c>
      <c r="BK7" s="53" t="str">
        <f aca="false">IF(AND(BL$3&gt;=$J7, BL$3&lt;$M7), $A7, "")</f>
        <v/>
      </c>
      <c r="BL7" s="53" t="str">
        <f aca="false">IF(AND(BM$3&gt;=$J7, BM$3&lt;$M7), $A7, "")</f>
        <v/>
      </c>
      <c r="BM7" s="53" t="str">
        <f aca="false">IF(AND(BN$3&gt;=$J7, BN$3&lt;$M7), $A7, "")</f>
        <v/>
      </c>
      <c r="BN7" s="1" t="str">
        <f aca="false">IF(AND(BO$3&gt;=$J7, BO$3&lt;$M7), $A7, "")</f>
        <v/>
      </c>
      <c r="BO7" s="1" t="str">
        <f aca="false">IF(AND(BP$3&gt;=$J7, BP$3&lt;$M7), $A7, "")</f>
        <v/>
      </c>
      <c r="BP7" s="1" t="str">
        <f aca="false">IF(AND(BQ$3&gt;=$J7, BQ$3&lt;$M7), $A7, "")</f>
        <v/>
      </c>
    </row>
    <row r="8" customFormat="false" ht="15" hidden="false" customHeight="true" outlineLevel="0" collapsed="false">
      <c r="A8" s="46" t="str">
        <f aca="false">IF(Job_Master!A8="","",Job_Master!A8)</f>
        <v>BJ-102</v>
      </c>
      <c r="B8" s="4" t="n">
        <f aca="false">IF($A8="","",Job_Master!B8)</f>
        <v>34</v>
      </c>
      <c r="C8" s="4" t="str">
        <f aca="false">IF($A8="","",Job_Master!C8)</f>
        <v>SEG</v>
      </c>
      <c r="D8" s="4" t="n">
        <f aca="false">IF($A8="","",Job_Master!D8)</f>
        <v>6</v>
      </c>
      <c r="E8" s="48" t="str">
        <f aca="false">IF($A8="","",IFERROR(INDEX(Machine_List!$B$82:$B$86,MATCH("*"&amp;$B8&amp;"*",Machine_List!$J$82:$J$86,0)),"NO COMPATIBLE MACHINE"))</f>
        <v>QC-MC-01</v>
      </c>
      <c r="F8" s="4" t="str">
        <f aca="false">IF($E8="","",IFERROR(VLOOKUP($E8,Machine_List!$B:$G,6,0),""))</f>
        <v>General Workman</v>
      </c>
      <c r="G8" s="55" t="n">
        <f aca="false">IF($E8="","",IFERROR(VLOOKUP($E8,Machine_List!$B:$C,2,0),""))</f>
        <v>46518</v>
      </c>
      <c r="H8" s="4" t="n">
        <f aca="false">IF($E8="","",IFERROR(VLOOKUP($E8,Machine_List!$B:$D,3,0),""))</f>
        <v>6</v>
      </c>
      <c r="I8" s="56"/>
      <c r="J8" s="57" t="n">
        <f aca="true">IF($A8="","",IF($I8&lt;&gt;"",$I8,MAX(FID_Plan!$M8,IFERROR(LOOKUP(2,1/($E$3:INDIRECT("E"&amp;(ROW()-1))=$E8),$M$3:INDIRECT("M"&amp;(ROW()-1))),FID_Plan!$M8))))</f>
        <v>46200.332010582</v>
      </c>
      <c r="K8" s="4" t="n">
        <f aca="false">IF($A8="","",IFERROR(VLOOKUP(B8,CHOOSE(MATCH(C8,Settings!$L$4:$L$10,0),OPR_2P!$A$4:$I$18,SEG_6P!$A$4:$I$18,SOL_4P!$A$4:$I$18,RW_2P!$A$4:$I$18,RW2_4P!$A$4:$I$18,FLAP_4P!$A$4:$I$18,TUBE_4P!$A$4:$I$18),8,0),0))</f>
        <v>31</v>
      </c>
      <c r="L8" s="4" t="n">
        <f aca="false">IF($A8="","",K8*D8)</f>
        <v>186</v>
      </c>
      <c r="M8" s="57" t="n">
        <f aca="false">IF($A8="","",$J8+($L8/(IF(F8="Contract Workman",Settings!$K$5,Settings!$K$4))))</f>
        <v>46208.9431216931</v>
      </c>
      <c r="N8" s="4" t="str">
        <f aca="false">IF($A8="","",IF(F8="Contract Workman",IF(AND(MOD(M8,1)&gt;=8/24,MOD(M8,1)&lt;20/24),"Shift S1","Shift S2"),IF(AND(MOD(M8,1)&gt;=7/24,MOD(M8,1)&lt;15/24),"Shift A",IF(AND(MOD(M8,1)&gt;=15/24,MOD(M8,1)&lt;23/24),"Shift B","Shift C"))))</f>
        <v>Shift B</v>
      </c>
      <c r="O8" s="52" t="str">
        <f aca="false"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3" t="str">
        <f aca="false">IF(AND(Q$3&gt;=$J8, Q$3&lt;$M8), $A8, "")</f>
        <v/>
      </c>
      <c r="Q8" s="53" t="str">
        <f aca="false">IF(AND(R$3&gt;=$J8, R$3&lt;$M8), $A8, "")</f>
        <v/>
      </c>
      <c r="R8" s="53" t="str">
        <f aca="false">IF(AND(S$3&gt;=$J8, S$3&lt;$M8), $A8, "")</f>
        <v/>
      </c>
      <c r="S8" s="53" t="str">
        <f aca="false">IF(AND(T$3&gt;=$J8, T$3&lt;$M8), $A8, "")</f>
        <v/>
      </c>
      <c r="T8" s="53" t="str">
        <f aca="false">IF(AND(U$3&gt;=$J8, U$3&lt;$M8), $A8, "")</f>
        <v/>
      </c>
      <c r="U8" s="53" t="str">
        <f aca="false">IF(AND(V$3&gt;=$J8, V$3&lt;$M8), $A8, "")</f>
        <v/>
      </c>
      <c r="V8" s="53" t="str">
        <f aca="false">IF(AND(W$3&gt;=$J8, W$3&lt;$M8), $A8, "")</f>
        <v/>
      </c>
      <c r="W8" s="53" t="str">
        <f aca="false">IF(AND(X$3&gt;=$J8, X$3&lt;$M8), $A8, "")</f>
        <v/>
      </c>
      <c r="X8" s="53" t="str">
        <f aca="false">IF(AND(Y$3&gt;=$J8, Y$3&lt;$M8), $A8, "")</f>
        <v/>
      </c>
      <c r="Y8" s="53" t="str">
        <f aca="false">IF(AND(Z$3&gt;=$J8, Z$3&lt;$M8), $A8, "")</f>
        <v/>
      </c>
      <c r="Z8" s="53" t="str">
        <f aca="false">IF(AND(AA$3&gt;=$J8, AA$3&lt;$M8), $A8, "")</f>
        <v/>
      </c>
      <c r="AA8" s="53" t="str">
        <f aca="false">IF(AND(AB$3&gt;=$J8, AB$3&lt;$M8), $A8, "")</f>
        <v/>
      </c>
      <c r="AB8" s="53" t="str">
        <f aca="false">IF(AND(AC$3&gt;=$J8, AC$3&lt;$M8), $A8, "")</f>
        <v/>
      </c>
      <c r="AC8" s="53" t="str">
        <f aca="false">IF(AND(AD$3&gt;=$J8, AD$3&lt;$M8), $A8, "")</f>
        <v/>
      </c>
      <c r="AD8" s="53" t="str">
        <f aca="false">IF(AND(AE$3&gt;=$J8, AE$3&lt;$M8), $A8, "")</f>
        <v/>
      </c>
      <c r="AE8" s="53" t="str">
        <f aca="false">IF(AND(AF$3&gt;=$J8, AF$3&lt;$M8), $A8, "")</f>
        <v/>
      </c>
      <c r="AF8" s="53" t="str">
        <f aca="false">IF(AND(AG$3&gt;=$J8, AG$3&lt;$M8), $A8, "")</f>
        <v/>
      </c>
      <c r="AG8" s="53" t="str">
        <f aca="false">IF(AND(AH$3&gt;=$J8, AH$3&lt;$M8), $A8, "")</f>
        <v/>
      </c>
      <c r="AH8" s="53" t="str">
        <f aca="false">IF(AND(AI$3&gt;=$J8, AI$3&lt;$M8), $A8, "")</f>
        <v/>
      </c>
      <c r="AI8" s="53" t="str">
        <f aca="false">IF(AND(AJ$3&gt;=$J8, AJ$3&lt;$M8), $A8, "")</f>
        <v/>
      </c>
      <c r="AJ8" s="53" t="str">
        <f aca="false">IF(AND(AK$3&gt;=$J8, AK$3&lt;$M8), $A8, "")</f>
        <v/>
      </c>
      <c r="AK8" s="53" t="str">
        <f aca="false">IF(AND(AL$3&gt;=$J8, AL$3&lt;$M8), $A8, "")</f>
        <v/>
      </c>
      <c r="AL8" s="53" t="str">
        <f aca="false">IF(AND(AM$3&gt;=$J8, AM$3&lt;$M8), $A8, "")</f>
        <v/>
      </c>
      <c r="AM8" s="53" t="str">
        <f aca="false">IF(AND(AN$3&gt;=$J8, AN$3&lt;$M8), $A8, "")</f>
        <v/>
      </c>
      <c r="AN8" s="53" t="str">
        <f aca="false">IF(AND(AO$3&gt;=$J8, AO$3&lt;$M8), $A8, "")</f>
        <v/>
      </c>
      <c r="AO8" s="53" t="str">
        <f aca="false">IF(AND(AP$3&gt;=$J8, AP$3&lt;$M8), $A8, "")</f>
        <v/>
      </c>
      <c r="AP8" s="53" t="str">
        <f aca="false">IF(AND(AQ$3&gt;=$J8, AQ$3&lt;$M8), $A8, "")</f>
        <v/>
      </c>
      <c r="AQ8" s="53" t="str">
        <f aca="false">IF(AND(AR$3&gt;=$J8, AR$3&lt;$M8), $A8, "")</f>
        <v/>
      </c>
      <c r="AR8" s="53" t="str">
        <f aca="false">IF(AND(AS$3&gt;=$J8, AS$3&lt;$M8), $A8, "")</f>
        <v/>
      </c>
      <c r="AS8" s="53" t="str">
        <f aca="false">IF(AND(AT$3&gt;=$J8, AT$3&lt;$M8), $A8, "")</f>
        <v/>
      </c>
      <c r="AT8" s="53" t="str">
        <f aca="false">IF(AND(AU$3&gt;=$J8, AU$3&lt;$M8), $A8, "")</f>
        <v/>
      </c>
      <c r="AU8" s="53" t="str">
        <f aca="false">IF(AND(AV$3&gt;=$J8, AV$3&lt;$M8), $A8, "")</f>
        <v/>
      </c>
      <c r="AV8" s="53" t="str">
        <f aca="false">IF(AND(AW$3&gt;=$J8, AW$3&lt;$M8), $A8, "")</f>
        <v/>
      </c>
      <c r="AW8" s="53" t="str">
        <f aca="false">IF(AND(AX$3&gt;=$J8, AX$3&lt;$M8), $A8, "")</f>
        <v/>
      </c>
      <c r="AX8" s="53" t="str">
        <f aca="false">IF(AND(AY$3&gt;=$J8, AY$3&lt;$M8), $A8, "")</f>
        <v/>
      </c>
      <c r="AY8" s="53" t="str">
        <f aca="false">IF(AND(AZ$3&gt;=$J8, AZ$3&lt;$M8), $A8, "")</f>
        <v/>
      </c>
      <c r="AZ8" s="53" t="str">
        <f aca="false">IF(AND(BA$3&gt;=$J8, BA$3&lt;$M8), $A8, "")</f>
        <v/>
      </c>
      <c r="BA8" s="53" t="str">
        <f aca="false">IF(AND(BB$3&gt;=$J8, BB$3&lt;$M8), $A8, "")</f>
        <v/>
      </c>
      <c r="BB8" s="53" t="str">
        <f aca="false">IF(AND(BC$3&gt;=$J8, BC$3&lt;$M8), $A8, "")</f>
        <v/>
      </c>
      <c r="BC8" s="53" t="str">
        <f aca="false">IF(AND(BD$3&gt;=$J8, BD$3&lt;$M8), $A8, "")</f>
        <v/>
      </c>
      <c r="BD8" s="53" t="str">
        <f aca="false">IF(AND(BE$3&gt;=$J8, BE$3&lt;$M8), $A8, "")</f>
        <v/>
      </c>
      <c r="BE8" s="53" t="str">
        <f aca="false">IF(AND(BF$3&gt;=$J8, BF$3&lt;$M8), $A8, "")</f>
        <v/>
      </c>
      <c r="BF8" s="53" t="str">
        <f aca="false">IF(AND(BG$3&gt;=$J8, BG$3&lt;$M8), $A8, "")</f>
        <v/>
      </c>
      <c r="BG8" s="53" t="str">
        <f aca="false">IF(AND(BH$3&gt;=$J8, BH$3&lt;$M8), $A8, "")</f>
        <v/>
      </c>
      <c r="BH8" s="53" t="str">
        <f aca="false">IF(AND(BI$3&gt;=$J8, BI$3&lt;$M8), $A8, "")</f>
        <v/>
      </c>
      <c r="BI8" s="53" t="str">
        <f aca="false">IF(AND(BJ$3&gt;=$J8, BJ$3&lt;$M8), $A8, "")</f>
        <v/>
      </c>
      <c r="BJ8" s="53" t="str">
        <f aca="false">IF(AND(BK$3&gt;=$J8, BK$3&lt;$M8), $A8, "")</f>
        <v/>
      </c>
      <c r="BK8" s="53" t="str">
        <f aca="false">IF(AND(BL$3&gt;=$J8, BL$3&lt;$M8), $A8, "")</f>
        <v/>
      </c>
      <c r="BL8" s="53" t="str">
        <f aca="false">IF(AND(BM$3&gt;=$J8, BM$3&lt;$M8), $A8, "")</f>
        <v/>
      </c>
      <c r="BM8" s="53" t="str">
        <f aca="false">IF(AND(BN$3&gt;=$J8, BN$3&lt;$M8), $A8, "")</f>
        <v/>
      </c>
      <c r="BN8" s="1" t="str">
        <f aca="false">IF(AND(BO$3&gt;=$J8, BO$3&lt;$M8), $A8, "")</f>
        <v/>
      </c>
      <c r="BO8" s="1" t="str">
        <f aca="false">IF(AND(BP$3&gt;=$J8, BP$3&lt;$M8), $A8, "")</f>
        <v/>
      </c>
      <c r="BP8" s="1" t="str">
        <f aca="false">IF(AND(BQ$3&gt;=$J8, BQ$3&lt;$M8), $A8, "")</f>
        <v/>
      </c>
    </row>
    <row r="9" customFormat="false" ht="15" hidden="false" customHeight="true" outlineLevel="0" collapsed="false">
      <c r="A9" s="46" t="str">
        <f aca="false">IF(Job_Master!A9="","",Job_Master!A9)</f>
        <v>BJ-103</v>
      </c>
      <c r="B9" s="4" t="n">
        <f aca="false">IF($A9="","",Job_Master!B9)</f>
        <v>20</v>
      </c>
      <c r="C9" s="4" t="str">
        <f aca="false">IF($A9="","",Job_Master!C9)</f>
        <v>RW</v>
      </c>
      <c r="D9" s="4" t="n">
        <f aca="false">IF($A9="","",Job_Master!D9)</f>
        <v>2</v>
      </c>
      <c r="E9" s="48" t="str">
        <f aca="false">IF($A9="","",IFERROR(INDEX(Machine_List!$B$82:$B$86,MATCH("*"&amp;$B9&amp;"*",Machine_List!$J$82:$J$86,0)),"NO COMPATIBLE MACHINE"))</f>
        <v>QC-MC-01</v>
      </c>
      <c r="F9" s="4" t="str">
        <f aca="false">IF($E9="","",IFERROR(VLOOKUP($E9,Machine_List!$B:$G,6,0),""))</f>
        <v>General Workman</v>
      </c>
      <c r="G9" s="55" t="n">
        <f aca="false">IF($E9="","",IFERROR(VLOOKUP($E9,Machine_List!$B:$C,2,0),""))</f>
        <v>46518</v>
      </c>
      <c r="H9" s="4" t="n">
        <f aca="false">IF($E9="","",IFERROR(VLOOKUP($E9,Machine_List!$B:$D,3,0),""))</f>
        <v>6</v>
      </c>
      <c r="I9" s="56"/>
      <c r="J9" s="57" t="n">
        <f aca="true">IF($A9="","",IF($I9&lt;&gt;"",$I9,MAX(FID_Plan!$M9,IFERROR(LOOKUP(2,1/($E$3:INDIRECT("E"&amp;(ROW()-1))=$E9),$M$3:INDIRECT("M"&amp;(ROW()-1))),FID_Plan!$M9))))</f>
        <v>46208.9431216931</v>
      </c>
      <c r="K9" s="4" t="n">
        <f aca="false">IF($A9="","",IFERROR(VLOOKUP(B9,CHOOSE(MATCH(C9,Settings!$L$4:$L$10,0),OPR_2P!$A$4:$I$18,SEG_6P!$A$4:$I$18,SOL_4P!$A$4:$I$18,RW_2P!$A$4:$I$18,RW2_4P!$A$4:$I$18,FLAP_4P!$A$4:$I$18,TUBE_4P!$A$4:$I$18),8,0),0))</f>
        <v>19</v>
      </c>
      <c r="L9" s="4" t="n">
        <f aca="false">IF($A9="","",K9*D9)</f>
        <v>38</v>
      </c>
      <c r="M9" s="57" t="n">
        <f aca="false">IF($A9="","",$J9+($L9/(IF(F9="Contract Workman",Settings!$K$5,Settings!$K$4))))</f>
        <v>46210.7023809524</v>
      </c>
      <c r="N9" s="4" t="str">
        <f aca="false">IF($A9="","",IF(F9="Contract Workman",IF(AND(MOD(M9,1)&gt;=8/24,MOD(M9,1)&lt;20/24),"Shift S1","Shift S2"),IF(AND(MOD(M9,1)&gt;=7/24,MOD(M9,1)&lt;15/24),"Shift A",IF(AND(MOD(M9,1)&gt;=15/24,MOD(M9,1)&lt;23/24),"Shift B","Shift C"))))</f>
        <v>Shift B</v>
      </c>
      <c r="O9" s="52" t="str">
        <f aca="false"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3" t="str">
        <f aca="false">IF(AND(Q$3&gt;=$J9, Q$3&lt;$M9), $A9, "")</f>
        <v/>
      </c>
      <c r="Q9" s="53" t="str">
        <f aca="false">IF(AND(R$3&gt;=$J9, R$3&lt;$M9), $A9, "")</f>
        <v/>
      </c>
      <c r="R9" s="53" t="str">
        <f aca="false">IF(AND(S$3&gt;=$J9, S$3&lt;$M9), $A9, "")</f>
        <v/>
      </c>
      <c r="S9" s="53" t="str">
        <f aca="false">IF(AND(T$3&gt;=$J9, T$3&lt;$M9), $A9, "")</f>
        <v/>
      </c>
      <c r="T9" s="53" t="str">
        <f aca="false">IF(AND(U$3&gt;=$J9, U$3&lt;$M9), $A9, "")</f>
        <v/>
      </c>
      <c r="U9" s="53" t="str">
        <f aca="false">IF(AND(V$3&gt;=$J9, V$3&lt;$M9), $A9, "")</f>
        <v/>
      </c>
      <c r="V9" s="53" t="str">
        <f aca="false">IF(AND(W$3&gt;=$J9, W$3&lt;$M9), $A9, "")</f>
        <v/>
      </c>
      <c r="W9" s="53" t="str">
        <f aca="false">IF(AND(X$3&gt;=$J9, X$3&lt;$M9), $A9, "")</f>
        <v/>
      </c>
      <c r="X9" s="53" t="str">
        <f aca="false">IF(AND(Y$3&gt;=$J9, Y$3&lt;$M9), $A9, "")</f>
        <v/>
      </c>
      <c r="Y9" s="53" t="str">
        <f aca="false">IF(AND(Z$3&gt;=$J9, Z$3&lt;$M9), $A9, "")</f>
        <v/>
      </c>
      <c r="Z9" s="53" t="str">
        <f aca="false">IF(AND(AA$3&gt;=$J9, AA$3&lt;$M9), $A9, "")</f>
        <v/>
      </c>
      <c r="AA9" s="53" t="str">
        <f aca="false">IF(AND(AB$3&gt;=$J9, AB$3&lt;$M9), $A9, "")</f>
        <v/>
      </c>
      <c r="AB9" s="53" t="str">
        <f aca="false">IF(AND(AC$3&gt;=$J9, AC$3&lt;$M9), $A9, "")</f>
        <v/>
      </c>
      <c r="AC9" s="53" t="str">
        <f aca="false">IF(AND(AD$3&gt;=$J9, AD$3&lt;$M9), $A9, "")</f>
        <v/>
      </c>
      <c r="AD9" s="53" t="str">
        <f aca="false">IF(AND(AE$3&gt;=$J9, AE$3&lt;$M9), $A9, "")</f>
        <v/>
      </c>
      <c r="AE9" s="53" t="str">
        <f aca="false">IF(AND(AF$3&gt;=$J9, AF$3&lt;$M9), $A9, "")</f>
        <v/>
      </c>
      <c r="AF9" s="53" t="str">
        <f aca="false">IF(AND(AG$3&gt;=$J9, AG$3&lt;$M9), $A9, "")</f>
        <v/>
      </c>
      <c r="AG9" s="53" t="str">
        <f aca="false">IF(AND(AH$3&gt;=$J9, AH$3&lt;$M9), $A9, "")</f>
        <v/>
      </c>
      <c r="AH9" s="53" t="str">
        <f aca="false">IF(AND(AI$3&gt;=$J9, AI$3&lt;$M9), $A9, "")</f>
        <v/>
      </c>
      <c r="AI9" s="53" t="str">
        <f aca="false">IF(AND(AJ$3&gt;=$J9, AJ$3&lt;$M9), $A9, "")</f>
        <v/>
      </c>
      <c r="AJ9" s="53" t="str">
        <f aca="false">IF(AND(AK$3&gt;=$J9, AK$3&lt;$M9), $A9, "")</f>
        <v/>
      </c>
      <c r="AK9" s="53" t="str">
        <f aca="false">IF(AND(AL$3&gt;=$J9, AL$3&lt;$M9), $A9, "")</f>
        <v/>
      </c>
      <c r="AL9" s="53" t="str">
        <f aca="false">IF(AND(AM$3&gt;=$J9, AM$3&lt;$M9), $A9, "")</f>
        <v/>
      </c>
      <c r="AM9" s="53" t="str">
        <f aca="false">IF(AND(AN$3&gt;=$J9, AN$3&lt;$M9), $A9, "")</f>
        <v/>
      </c>
      <c r="AN9" s="53" t="str">
        <f aca="false">IF(AND(AO$3&gt;=$J9, AO$3&lt;$M9), $A9, "")</f>
        <v/>
      </c>
      <c r="AO9" s="53" t="str">
        <f aca="false">IF(AND(AP$3&gt;=$J9, AP$3&lt;$M9), $A9, "")</f>
        <v/>
      </c>
      <c r="AP9" s="53" t="str">
        <f aca="false">IF(AND(AQ$3&gt;=$J9, AQ$3&lt;$M9), $A9, "")</f>
        <v/>
      </c>
      <c r="AQ9" s="53" t="str">
        <f aca="false">IF(AND(AR$3&gt;=$J9, AR$3&lt;$M9), $A9, "")</f>
        <v/>
      </c>
      <c r="AR9" s="53" t="str">
        <f aca="false">IF(AND(AS$3&gt;=$J9, AS$3&lt;$M9), $A9, "")</f>
        <v/>
      </c>
      <c r="AS9" s="53" t="str">
        <f aca="false">IF(AND(AT$3&gt;=$J9, AT$3&lt;$M9), $A9, "")</f>
        <v/>
      </c>
      <c r="AT9" s="53" t="str">
        <f aca="false">IF(AND(AU$3&gt;=$J9, AU$3&lt;$M9), $A9, "")</f>
        <v/>
      </c>
      <c r="AU9" s="53" t="str">
        <f aca="false">IF(AND(AV$3&gt;=$J9, AV$3&lt;$M9), $A9, "")</f>
        <v/>
      </c>
      <c r="AV9" s="53" t="str">
        <f aca="false">IF(AND(AW$3&gt;=$J9, AW$3&lt;$M9), $A9, "")</f>
        <v/>
      </c>
      <c r="AW9" s="53" t="str">
        <f aca="false">IF(AND(AX$3&gt;=$J9, AX$3&lt;$M9), $A9, "")</f>
        <v/>
      </c>
      <c r="AX9" s="53" t="str">
        <f aca="false">IF(AND(AY$3&gt;=$J9, AY$3&lt;$M9), $A9, "")</f>
        <v/>
      </c>
      <c r="AY9" s="53" t="str">
        <f aca="false">IF(AND(AZ$3&gt;=$J9, AZ$3&lt;$M9), $A9, "")</f>
        <v/>
      </c>
      <c r="AZ9" s="53" t="str">
        <f aca="false">IF(AND(BA$3&gt;=$J9, BA$3&lt;$M9), $A9, "")</f>
        <v/>
      </c>
      <c r="BA9" s="53" t="str">
        <f aca="false">IF(AND(BB$3&gt;=$J9, BB$3&lt;$M9), $A9, "")</f>
        <v/>
      </c>
      <c r="BB9" s="53" t="str">
        <f aca="false">IF(AND(BC$3&gt;=$J9, BC$3&lt;$M9), $A9, "")</f>
        <v/>
      </c>
      <c r="BC9" s="53" t="str">
        <f aca="false">IF(AND(BD$3&gt;=$J9, BD$3&lt;$M9), $A9, "")</f>
        <v/>
      </c>
      <c r="BD9" s="53" t="str">
        <f aca="false">IF(AND(BE$3&gt;=$J9, BE$3&lt;$M9), $A9, "")</f>
        <v/>
      </c>
      <c r="BE9" s="53" t="str">
        <f aca="false">IF(AND(BF$3&gt;=$J9, BF$3&lt;$M9), $A9, "")</f>
        <v/>
      </c>
      <c r="BF9" s="53" t="str">
        <f aca="false">IF(AND(BG$3&gt;=$J9, BG$3&lt;$M9), $A9, "")</f>
        <v/>
      </c>
      <c r="BG9" s="53" t="str">
        <f aca="false">IF(AND(BH$3&gt;=$J9, BH$3&lt;$M9), $A9, "")</f>
        <v/>
      </c>
      <c r="BH9" s="53" t="str">
        <f aca="false">IF(AND(BI$3&gt;=$J9, BI$3&lt;$M9), $A9, "")</f>
        <v/>
      </c>
      <c r="BI9" s="53" t="str">
        <f aca="false">IF(AND(BJ$3&gt;=$J9, BJ$3&lt;$M9), $A9, "")</f>
        <v/>
      </c>
      <c r="BJ9" s="53" t="str">
        <f aca="false">IF(AND(BK$3&gt;=$J9, BK$3&lt;$M9), $A9, "")</f>
        <v/>
      </c>
      <c r="BK9" s="53" t="str">
        <f aca="false">IF(AND(BL$3&gt;=$J9, BL$3&lt;$M9), $A9, "")</f>
        <v/>
      </c>
      <c r="BL9" s="53" t="str">
        <f aca="false">IF(AND(BM$3&gt;=$J9, BM$3&lt;$M9), $A9, "")</f>
        <v/>
      </c>
      <c r="BM9" s="53" t="str">
        <f aca="false">IF(AND(BN$3&gt;=$J9, BN$3&lt;$M9), $A9, "")</f>
        <v/>
      </c>
      <c r="BN9" s="1" t="str">
        <f aca="false">IF(AND(BO$3&gt;=$J9, BO$3&lt;$M9), $A9, "")</f>
        <v/>
      </c>
      <c r="BO9" s="1" t="str">
        <f aca="false">IF(AND(BP$3&gt;=$J9, BP$3&lt;$M9), $A9, "")</f>
        <v/>
      </c>
      <c r="BP9" s="1" t="str">
        <f aca="false">IF(AND(BQ$3&gt;=$J9, BQ$3&lt;$M9), $A9, "")</f>
        <v/>
      </c>
    </row>
    <row r="10" customFormat="false" ht="15" hidden="false" customHeight="true" outlineLevel="0" collapsed="false">
      <c r="A10" s="46" t="str">
        <f aca="false">IF(Job_Master!A10="","",Job_Master!A10)</f>
        <v>BJ-108</v>
      </c>
      <c r="B10" s="4" t="n">
        <f aca="false">IF($A10="","",Job_Master!B10)</f>
        <v>70</v>
      </c>
      <c r="C10" s="4" t="str">
        <f aca="false">IF($A10="","",Job_Master!C10)</f>
        <v>RW</v>
      </c>
      <c r="D10" s="4" t="n">
        <f aca="false">IF($A10="","",Job_Master!D10)</f>
        <v>2</v>
      </c>
      <c r="E10" s="48" t="str">
        <f aca="false">IF($A10="","",IFERROR(INDEX(Machine_List!$B$82:$B$86,MATCH("*"&amp;$B10&amp;"*",Machine_List!$J$82:$J$86,0)),"NO COMPATIBLE MACHINE"))</f>
        <v>QC-MC-01</v>
      </c>
      <c r="F10" s="4" t="str">
        <f aca="false">IF($E10="","",IFERROR(VLOOKUP($E10,Machine_List!$B:$G,6,0),""))</f>
        <v>General Workman</v>
      </c>
      <c r="G10" s="55" t="n">
        <f aca="false">IF($E10="","",IFERROR(VLOOKUP($E10,Machine_List!$B:$C,2,0),""))</f>
        <v>46518</v>
      </c>
      <c r="H10" s="4" t="n">
        <f aca="false">IF($E10="","",IFERROR(VLOOKUP($E10,Machine_List!$B:$D,3,0),""))</f>
        <v>6</v>
      </c>
      <c r="I10" s="56"/>
      <c r="J10" s="57" t="n">
        <f aca="true">IF($A10="","",IF($I10&lt;&gt;"",$I10,MAX(FID_Plan!$M10,IFERROR(LOOKUP(2,1/($E$3:INDIRECT("E"&amp;(ROW()-1))=$E10),$M$3:INDIRECT("M"&amp;(ROW()-1))),FID_Plan!$M10))))</f>
        <v>46210.7023809524</v>
      </c>
      <c r="K10" s="4" t="n">
        <f aca="false">IF($A10="","",IFERROR(VLOOKUP(B10,CHOOSE(MATCH(C10,Settings!$L$4:$L$10,0),OPR_2P!$A$4:$I$18,SEG_6P!$A$4:$I$18,SOL_4P!$A$4:$I$18,RW_2P!$A$4:$I$18,RW2_4P!$A$4:$I$18,FLAP_4P!$A$4:$I$18,TUBE_4P!$A$4:$I$18),8,0),0))</f>
        <v>96</v>
      </c>
      <c r="L10" s="4" t="n">
        <f aca="false">IF($A10="","",K10*D10)</f>
        <v>192</v>
      </c>
      <c r="M10" s="57" t="n">
        <f aca="false">IF($A10="","",$J10+($L10/(IF(F10="Contract Workman",Settings!$K$5,Settings!$K$4))))</f>
        <v>46219.5912698413</v>
      </c>
      <c r="N10" s="4" t="str">
        <f aca="false">IF($A10="","",IF(F10="Contract Workman",IF(AND(MOD(M10,1)&gt;=8/24,MOD(M10,1)&lt;20/24),"Shift S1","Shift S2"),IF(AND(MOD(M10,1)&gt;=7/24,MOD(M10,1)&lt;15/24),"Shift A",IF(AND(MOD(M10,1)&gt;=15/24,MOD(M10,1)&lt;23/24),"Shift B","Shift C"))))</f>
        <v>Shift A</v>
      </c>
      <c r="O10" s="52" t="str">
        <f aca="false"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8"/>
      <c r="Q10" s="59"/>
      <c r="R10" s="59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 t="str">
        <f aca="false">IF(AND(AE$3&gt;=$J10, AE$3&lt;$M10), $A10, "")</f>
        <v/>
      </c>
      <c r="AE10" s="53" t="str">
        <f aca="false">IF(AND(AF$3&gt;=$J10, AF$3&lt;$M10), $A10, "")</f>
        <v/>
      </c>
      <c r="AF10" s="53" t="str">
        <f aca="false">IF(AND(AG$3&gt;=$J10, AG$3&lt;$M10), $A10, "")</f>
        <v/>
      </c>
      <c r="AG10" s="53" t="str">
        <f aca="false">IF(AND(AH$3&gt;=$J10, AH$3&lt;$M10), $A10, "")</f>
        <v/>
      </c>
      <c r="AH10" s="53" t="str">
        <f aca="false">IF(AND(AI$3&gt;=$J10, AI$3&lt;$M10), $A10, "")</f>
        <v/>
      </c>
      <c r="AI10" s="53" t="str">
        <f aca="false">IF(AND(AJ$3&gt;=$J10, AJ$3&lt;$M10), $A10, "")</f>
        <v/>
      </c>
      <c r="AJ10" s="53" t="str">
        <f aca="false">IF(AND(AK$3&gt;=$J10, AK$3&lt;$M10), $A10, "")</f>
        <v/>
      </c>
      <c r="AK10" s="53" t="str">
        <f aca="false">IF(AND(AL$3&gt;=$J10, AL$3&lt;$M10), $A10, "")</f>
        <v/>
      </c>
      <c r="AL10" s="53" t="str">
        <f aca="false">IF(AND(AM$3&gt;=$J10, AM$3&lt;$M10), $A10, "")</f>
        <v/>
      </c>
      <c r="AM10" s="53" t="str">
        <f aca="false">IF(AND(AN$3&gt;=$J10, AN$3&lt;$M10), $A10, "")</f>
        <v/>
      </c>
      <c r="AN10" s="53" t="str">
        <f aca="false">IF(AND(AO$3&gt;=$J10, AO$3&lt;$M10), $A10, "")</f>
        <v/>
      </c>
      <c r="AO10" s="53" t="str">
        <f aca="false">IF(AND(AP$3&gt;=$J10, AP$3&lt;$M10), $A10, "")</f>
        <v/>
      </c>
      <c r="AP10" s="53" t="str">
        <f aca="false">IF(AND(AQ$3&gt;=$J10, AQ$3&lt;$M10), $A10, "")</f>
        <v/>
      </c>
      <c r="AQ10" s="53" t="str">
        <f aca="false">IF(AND(AR$3&gt;=$J10, AR$3&lt;$M10), $A10, "")</f>
        <v/>
      </c>
      <c r="AR10" s="53" t="str">
        <f aca="false">IF(AND(AS$3&gt;=$J10, AS$3&lt;$M10), $A10, "")</f>
        <v/>
      </c>
      <c r="AS10" s="53" t="str">
        <f aca="false">IF(AND(AT$3&gt;=$J10, AT$3&lt;$M10), $A10, "")</f>
        <v/>
      </c>
      <c r="AT10" s="53" t="str">
        <f aca="false">IF(AND(AU$3&gt;=$J10, AU$3&lt;$M10), $A10, "")</f>
        <v/>
      </c>
      <c r="AU10" s="53" t="str">
        <f aca="false">IF(AND(AV$3&gt;=$J10, AV$3&lt;$M10), $A10, "")</f>
        <v/>
      </c>
      <c r="AV10" s="53" t="str">
        <f aca="false">IF(AND(AW$3&gt;=$J10, AW$3&lt;$M10), $A10, "")</f>
        <v/>
      </c>
      <c r="AW10" s="53" t="str">
        <f aca="false">IF(AND(AX$3&gt;=$J10, AX$3&lt;$M10), $A10, "")</f>
        <v/>
      </c>
      <c r="AX10" s="53" t="str">
        <f aca="false">IF(AND(AY$3&gt;=$J10, AY$3&lt;$M10), $A10, "")</f>
        <v/>
      </c>
      <c r="AY10" s="53" t="str">
        <f aca="false">IF(AND(AZ$3&gt;=$J10, AZ$3&lt;$M10), $A10, "")</f>
        <v/>
      </c>
      <c r="AZ10" s="53" t="str">
        <f aca="false">IF(AND(BA$3&gt;=$J10, BA$3&lt;$M10), $A10, "")</f>
        <v/>
      </c>
      <c r="BA10" s="53" t="str">
        <f aca="false">IF(AND(BB$3&gt;=$J10, BB$3&lt;$M10), $A10, "")</f>
        <v/>
      </c>
      <c r="BB10" s="53" t="str">
        <f aca="false">IF(AND(BC$3&gt;=$J10, BC$3&lt;$M10), $A10, "")</f>
        <v/>
      </c>
      <c r="BC10" s="53" t="str">
        <f aca="false">IF(AND(BD$3&gt;=$J10, BD$3&lt;$M10), $A10, "")</f>
        <v/>
      </c>
      <c r="BD10" s="53" t="str">
        <f aca="false">IF(AND(BE$3&gt;=$J10, BE$3&lt;$M10), $A10, "")</f>
        <v/>
      </c>
      <c r="BE10" s="53" t="str">
        <f aca="false">IF(AND(BF$3&gt;=$J10, BF$3&lt;$M10), $A10, "")</f>
        <v/>
      </c>
      <c r="BF10" s="53" t="str">
        <f aca="false">IF(AND(BG$3&gt;=$J10, BG$3&lt;$M10), $A10, "")</f>
        <v/>
      </c>
      <c r="BG10" s="53" t="str">
        <f aca="false">IF(AND(BH$3&gt;=$J10, BH$3&lt;$M10), $A10, "")</f>
        <v/>
      </c>
      <c r="BH10" s="53" t="str">
        <f aca="false">IF(AND(BI$3&gt;=$J10, BI$3&lt;$M10), $A10, "")</f>
        <v/>
      </c>
      <c r="BI10" s="53" t="str">
        <f aca="false">IF(AND(BJ$3&gt;=$J10, BJ$3&lt;$M10), $A10, "")</f>
        <v/>
      </c>
      <c r="BJ10" s="53" t="str">
        <f aca="false">IF(AND(BK$3&gt;=$J10, BK$3&lt;$M10), $A10, "")</f>
        <v/>
      </c>
      <c r="BK10" s="53" t="str">
        <f aca="false">IF(AND(BL$3&gt;=$J10, BL$3&lt;$M10), $A10, "")</f>
        <v/>
      </c>
      <c r="BL10" s="53" t="str">
        <f aca="false">IF(AND(BM$3&gt;=$J10, BM$3&lt;$M10), $A10, "")</f>
        <v/>
      </c>
      <c r="BM10" s="53" t="str">
        <f aca="false">IF(AND(BN$3&gt;=$J10, BN$3&lt;$M10), $A10, "")</f>
        <v/>
      </c>
      <c r="BN10" s="1" t="str">
        <f aca="false">IF(AND(BO$3&gt;=$J10, BO$3&lt;$M10), $A10, "")</f>
        <v/>
      </c>
      <c r="BO10" s="1" t="str">
        <f aca="false">IF(AND(BP$3&gt;=$J10, BP$3&lt;$M10), $A10, "")</f>
        <v/>
      </c>
      <c r="BP10" s="1" t="str">
        <f aca="false">IF(AND(BQ$3&gt;=$J10, BQ$3&lt;$M10), $A10, "")</f>
        <v/>
      </c>
    </row>
    <row r="11" customFormat="false" ht="15" hidden="false" customHeight="true" outlineLevel="0" collapsed="false">
      <c r="A11" s="46" t="str">
        <f aca="false">IF(Job_Master!A11="","",Job_Master!A11)</f>
        <v>BJ-106</v>
      </c>
      <c r="B11" s="4" t="n">
        <f aca="false">IF($A11="","",Job_Master!B11)</f>
        <v>15</v>
      </c>
      <c r="C11" s="4" t="str">
        <f aca="false">IF($A11="","",Job_Master!C11)</f>
        <v>RW</v>
      </c>
      <c r="D11" s="4" t="n">
        <f aca="false">IF($A11="","",Job_Master!D11)</f>
        <v>2</v>
      </c>
      <c r="E11" s="48" t="str">
        <f aca="false">IF($A11="","",IFERROR(INDEX(Machine_List!$B$82:$B$86,MATCH("*"&amp;$B11&amp;"*",Machine_List!$J$82:$J$86,0)),"NO COMPATIBLE MACHINE"))</f>
        <v>QC-MC-01</v>
      </c>
      <c r="F11" s="4" t="str">
        <f aca="false">IF($E11="","",IFERROR(VLOOKUP($E11,Machine_List!$B:$G,6,0),""))</f>
        <v>General Workman</v>
      </c>
      <c r="G11" s="55" t="n">
        <f aca="false">IF($E11="","",IFERROR(VLOOKUP($E11,Machine_List!$B:$C,2,0),""))</f>
        <v>46518</v>
      </c>
      <c r="H11" s="4" t="n">
        <f aca="false">IF($E11="","",IFERROR(VLOOKUP($E11,Machine_List!$B:$D,3,0),""))</f>
        <v>6</v>
      </c>
      <c r="I11" s="56"/>
      <c r="J11" s="57" t="n">
        <f aca="true">IF($A11="","",IF($I11&lt;&gt;"",$I11,MAX(FID_Plan!$M11,IFERROR(LOOKUP(2,1/($E$3:INDIRECT("E"&amp;(ROW()-1))=$E11),$M$3:INDIRECT("M"&amp;(ROW()-1))),FID_Plan!$M11))))</f>
        <v>46219.5912698413</v>
      </c>
      <c r="K11" s="4" t="n">
        <f aca="false">IF($A11="","",IFERROR(VLOOKUP(B11,CHOOSE(MATCH(C11,Settings!$L$4:$L$10,0),OPR_2P!$A$4:$I$18,SEG_6P!$A$4:$I$18,SOL_4P!$A$4:$I$18,RW_2P!$A$4:$I$18,RW2_4P!$A$4:$I$18,FLAP_4P!$A$4:$I$18,TUBE_4P!$A$4:$I$18),8,0),0))</f>
        <v>7</v>
      </c>
      <c r="L11" s="4" t="n">
        <f aca="false">IF($A11="","",K11*D11)</f>
        <v>14</v>
      </c>
      <c r="M11" s="57" t="n">
        <f aca="false">IF($A11="","",$J11+($L11/(IF(F11="Contract Workman",Settings!$K$5,Settings!$K$4))))</f>
        <v>46220.2394179894</v>
      </c>
      <c r="N11" s="4" t="str">
        <f aca="false">IF($A11="","",IF(F11="Contract Workman",IF(AND(MOD(M11,1)&gt;=8/24,MOD(M11,1)&lt;20/24),"Shift S1","Shift S2"),IF(AND(MOD(M11,1)&gt;=7/24,MOD(M11,1)&lt;15/24),"Shift A",IF(AND(MOD(M11,1)&gt;=15/24,MOD(M11,1)&lt;23/24),"Shift B","Shift C"))))</f>
        <v>Shift C</v>
      </c>
      <c r="O11" s="52" t="str">
        <f aca="false"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3" t="str">
        <f aca="false">IF(AND(Q$3&gt;=$J11, Q$3&lt;$M11), $A11, "")</f>
        <v/>
      </c>
      <c r="Q11" s="53" t="str">
        <f aca="false">IF(AND(R$3&gt;=$J11, R$3&lt;$M11), $A11, "")</f>
        <v/>
      </c>
      <c r="R11" s="53" t="str">
        <f aca="false">IF(AND(S$3&gt;=$J11, S$3&lt;$M11), $A11, "")</f>
        <v/>
      </c>
      <c r="S11" s="53" t="str">
        <f aca="false">IF(AND(T$3&gt;=$J11, T$3&lt;$M11), $A11, "")</f>
        <v/>
      </c>
      <c r="T11" s="53" t="str">
        <f aca="false">IF(AND(U$3&gt;=$J11, U$3&lt;$M11), $A11, "")</f>
        <v/>
      </c>
      <c r="U11" s="53" t="str">
        <f aca="false">IF(AND(V$3&gt;=$J11, V$3&lt;$M11), $A11, "")</f>
        <v/>
      </c>
      <c r="V11" s="53" t="str">
        <f aca="false">IF(AND(W$3&gt;=$J11, W$3&lt;$M11), $A11, "")</f>
        <v/>
      </c>
      <c r="W11" s="53" t="str">
        <f aca="false">IF(AND(X$3&gt;=$J11, X$3&lt;$M11), $A11, "")</f>
        <v/>
      </c>
      <c r="X11" s="53" t="str">
        <f aca="false">IF(AND(Y$3&gt;=$J11, Y$3&lt;$M11), $A11, "")</f>
        <v/>
      </c>
      <c r="Y11" s="53" t="str">
        <f aca="false">IF(AND(Z$3&gt;=$J11, Z$3&lt;$M11), $A11, "")</f>
        <v/>
      </c>
      <c r="Z11" s="53" t="str">
        <f aca="false">IF(AND(AA$3&gt;=$J11, AA$3&lt;$M11), $A11, "")</f>
        <v/>
      </c>
      <c r="AA11" s="53" t="str">
        <f aca="false">IF(AND(AB$3&gt;=$J11, AB$3&lt;$M11), $A11, "")</f>
        <v/>
      </c>
      <c r="AB11" s="53" t="str">
        <f aca="false">IF(AND(AC$3&gt;=$J11, AC$3&lt;$M11), $A11, "")</f>
        <v/>
      </c>
      <c r="AC11" s="53" t="str">
        <f aca="false">IF(AND(AD$3&gt;=$J11, AD$3&lt;$M11), $A11, "")</f>
        <v/>
      </c>
      <c r="AD11" s="53" t="str">
        <f aca="false">IF(AND(AE$3&gt;=$J11, AE$3&lt;$M11), $A11, "")</f>
        <v/>
      </c>
      <c r="AE11" s="53" t="str">
        <f aca="false">IF(AND(AF$3&gt;=$J11, AF$3&lt;$M11), $A11, "")</f>
        <v/>
      </c>
      <c r="AF11" s="53" t="str">
        <f aca="false">IF(AND(AG$3&gt;=$J11, AG$3&lt;$M11), $A11, "")</f>
        <v/>
      </c>
      <c r="AG11" s="53" t="str">
        <f aca="false">IF(AND(AH$3&gt;=$J11, AH$3&lt;$M11), $A11, "")</f>
        <v/>
      </c>
      <c r="AH11" s="53" t="str">
        <f aca="false">IF(AND(AI$3&gt;=$J11, AI$3&lt;$M11), $A11, "")</f>
        <v/>
      </c>
      <c r="AI11" s="53" t="str">
        <f aca="false">IF(AND(AJ$3&gt;=$J11, AJ$3&lt;$M11), $A11, "")</f>
        <v/>
      </c>
      <c r="AJ11" s="53" t="str">
        <f aca="false">IF(AND(AK$3&gt;=$J11, AK$3&lt;$M11), $A11, "")</f>
        <v/>
      </c>
      <c r="AK11" s="53" t="str">
        <f aca="false">IF(AND(AL$3&gt;=$J11, AL$3&lt;$M11), $A11, "")</f>
        <v/>
      </c>
      <c r="AL11" s="53" t="str">
        <f aca="false">IF(AND(AM$3&gt;=$J11, AM$3&lt;$M11), $A11, "")</f>
        <v/>
      </c>
      <c r="AM11" s="53" t="str">
        <f aca="false">IF(AND(AN$3&gt;=$J11, AN$3&lt;$M11), $A11, "")</f>
        <v/>
      </c>
      <c r="AN11" s="53" t="str">
        <f aca="false">IF(AND(AO$3&gt;=$J11, AO$3&lt;$M11), $A11, "")</f>
        <v/>
      </c>
      <c r="AO11" s="53" t="str">
        <f aca="false">IF(AND(AP$3&gt;=$J11, AP$3&lt;$M11), $A11, "")</f>
        <v/>
      </c>
      <c r="AP11" s="53" t="str">
        <f aca="false">IF(AND(AQ$3&gt;=$J11, AQ$3&lt;$M11), $A11, "")</f>
        <v/>
      </c>
      <c r="AQ11" s="53" t="str">
        <f aca="false">IF(AND(AR$3&gt;=$J11, AR$3&lt;$M11), $A11, "")</f>
        <v/>
      </c>
      <c r="AR11" s="53" t="str">
        <f aca="false">IF(AND(AS$3&gt;=$J11, AS$3&lt;$M11), $A11, "")</f>
        <v/>
      </c>
      <c r="AS11" s="53" t="str">
        <f aca="false">IF(AND(AT$3&gt;=$J11, AT$3&lt;$M11), $A11, "")</f>
        <v/>
      </c>
      <c r="AT11" s="53" t="str">
        <f aca="false">IF(AND(AU$3&gt;=$J11, AU$3&lt;$M11), $A11, "")</f>
        <v/>
      </c>
      <c r="AU11" s="53" t="str">
        <f aca="false">IF(AND(AV$3&gt;=$J11, AV$3&lt;$M11), $A11, "")</f>
        <v/>
      </c>
      <c r="AV11" s="53" t="str">
        <f aca="false">IF(AND(AW$3&gt;=$J11, AW$3&lt;$M11), $A11, "")</f>
        <v/>
      </c>
      <c r="AW11" s="53" t="str">
        <f aca="false">IF(AND(AX$3&gt;=$J11, AX$3&lt;$M11), $A11, "")</f>
        <v/>
      </c>
      <c r="AX11" s="53" t="str">
        <f aca="false">IF(AND(AY$3&gt;=$J11, AY$3&lt;$M11), $A11, "")</f>
        <v/>
      </c>
      <c r="AY11" s="53" t="str">
        <f aca="false">IF(AND(AZ$3&gt;=$J11, AZ$3&lt;$M11), $A11, "")</f>
        <v/>
      </c>
      <c r="AZ11" s="53" t="str">
        <f aca="false">IF(AND(BA$3&gt;=$J11, BA$3&lt;$M11), $A11, "")</f>
        <v/>
      </c>
      <c r="BA11" s="53" t="str">
        <f aca="false">IF(AND(BB$3&gt;=$J11, BB$3&lt;$M11), $A11, "")</f>
        <v/>
      </c>
      <c r="BB11" s="53" t="str">
        <f aca="false">IF(AND(BC$3&gt;=$J11, BC$3&lt;$M11), $A11, "")</f>
        <v/>
      </c>
      <c r="BC11" s="53" t="str">
        <f aca="false">IF(AND(BD$3&gt;=$J11, BD$3&lt;$M11), $A11, "")</f>
        <v/>
      </c>
      <c r="BD11" s="53" t="str">
        <f aca="false">IF(AND(BE$3&gt;=$J11, BE$3&lt;$M11), $A11, "")</f>
        <v/>
      </c>
      <c r="BE11" s="53" t="str">
        <f aca="false">IF(AND(BF$3&gt;=$J11, BF$3&lt;$M11), $A11, "")</f>
        <v/>
      </c>
      <c r="BF11" s="53" t="str">
        <f aca="false">IF(AND(BG$3&gt;=$J11, BG$3&lt;$M11), $A11, "")</f>
        <v/>
      </c>
      <c r="BG11" s="53" t="str">
        <f aca="false">IF(AND(BH$3&gt;=$J11, BH$3&lt;$M11), $A11, "")</f>
        <v/>
      </c>
      <c r="BH11" s="53" t="str">
        <f aca="false">IF(AND(BI$3&gt;=$J11, BI$3&lt;$M11), $A11, "")</f>
        <v/>
      </c>
      <c r="BI11" s="53" t="str">
        <f aca="false">IF(AND(BJ$3&gt;=$J11, BJ$3&lt;$M11), $A11, "")</f>
        <v/>
      </c>
      <c r="BJ11" s="53" t="str">
        <f aca="false">IF(AND(BK$3&gt;=$J11, BK$3&lt;$M11), $A11, "")</f>
        <v/>
      </c>
      <c r="BK11" s="53" t="str">
        <f aca="false">IF(AND(BL$3&gt;=$J11, BL$3&lt;$M11), $A11, "")</f>
        <v/>
      </c>
      <c r="BL11" s="53" t="str">
        <f aca="false">IF(AND(BM$3&gt;=$J11, BM$3&lt;$M11), $A11, "")</f>
        <v/>
      </c>
      <c r="BM11" s="53" t="str">
        <f aca="false">IF(AND(BN$3&gt;=$J11, BN$3&lt;$M11), $A11, "")</f>
        <v/>
      </c>
      <c r="BN11" s="1" t="str">
        <f aca="false">IF(AND(BO$3&gt;=$J11, BO$3&lt;$M11), $A11, "")</f>
        <v/>
      </c>
      <c r="BO11" s="1" t="str">
        <f aca="false">IF(AND(BP$3&gt;=$J11, BP$3&lt;$M11), $A11, "")</f>
        <v/>
      </c>
      <c r="BP11" s="1" t="str">
        <f aca="false">IF(AND(BQ$3&gt;=$J11, BQ$3&lt;$M11), $A11, "")</f>
        <v/>
      </c>
    </row>
    <row r="12" customFormat="false" ht="15" hidden="false" customHeight="true" outlineLevel="0" collapsed="false">
      <c r="A12" s="46" t="str">
        <f aca="false">IF(Job_Master!A12="","",Job_Master!A12)</f>
        <v>BJ-109</v>
      </c>
      <c r="B12" s="4" t="n">
        <f aca="false">IF($A12="","",Job_Master!B12)</f>
        <v>30</v>
      </c>
      <c r="C12" s="4" t="str">
        <f aca="false">IF($A12="","",Job_Master!C12)</f>
        <v>RW</v>
      </c>
      <c r="D12" s="4" t="n">
        <f aca="false">IF($A12="","",Job_Master!D12)</f>
        <v>2</v>
      </c>
      <c r="E12" s="48" t="str">
        <f aca="false">IF($A12="","",IFERROR(INDEX(Machine_List!$B$82:$B$86,MATCH("*"&amp;$B12&amp;"*",Machine_List!$J$82:$J$86,0)),"NO COMPATIBLE MACHINE"))</f>
        <v>QC-MC-01</v>
      </c>
      <c r="F12" s="4" t="str">
        <f aca="false">IF($E12="","",IFERROR(VLOOKUP($E12,Machine_List!$B:$G,6,0),""))</f>
        <v>General Workman</v>
      </c>
      <c r="G12" s="55" t="n">
        <f aca="false">IF($E12="","",IFERROR(VLOOKUP($E12,Machine_List!$B:$C,2,0),""))</f>
        <v>46518</v>
      </c>
      <c r="H12" s="4" t="n">
        <f aca="false">IF($E12="","",IFERROR(VLOOKUP($E12,Machine_List!$B:$D,3,0),""))</f>
        <v>6</v>
      </c>
      <c r="I12" s="56"/>
      <c r="J12" s="57" t="n">
        <f aca="true">IF($A12="","",IF($I12&lt;&gt;"",$I12,MAX(FID_Plan!$M12,IFERROR(LOOKUP(2,1/($E$3:INDIRECT("E"&amp;(ROW()-1))=$E12),$M$3:INDIRECT("M"&amp;(ROW()-1))),FID_Plan!$M12))))</f>
        <v>46220.2394179894</v>
      </c>
      <c r="K12" s="4" t="n">
        <f aca="false">IF($A12="","",IFERROR(VLOOKUP(B12,CHOOSE(MATCH(C12,Settings!$L$4:$L$10,0),OPR_2P!$A$4:$I$18,SEG_6P!$A$4:$I$18,SOL_4P!$A$4:$I$18,RW_2P!$A$4:$I$18,RW2_4P!$A$4:$I$18,FLAP_4P!$A$4:$I$18,TUBE_4P!$A$4:$I$18),8,0),0))</f>
        <v>35</v>
      </c>
      <c r="L12" s="4" t="n">
        <f aca="false">IF($A12="","",K12*D12)</f>
        <v>70</v>
      </c>
      <c r="M12" s="57" t="n">
        <f aca="false">IF($A12="","",$J12+($L12/(IF(F12="Contract Workman",Settings!$K$5,Settings!$K$4))))</f>
        <v>46223.4801587302</v>
      </c>
      <c r="N12" s="4" t="str">
        <f aca="false">IF($A12="","",IF(F12="Contract Workman",IF(AND(MOD(M12,1)&gt;=8/24,MOD(M12,1)&lt;20/24),"Shift S1","Shift S2"),IF(AND(MOD(M12,1)&gt;=7/24,MOD(M12,1)&lt;15/24),"Shift A",IF(AND(MOD(M12,1)&gt;=15/24,MOD(M12,1)&lt;23/24),"Shift B","Shift C"))))</f>
        <v>Shift A</v>
      </c>
      <c r="O12" s="52" t="str">
        <f aca="false"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3" t="str">
        <f aca="false">IF(AND(Q$3&gt;=$J12, Q$3&lt;$M12), $A12, "")</f>
        <v/>
      </c>
      <c r="Q12" s="53" t="str">
        <f aca="false">IF(AND(R$3&gt;=$J12, R$3&lt;$M12), $A12, "")</f>
        <v/>
      </c>
      <c r="R12" s="53" t="str">
        <f aca="false">IF(AND(S$3&gt;=$J12, S$3&lt;$M12), $A12, "")</f>
        <v/>
      </c>
      <c r="S12" s="53" t="str">
        <f aca="false">IF(AND(T$3&gt;=$J12, T$3&lt;$M12), $A12, "")</f>
        <v/>
      </c>
      <c r="T12" s="53" t="str">
        <f aca="false">IF(AND(U$3&gt;=$J12, U$3&lt;$M12), $A12, "")</f>
        <v/>
      </c>
      <c r="U12" s="53" t="str">
        <f aca="false">IF(AND(V$3&gt;=$J12, V$3&lt;$M12), $A12, "")</f>
        <v/>
      </c>
      <c r="V12" s="53" t="str">
        <f aca="false">IF(AND(W$3&gt;=$J12, W$3&lt;$M12), $A12, "")</f>
        <v/>
      </c>
      <c r="W12" s="53" t="str">
        <f aca="false">IF(AND(X$3&gt;=$J12, X$3&lt;$M12), $A12, "")</f>
        <v/>
      </c>
      <c r="X12" s="53" t="str">
        <f aca="false">IF(AND(Y$3&gt;=$J12, Y$3&lt;$M12), $A12, "")</f>
        <v/>
      </c>
      <c r="Y12" s="53" t="str">
        <f aca="false">IF(AND(Z$3&gt;=$J12, Z$3&lt;$M12), $A12, "")</f>
        <v/>
      </c>
      <c r="Z12" s="53" t="str">
        <f aca="false">IF(AND(AA$3&gt;=$J12, AA$3&lt;$M12), $A12, "")</f>
        <v/>
      </c>
      <c r="AA12" s="53" t="str">
        <f aca="false">IF(AND(AB$3&gt;=$J12, AB$3&lt;$M12), $A12, "")</f>
        <v/>
      </c>
      <c r="AB12" s="53" t="str">
        <f aca="false">IF(AND(AC$3&gt;=$J12, AC$3&lt;$M12), $A12, "")</f>
        <v/>
      </c>
      <c r="AC12" s="53" t="str">
        <f aca="false">IF(AND(AD$3&gt;=$J12, AD$3&lt;$M12), $A12, "")</f>
        <v/>
      </c>
      <c r="AD12" s="53" t="str">
        <f aca="false">IF(AND(AE$3&gt;=$J12, AE$3&lt;$M12), $A12, "")</f>
        <v/>
      </c>
      <c r="AE12" s="53" t="str">
        <f aca="false">IF(AND(AF$3&gt;=$J12, AF$3&lt;$M12), $A12, "")</f>
        <v/>
      </c>
      <c r="AF12" s="53" t="str">
        <f aca="false">IF(AND(AG$3&gt;=$J12, AG$3&lt;$M12), $A12, "")</f>
        <v/>
      </c>
      <c r="AG12" s="53" t="str">
        <f aca="false">IF(AND(AH$3&gt;=$J12, AH$3&lt;$M12), $A12, "")</f>
        <v/>
      </c>
      <c r="AH12" s="53" t="str">
        <f aca="false">IF(AND(AI$3&gt;=$J12, AI$3&lt;$M12), $A12, "")</f>
        <v/>
      </c>
      <c r="AI12" s="53" t="str">
        <f aca="false">IF(AND(AJ$3&gt;=$J12, AJ$3&lt;$M12), $A12, "")</f>
        <v/>
      </c>
      <c r="AJ12" s="53" t="str">
        <f aca="false">IF(AND(AK$3&gt;=$J12, AK$3&lt;$M12), $A12, "")</f>
        <v/>
      </c>
      <c r="AK12" s="53" t="str">
        <f aca="false">IF(AND(AL$3&gt;=$J12, AL$3&lt;$M12), $A12, "")</f>
        <v/>
      </c>
      <c r="AL12" s="53" t="str">
        <f aca="false">IF(AND(AM$3&gt;=$J12, AM$3&lt;$M12), $A12, "")</f>
        <v/>
      </c>
      <c r="AM12" s="53" t="str">
        <f aca="false">IF(AND(AN$3&gt;=$J12, AN$3&lt;$M12), $A12, "")</f>
        <v/>
      </c>
      <c r="AN12" s="53" t="str">
        <f aca="false">IF(AND(AO$3&gt;=$J12, AO$3&lt;$M12), $A12, "")</f>
        <v/>
      </c>
      <c r="AO12" s="53" t="str">
        <f aca="false">IF(AND(AP$3&gt;=$J12, AP$3&lt;$M12), $A12, "")</f>
        <v/>
      </c>
      <c r="AP12" s="53" t="str">
        <f aca="false">IF(AND(AQ$3&gt;=$J12, AQ$3&lt;$M12), $A12, "")</f>
        <v/>
      </c>
      <c r="AQ12" s="53" t="str">
        <f aca="false">IF(AND(AR$3&gt;=$J12, AR$3&lt;$M12), $A12, "")</f>
        <v/>
      </c>
      <c r="AR12" s="53" t="str">
        <f aca="false">IF(AND(AS$3&gt;=$J12, AS$3&lt;$M12), $A12, "")</f>
        <v/>
      </c>
      <c r="AS12" s="53" t="str">
        <f aca="false">IF(AND(AT$3&gt;=$J12, AT$3&lt;$M12), $A12, "")</f>
        <v/>
      </c>
      <c r="AT12" s="53" t="str">
        <f aca="false">IF(AND(AU$3&gt;=$J12, AU$3&lt;$M12), $A12, "")</f>
        <v/>
      </c>
      <c r="AU12" s="53" t="str">
        <f aca="false">IF(AND(AV$3&gt;=$J12, AV$3&lt;$M12), $A12, "")</f>
        <v/>
      </c>
      <c r="AV12" s="53" t="str">
        <f aca="false">IF(AND(AW$3&gt;=$J12, AW$3&lt;$M12), $A12, "")</f>
        <v/>
      </c>
      <c r="AW12" s="53" t="str">
        <f aca="false">IF(AND(AX$3&gt;=$J12, AX$3&lt;$M12), $A12, "")</f>
        <v/>
      </c>
      <c r="AX12" s="53" t="str">
        <f aca="false">IF(AND(AY$3&gt;=$J12, AY$3&lt;$M12), $A12, "")</f>
        <v/>
      </c>
      <c r="AY12" s="53" t="str">
        <f aca="false">IF(AND(AZ$3&gt;=$J12, AZ$3&lt;$M12), $A12, "")</f>
        <v/>
      </c>
      <c r="AZ12" s="53" t="str">
        <f aca="false">IF(AND(BA$3&gt;=$J12, BA$3&lt;$M12), $A12, "")</f>
        <v/>
      </c>
      <c r="BA12" s="53" t="str">
        <f aca="false">IF(AND(BB$3&gt;=$J12, BB$3&lt;$M12), $A12, "")</f>
        <v/>
      </c>
      <c r="BB12" s="53" t="str">
        <f aca="false">IF(AND(BC$3&gt;=$J12, BC$3&lt;$M12), $A12, "")</f>
        <v/>
      </c>
      <c r="BC12" s="53" t="str">
        <f aca="false">IF(AND(BD$3&gt;=$J12, BD$3&lt;$M12), $A12, "")</f>
        <v/>
      </c>
      <c r="BD12" s="53" t="str">
        <f aca="false">IF(AND(BE$3&gt;=$J12, BE$3&lt;$M12), $A12, "")</f>
        <v/>
      </c>
      <c r="BE12" s="53" t="str">
        <f aca="false">IF(AND(BF$3&gt;=$J12, BF$3&lt;$M12), $A12, "")</f>
        <v/>
      </c>
      <c r="BF12" s="53" t="str">
        <f aca="false">IF(AND(BG$3&gt;=$J12, BG$3&lt;$M12), $A12, "")</f>
        <v/>
      </c>
      <c r="BG12" s="53" t="str">
        <f aca="false">IF(AND(BH$3&gt;=$J12, BH$3&lt;$M12), $A12, "")</f>
        <v/>
      </c>
      <c r="BH12" s="53" t="str">
        <f aca="false">IF(AND(BI$3&gt;=$J12, BI$3&lt;$M12), $A12, "")</f>
        <v/>
      </c>
      <c r="BI12" s="53" t="str">
        <f aca="false">IF(AND(BJ$3&gt;=$J12, BJ$3&lt;$M12), $A12, "")</f>
        <v/>
      </c>
      <c r="BJ12" s="53" t="str">
        <f aca="false">IF(AND(BK$3&gt;=$J12, BK$3&lt;$M12), $A12, "")</f>
        <v/>
      </c>
      <c r="BK12" s="53" t="str">
        <f aca="false">IF(AND(BL$3&gt;=$J12, BL$3&lt;$M12), $A12, "")</f>
        <v/>
      </c>
      <c r="BL12" s="53" t="str">
        <f aca="false">IF(AND(BM$3&gt;=$J12, BM$3&lt;$M12), $A12, "")</f>
        <v/>
      </c>
      <c r="BM12" s="53" t="str">
        <f aca="false">IF(AND(BN$3&gt;=$J12, BN$3&lt;$M12), $A12, "")</f>
        <v/>
      </c>
      <c r="BN12" s="1" t="str">
        <f aca="false">IF(AND(BO$3&gt;=$J12, BO$3&lt;$M12), $A12, "")</f>
        <v/>
      </c>
      <c r="BO12" s="1" t="str">
        <f aca="false">IF(AND(BP$3&gt;=$J12, BP$3&lt;$M12), $A12, "")</f>
        <v/>
      </c>
      <c r="BP12" s="1" t="str">
        <f aca="false">IF(AND(BQ$3&gt;=$J12, BQ$3&lt;$M12), $A12, "")</f>
        <v/>
      </c>
    </row>
    <row r="13" customFormat="false" ht="15" hidden="false" customHeight="true" outlineLevel="0" collapsed="false">
      <c r="A13" s="46" t="str">
        <f aca="false">IF(Job_Master!A13="","",Job_Master!A13)</f>
        <v>BJ-110</v>
      </c>
      <c r="B13" s="4" t="n">
        <f aca="false">IF($A13="","",Job_Master!B13)</f>
        <v>17</v>
      </c>
      <c r="C13" s="4" t="str">
        <f aca="false">IF($A13="","",Job_Master!C13)</f>
        <v>2P</v>
      </c>
      <c r="D13" s="4" t="n">
        <f aca="false">IF($A13="","",Job_Master!D13)</f>
        <v>2</v>
      </c>
      <c r="E13" s="48" t="str">
        <f aca="false">IF($A13="","",IFERROR(INDEX(Machine_List!$B$82:$B$86,MATCH("*"&amp;$B13&amp;"*",Machine_List!$J$82:$J$86,0)),"NO COMPATIBLE MACHINE"))</f>
        <v>QC-MC-01</v>
      </c>
      <c r="F13" s="4" t="str">
        <f aca="false">IF($E13="","",IFERROR(VLOOKUP($E13,Machine_List!$B:$G,6,0),""))</f>
        <v>General Workman</v>
      </c>
      <c r="G13" s="55" t="n">
        <f aca="false">IF($E13="","",IFERROR(VLOOKUP($E13,Machine_List!$B:$C,2,0),""))</f>
        <v>46518</v>
      </c>
      <c r="H13" s="4" t="n">
        <f aca="false">IF($E13="","",IFERROR(VLOOKUP($E13,Machine_List!$B:$D,3,0),""))</f>
        <v>6</v>
      </c>
      <c r="I13" s="56"/>
      <c r="J13" s="57" t="n">
        <f aca="true">IF($A13="","",IF($I13&lt;&gt;"",$I13,MAX(FID_Plan!$M13,IFERROR(LOOKUP(2,1/($E$3:INDIRECT("E"&amp;(ROW()-1))=$E13),$M$3:INDIRECT("M"&amp;(ROW()-1))),FID_Plan!$M13))))</f>
        <v>46223.4801587302</v>
      </c>
      <c r="K13" s="4" t="n">
        <f aca="false">IF($A13="","",IFERROR(VLOOKUP(B13,CHOOSE(MATCH(C13,Settings!$L$4:$L$10,0),OPR_2P!$A$4:$I$18,SEG_6P!$A$4:$I$18,SOL_4P!$A$4:$I$18,RW_2P!$A$4:$I$18,RW2_4P!$A$4:$I$18,FLAP_4P!$A$4:$I$18,TUBE_4P!$A$4:$I$18),8,0),0))</f>
        <v>13</v>
      </c>
      <c r="L13" s="4" t="n">
        <f aca="false">IF($A13="","",K13*D13)</f>
        <v>26</v>
      </c>
      <c r="M13" s="57" t="n">
        <f aca="false">IF($A13="","",$J13+($L13/(IF(F13="Contract Workman",Settings!$K$5,Settings!$K$4))))</f>
        <v>46224.6838624339</v>
      </c>
      <c r="N13" s="4" t="str">
        <f aca="false">IF($A13="","",IF(F13="Contract Workman",IF(AND(MOD(M13,1)&gt;=8/24,MOD(M13,1)&lt;20/24),"Shift S1","Shift S2"),IF(AND(MOD(M13,1)&gt;=7/24,MOD(M13,1)&lt;15/24),"Shift A",IF(AND(MOD(M13,1)&gt;=15/24,MOD(M13,1)&lt;23/24),"Shift B","Shift C"))))</f>
        <v>Shift B</v>
      </c>
      <c r="O13" s="52" t="str">
        <f aca="false"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3" t="str">
        <f aca="false">IF(AND(Q$3&gt;=$J13, Q$3&lt;$M13), $A13, "")</f>
        <v/>
      </c>
      <c r="Q13" s="53" t="str">
        <f aca="false">IF(AND(R$3&gt;=$J13, R$3&lt;$M13), $A13, "")</f>
        <v/>
      </c>
      <c r="R13" s="53" t="str">
        <f aca="false">IF(AND(S$3&gt;=$J13, S$3&lt;$M13), $A13, "")</f>
        <v/>
      </c>
      <c r="S13" s="53" t="str">
        <f aca="false">IF(AND(T$3&gt;=$J13, T$3&lt;$M13), $A13, "")</f>
        <v/>
      </c>
      <c r="T13" s="53" t="str">
        <f aca="false">IF(AND(U$3&gt;=$J13, U$3&lt;$M13), $A13, "")</f>
        <v/>
      </c>
      <c r="U13" s="53" t="str">
        <f aca="false">IF(AND(V$3&gt;=$J13, V$3&lt;$M13), $A13, "")</f>
        <v/>
      </c>
      <c r="V13" s="53" t="str">
        <f aca="false">IF(AND(W$3&gt;=$J13, W$3&lt;$M13), $A13, "")</f>
        <v/>
      </c>
      <c r="W13" s="53" t="str">
        <f aca="false">IF(AND(X$3&gt;=$J13, X$3&lt;$M13), $A13, "")</f>
        <v/>
      </c>
      <c r="X13" s="53" t="str">
        <f aca="false">IF(AND(Y$3&gt;=$J13, Y$3&lt;$M13), $A13, "")</f>
        <v/>
      </c>
      <c r="Y13" s="53" t="str">
        <f aca="false">IF(AND(Z$3&gt;=$J13, Z$3&lt;$M13), $A13, "")</f>
        <v/>
      </c>
      <c r="Z13" s="53" t="str">
        <f aca="false">IF(AND(AA$3&gt;=$J13, AA$3&lt;$M13), $A13, "")</f>
        <v/>
      </c>
      <c r="AA13" s="53" t="str">
        <f aca="false">IF(AND(AB$3&gt;=$J13, AB$3&lt;$M13), $A13, "")</f>
        <v/>
      </c>
      <c r="AB13" s="53" t="str">
        <f aca="false">IF(AND(AC$3&gt;=$J13, AC$3&lt;$M13), $A13, "")</f>
        <v/>
      </c>
      <c r="AC13" s="53" t="str">
        <f aca="false">IF(AND(AD$3&gt;=$J13, AD$3&lt;$M13), $A13, "")</f>
        <v/>
      </c>
      <c r="AD13" s="53" t="str">
        <f aca="false">IF(AND(AE$3&gt;=$J13, AE$3&lt;$M13), $A13, "")</f>
        <v/>
      </c>
      <c r="AE13" s="53" t="str">
        <f aca="false">IF(AND(AF$3&gt;=$J13, AF$3&lt;$M13), $A13, "")</f>
        <v/>
      </c>
      <c r="AF13" s="53" t="str">
        <f aca="false">IF(AND(AG$3&gt;=$J13, AG$3&lt;$M13), $A13, "")</f>
        <v/>
      </c>
      <c r="AG13" s="53" t="str">
        <f aca="false">IF(AND(AH$3&gt;=$J13, AH$3&lt;$M13), $A13, "")</f>
        <v/>
      </c>
      <c r="AH13" s="53" t="str">
        <f aca="false">IF(AND(AI$3&gt;=$J13, AI$3&lt;$M13), $A13, "")</f>
        <v/>
      </c>
      <c r="AI13" s="53" t="str">
        <f aca="false">IF(AND(AJ$3&gt;=$J13, AJ$3&lt;$M13), $A13, "")</f>
        <v/>
      </c>
      <c r="AJ13" s="53" t="str">
        <f aca="false">IF(AND(AK$3&gt;=$J13, AK$3&lt;$M13), $A13, "")</f>
        <v/>
      </c>
      <c r="AK13" s="53" t="str">
        <f aca="false">IF(AND(AL$3&gt;=$J13, AL$3&lt;$M13), $A13, "")</f>
        <v/>
      </c>
      <c r="AL13" s="53" t="str">
        <f aca="false">IF(AND(AM$3&gt;=$J13, AM$3&lt;$M13), $A13, "")</f>
        <v/>
      </c>
      <c r="AM13" s="53" t="str">
        <f aca="false">IF(AND(AN$3&gt;=$J13, AN$3&lt;$M13), $A13, "")</f>
        <v/>
      </c>
      <c r="AN13" s="53" t="str">
        <f aca="false">IF(AND(AO$3&gt;=$J13, AO$3&lt;$M13), $A13, "")</f>
        <v/>
      </c>
      <c r="AO13" s="53" t="str">
        <f aca="false">IF(AND(AP$3&gt;=$J13, AP$3&lt;$M13), $A13, "")</f>
        <v/>
      </c>
      <c r="AP13" s="53" t="str">
        <f aca="false">IF(AND(AQ$3&gt;=$J13, AQ$3&lt;$M13), $A13, "")</f>
        <v/>
      </c>
      <c r="AQ13" s="53" t="str">
        <f aca="false">IF(AND(AR$3&gt;=$J13, AR$3&lt;$M13), $A13, "")</f>
        <v/>
      </c>
      <c r="AR13" s="53" t="str">
        <f aca="false">IF(AND(AS$3&gt;=$J13, AS$3&lt;$M13), $A13, "")</f>
        <v/>
      </c>
      <c r="AS13" s="53" t="str">
        <f aca="false">IF(AND(AT$3&gt;=$J13, AT$3&lt;$M13), $A13, "")</f>
        <v/>
      </c>
      <c r="AT13" s="53" t="str">
        <f aca="false">IF(AND(AU$3&gt;=$J13, AU$3&lt;$M13), $A13, "")</f>
        <v/>
      </c>
      <c r="AU13" s="53" t="str">
        <f aca="false">IF(AND(AV$3&gt;=$J13, AV$3&lt;$M13), $A13, "")</f>
        <v/>
      </c>
      <c r="AV13" s="53" t="str">
        <f aca="false">IF(AND(AW$3&gt;=$J13, AW$3&lt;$M13), $A13, "")</f>
        <v/>
      </c>
      <c r="AW13" s="53" t="str">
        <f aca="false">IF(AND(AX$3&gt;=$J13, AX$3&lt;$M13), $A13, "")</f>
        <v/>
      </c>
      <c r="AX13" s="53" t="str">
        <f aca="false">IF(AND(AY$3&gt;=$J13, AY$3&lt;$M13), $A13, "")</f>
        <v/>
      </c>
      <c r="AY13" s="53" t="str">
        <f aca="false">IF(AND(AZ$3&gt;=$J13, AZ$3&lt;$M13), $A13, "")</f>
        <v/>
      </c>
      <c r="AZ13" s="53" t="str">
        <f aca="false">IF(AND(BA$3&gt;=$J13, BA$3&lt;$M13), $A13, "")</f>
        <v/>
      </c>
      <c r="BA13" s="53" t="str">
        <f aca="false">IF(AND(BB$3&gt;=$J13, BB$3&lt;$M13), $A13, "")</f>
        <v/>
      </c>
      <c r="BB13" s="53" t="str">
        <f aca="false">IF(AND(BC$3&gt;=$J13, BC$3&lt;$M13), $A13, "")</f>
        <v/>
      </c>
      <c r="BC13" s="53" t="str">
        <f aca="false">IF(AND(BD$3&gt;=$J13, BD$3&lt;$M13), $A13, "")</f>
        <v/>
      </c>
      <c r="BD13" s="53" t="str">
        <f aca="false">IF(AND(BE$3&gt;=$J13, BE$3&lt;$M13), $A13, "")</f>
        <v/>
      </c>
      <c r="BE13" s="53" t="str">
        <f aca="false">IF(AND(BF$3&gt;=$J13, BF$3&lt;$M13), $A13, "")</f>
        <v/>
      </c>
      <c r="BF13" s="53" t="str">
        <f aca="false">IF(AND(BG$3&gt;=$J13, BG$3&lt;$M13), $A13, "")</f>
        <v/>
      </c>
      <c r="BG13" s="53" t="str">
        <f aca="false">IF(AND(BH$3&gt;=$J13, BH$3&lt;$M13), $A13, "")</f>
        <v/>
      </c>
      <c r="BH13" s="53" t="str">
        <f aca="false">IF(AND(BI$3&gt;=$J13, BI$3&lt;$M13), $A13, "")</f>
        <v/>
      </c>
      <c r="BI13" s="53" t="str">
        <f aca="false">IF(AND(BJ$3&gt;=$J13, BJ$3&lt;$M13), $A13, "")</f>
        <v/>
      </c>
      <c r="BJ13" s="53" t="str">
        <f aca="false">IF(AND(BK$3&gt;=$J13, BK$3&lt;$M13), $A13, "")</f>
        <v/>
      </c>
      <c r="BK13" s="53" t="str">
        <f aca="false">IF(AND(BL$3&gt;=$J13, BL$3&lt;$M13), $A13, "")</f>
        <v/>
      </c>
      <c r="BL13" s="53" t="str">
        <f aca="false">IF(AND(BM$3&gt;=$J13, BM$3&lt;$M13), $A13, "")</f>
        <v/>
      </c>
      <c r="BM13" s="53" t="str">
        <f aca="false">IF(AND(BN$3&gt;=$J13, BN$3&lt;$M13), $A13, "")</f>
        <v/>
      </c>
      <c r="BN13" s="1" t="str">
        <f aca="false">IF(AND(BO$3&gt;=$J13, BO$3&lt;$M13), $A13, "")</f>
        <v/>
      </c>
      <c r="BO13" s="1" t="str">
        <f aca="false">IF(AND(BP$3&gt;=$J13, BP$3&lt;$M13), $A13, "")</f>
        <v/>
      </c>
      <c r="BP13" s="1" t="str">
        <f aca="false">IF(AND(BQ$3&gt;=$J13, BQ$3&lt;$M13), $A13, "")</f>
        <v/>
      </c>
    </row>
    <row r="14" customFormat="false" ht="15" hidden="false" customHeight="true" outlineLevel="0" collapsed="false">
      <c r="A14" s="46" t="str">
        <f aca="false">IF(Job_Master!A14="","",Job_Master!A14)</f>
        <v>BJ-111</v>
      </c>
      <c r="B14" s="4" t="n">
        <f aca="false">IF($A14="","",Job_Master!B14)</f>
        <v>25</v>
      </c>
      <c r="C14" s="4" t="str">
        <f aca="false">IF($A14="","",Job_Master!C14)</f>
        <v>RW</v>
      </c>
      <c r="D14" s="4" t="n">
        <f aca="false">IF($A14="","",Job_Master!D14)</f>
        <v>2</v>
      </c>
      <c r="E14" s="48" t="str">
        <f aca="false">IF($A14="","",IFERROR(INDEX(Machine_List!$B$82:$B$86,MATCH("*"&amp;$B14&amp;"*",Machine_List!$J$82:$J$86,0)),"NO COMPATIBLE MACHINE"))</f>
        <v>QC-MC-01</v>
      </c>
      <c r="F14" s="4" t="str">
        <f aca="false">IF($E14="","",IFERROR(VLOOKUP($E14,Machine_List!$B:$G,6,0),""))</f>
        <v>General Workman</v>
      </c>
      <c r="G14" s="55" t="n">
        <f aca="false">IF($E14="","",IFERROR(VLOOKUP($E14,Machine_List!$B:$C,2,0),""))</f>
        <v>46518</v>
      </c>
      <c r="H14" s="4" t="n">
        <f aca="false">IF($E14="","",IFERROR(VLOOKUP($E14,Machine_List!$B:$D,3,0),""))</f>
        <v>6</v>
      </c>
      <c r="I14" s="56"/>
      <c r="J14" s="57" t="n">
        <f aca="true">IF($A14="","",IF($I14&lt;&gt;"",$I14,MAX(FID_Plan!$M14,IFERROR(LOOKUP(2,1/($E$3:INDIRECT("E"&amp;(ROW()-1))=$E14),$M$3:INDIRECT("M"&amp;(ROW()-1))),FID_Plan!$M14))))</f>
        <v>46224.6838624339</v>
      </c>
      <c r="K14" s="4" t="n">
        <f aca="false">IF($A14="","",IFERROR(VLOOKUP(B14,CHOOSE(MATCH(C14,Settings!$L$4:$L$10,0),OPR_2P!$A$4:$I$18,SEG_6P!$A$4:$I$18,SOL_4P!$A$4:$I$18,RW_2P!$A$4:$I$18,RW2_4P!$A$4:$I$18,FLAP_4P!$A$4:$I$18,TUBE_4P!$A$4:$I$18),8,0),0))</f>
        <v>16</v>
      </c>
      <c r="L14" s="4" t="n">
        <f aca="false">IF($A14="","",K14*D14)</f>
        <v>32</v>
      </c>
      <c r="M14" s="57" t="n">
        <f aca="false">IF($A14="","",$J14+($L14/(IF(F14="Contract Workman",Settings!$K$5,Settings!$K$4))))</f>
        <v>46226.1653439153</v>
      </c>
      <c r="N14" s="4" t="str">
        <f aca="false">IF($A14="","",IF(F14="Contract Workman",IF(AND(MOD(M14,1)&gt;=8/24,MOD(M14,1)&lt;20/24),"Shift S1","Shift S2"),IF(AND(MOD(M14,1)&gt;=7/24,MOD(M14,1)&lt;15/24),"Shift A",IF(AND(MOD(M14,1)&gt;=15/24,MOD(M14,1)&lt;23/24),"Shift B","Shift C"))))</f>
        <v>Shift C</v>
      </c>
      <c r="O14" s="52" t="str">
        <f aca="false"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3" t="str">
        <f aca="false">IF(AND(Q$3&gt;=$J14, Q$3&lt;$M14), $A14, "")</f>
        <v/>
      </c>
      <c r="Q14" s="53" t="str">
        <f aca="false">IF(AND(R$3&gt;=$J14, R$3&lt;$M14), $A14, "")</f>
        <v/>
      </c>
      <c r="R14" s="53" t="str">
        <f aca="false">IF(AND(S$3&gt;=$J14, S$3&lt;$M14), $A14, "")</f>
        <v/>
      </c>
      <c r="S14" s="53" t="str">
        <f aca="false">IF(AND(T$3&gt;=$J14, T$3&lt;$M14), $A14, "")</f>
        <v/>
      </c>
      <c r="T14" s="53" t="str">
        <f aca="false">IF(AND(U$3&gt;=$J14, U$3&lt;$M14), $A14, "")</f>
        <v/>
      </c>
      <c r="U14" s="53" t="str">
        <f aca="false">IF(AND(V$3&gt;=$J14, V$3&lt;$M14), $A14, "")</f>
        <v/>
      </c>
      <c r="V14" s="53" t="str">
        <f aca="false">IF(AND(W$3&gt;=$J14, W$3&lt;$M14), $A14, "")</f>
        <v/>
      </c>
      <c r="W14" s="53" t="str">
        <f aca="false">IF(AND(X$3&gt;=$J14, X$3&lt;$M14), $A14, "")</f>
        <v/>
      </c>
      <c r="X14" s="53" t="str">
        <f aca="false">IF(AND(Y$3&gt;=$J14, Y$3&lt;$M14), $A14, "")</f>
        <v/>
      </c>
      <c r="Y14" s="53" t="str">
        <f aca="false">IF(AND(Z$3&gt;=$J14, Z$3&lt;$M14), $A14, "")</f>
        <v/>
      </c>
      <c r="Z14" s="53" t="str">
        <f aca="false">IF(AND(AA$3&gt;=$J14, AA$3&lt;$M14), $A14, "")</f>
        <v/>
      </c>
      <c r="AA14" s="53" t="str">
        <f aca="false">IF(AND(AB$3&gt;=$J14, AB$3&lt;$M14), $A14, "")</f>
        <v/>
      </c>
      <c r="AB14" s="53" t="str">
        <f aca="false">IF(AND(AC$3&gt;=$J14, AC$3&lt;$M14), $A14, "")</f>
        <v/>
      </c>
      <c r="AC14" s="53" t="str">
        <f aca="false">IF(AND(AD$3&gt;=$J14, AD$3&lt;$M14), $A14, "")</f>
        <v/>
      </c>
      <c r="AD14" s="53" t="str">
        <f aca="false">IF(AND(AE$3&gt;=$J14, AE$3&lt;$M14), $A14, "")</f>
        <v/>
      </c>
      <c r="AE14" s="53" t="str">
        <f aca="false">IF(AND(AF$3&gt;=$J14, AF$3&lt;$M14), $A14, "")</f>
        <v/>
      </c>
      <c r="AF14" s="53" t="str">
        <f aca="false">IF(AND(AG$3&gt;=$J14, AG$3&lt;$M14), $A14, "")</f>
        <v/>
      </c>
      <c r="AG14" s="53" t="str">
        <f aca="false">IF(AND(AH$3&gt;=$J14, AH$3&lt;$M14), $A14, "")</f>
        <v/>
      </c>
      <c r="AH14" s="53" t="str">
        <f aca="false">IF(AND(AI$3&gt;=$J14, AI$3&lt;$M14), $A14, "")</f>
        <v/>
      </c>
      <c r="AI14" s="53" t="str">
        <f aca="false">IF(AND(AJ$3&gt;=$J14, AJ$3&lt;$M14), $A14, "")</f>
        <v/>
      </c>
      <c r="AJ14" s="53" t="str">
        <f aca="false">IF(AND(AK$3&gt;=$J14, AK$3&lt;$M14), $A14, "")</f>
        <v/>
      </c>
      <c r="AK14" s="53" t="str">
        <f aca="false">IF(AND(AL$3&gt;=$J14, AL$3&lt;$M14), $A14, "")</f>
        <v/>
      </c>
      <c r="AL14" s="53" t="str">
        <f aca="false">IF(AND(AM$3&gt;=$J14, AM$3&lt;$M14), $A14, "")</f>
        <v/>
      </c>
      <c r="AM14" s="53" t="str">
        <f aca="false">IF(AND(AN$3&gt;=$J14, AN$3&lt;$M14), $A14, "")</f>
        <v/>
      </c>
      <c r="AN14" s="53" t="str">
        <f aca="false">IF(AND(AO$3&gt;=$J14, AO$3&lt;$M14), $A14, "")</f>
        <v/>
      </c>
      <c r="AO14" s="53" t="str">
        <f aca="false">IF(AND(AP$3&gt;=$J14, AP$3&lt;$M14), $A14, "")</f>
        <v/>
      </c>
      <c r="AP14" s="53" t="str">
        <f aca="false">IF(AND(AQ$3&gt;=$J14, AQ$3&lt;$M14), $A14, "")</f>
        <v/>
      </c>
      <c r="AQ14" s="53" t="str">
        <f aca="false">IF(AND(AR$3&gt;=$J14, AR$3&lt;$M14), $A14, "")</f>
        <v/>
      </c>
      <c r="AR14" s="53" t="str">
        <f aca="false">IF(AND(AS$3&gt;=$J14, AS$3&lt;$M14), $A14, "")</f>
        <v/>
      </c>
      <c r="AS14" s="53" t="str">
        <f aca="false">IF(AND(AT$3&gt;=$J14, AT$3&lt;$M14), $A14, "")</f>
        <v/>
      </c>
      <c r="AT14" s="53" t="str">
        <f aca="false">IF(AND(AU$3&gt;=$J14, AU$3&lt;$M14), $A14, "")</f>
        <v/>
      </c>
      <c r="AU14" s="53" t="str">
        <f aca="false">IF(AND(AV$3&gt;=$J14, AV$3&lt;$M14), $A14, "")</f>
        <v/>
      </c>
      <c r="AV14" s="53" t="str">
        <f aca="false">IF(AND(AW$3&gt;=$J14, AW$3&lt;$M14), $A14, "")</f>
        <v/>
      </c>
      <c r="AW14" s="53" t="str">
        <f aca="false">IF(AND(AX$3&gt;=$J14, AX$3&lt;$M14), $A14, "")</f>
        <v/>
      </c>
      <c r="AX14" s="53" t="str">
        <f aca="false">IF(AND(AY$3&gt;=$J14, AY$3&lt;$M14), $A14, "")</f>
        <v/>
      </c>
      <c r="AY14" s="53" t="str">
        <f aca="false">IF(AND(AZ$3&gt;=$J14, AZ$3&lt;$M14), $A14, "")</f>
        <v/>
      </c>
      <c r="AZ14" s="53" t="str">
        <f aca="false">IF(AND(BA$3&gt;=$J14, BA$3&lt;$M14), $A14, "")</f>
        <v/>
      </c>
      <c r="BA14" s="53" t="str">
        <f aca="false">IF(AND(BB$3&gt;=$J14, BB$3&lt;$M14), $A14, "")</f>
        <v/>
      </c>
      <c r="BB14" s="53" t="str">
        <f aca="false">IF(AND(BC$3&gt;=$J14, BC$3&lt;$M14), $A14, "")</f>
        <v/>
      </c>
      <c r="BC14" s="53" t="str">
        <f aca="false">IF(AND(BD$3&gt;=$J14, BD$3&lt;$M14), $A14, "")</f>
        <v/>
      </c>
      <c r="BD14" s="53" t="str">
        <f aca="false">IF(AND(BE$3&gt;=$J14, BE$3&lt;$M14), $A14, "")</f>
        <v/>
      </c>
      <c r="BE14" s="53" t="str">
        <f aca="false">IF(AND(BF$3&gt;=$J14, BF$3&lt;$M14), $A14, "")</f>
        <v/>
      </c>
      <c r="BF14" s="53" t="str">
        <f aca="false">IF(AND(BG$3&gt;=$J14, BG$3&lt;$M14), $A14, "")</f>
        <v/>
      </c>
      <c r="BG14" s="53" t="str">
        <f aca="false">IF(AND(BH$3&gt;=$J14, BH$3&lt;$M14), $A14, "")</f>
        <v/>
      </c>
      <c r="BH14" s="53" t="str">
        <f aca="false">IF(AND(BI$3&gt;=$J14, BI$3&lt;$M14), $A14, "")</f>
        <v/>
      </c>
      <c r="BI14" s="53" t="str">
        <f aca="false">IF(AND(BJ$3&gt;=$J14, BJ$3&lt;$M14), $A14, "")</f>
        <v/>
      </c>
      <c r="BJ14" s="53" t="str">
        <f aca="false">IF(AND(BK$3&gt;=$J14, BK$3&lt;$M14), $A14, "")</f>
        <v/>
      </c>
      <c r="BK14" s="53" t="str">
        <f aca="false">IF(AND(BL$3&gt;=$J14, BL$3&lt;$M14), $A14, "")</f>
        <v/>
      </c>
      <c r="BL14" s="53" t="str">
        <f aca="false">IF(AND(BM$3&gt;=$J14, BM$3&lt;$M14), $A14, "")</f>
        <v/>
      </c>
      <c r="BM14" s="53" t="str">
        <f aca="false">IF(AND(BN$3&gt;=$J14, BN$3&lt;$M14), $A14, "")</f>
        <v/>
      </c>
      <c r="BN14" s="1" t="str">
        <f aca="false">IF(AND(BO$3&gt;=$J14, BO$3&lt;$M14), $A14, "")</f>
        <v/>
      </c>
      <c r="BO14" s="1" t="str">
        <f aca="false">IF(AND(BP$3&gt;=$J14, BP$3&lt;$M14), $A14, "")</f>
        <v/>
      </c>
      <c r="BP14" s="1" t="str">
        <f aca="false">IF(AND(BQ$3&gt;=$J14, BQ$3&lt;$M14), $A14, "")</f>
        <v/>
      </c>
    </row>
    <row r="15" customFormat="false" ht="15" hidden="false" customHeight="true" outlineLevel="0" collapsed="false">
      <c r="A15" s="46" t="str">
        <f aca="false">IF(Job_Master!A15="","",Job_Master!A15)</f>
        <v>BJ-107</v>
      </c>
      <c r="B15" s="4" t="n">
        <f aca="false">IF($A15="","",Job_Master!B15)</f>
        <v>20</v>
      </c>
      <c r="C15" s="4" t="str">
        <f aca="false">IF($A15="","",Job_Master!C15)</f>
        <v>SEG</v>
      </c>
      <c r="D15" s="4" t="n">
        <f aca="false">IF($A15="","",Job_Master!D15)</f>
        <v>6</v>
      </c>
      <c r="E15" s="48" t="str">
        <f aca="false">IF($A15="","",IFERROR(INDEX(Machine_List!$B$82:$B$86,MATCH("*"&amp;$B15&amp;"*",Machine_List!$J$82:$J$86,0)),"NO COMPATIBLE MACHINE"))</f>
        <v>QC-MC-01</v>
      </c>
      <c r="F15" s="4" t="str">
        <f aca="false">IF($E15="","",IFERROR(VLOOKUP($E15,Machine_List!$B:$G,6,0),""))</f>
        <v>General Workman</v>
      </c>
      <c r="G15" s="55" t="n">
        <f aca="false">IF($E15="","",IFERROR(VLOOKUP($E15,Machine_List!$B:$C,2,0),""))</f>
        <v>46518</v>
      </c>
      <c r="H15" s="4" t="n">
        <f aca="false">IF($E15="","",IFERROR(VLOOKUP($E15,Machine_List!$B:$D,3,0),""))</f>
        <v>6</v>
      </c>
      <c r="I15" s="56"/>
      <c r="J15" s="57" t="n">
        <f aca="true">IF($A15="","",IF($I15&lt;&gt;"",$I15,MAX(FID_Plan!$M15,IFERROR(LOOKUP(2,1/($E$3:INDIRECT("E"&amp;(ROW()-1))=$E15),$M$3:INDIRECT("M"&amp;(ROW()-1))),FID_Plan!$M15))))</f>
        <v>46226.1653439153</v>
      </c>
      <c r="K15" s="4" t="n">
        <f aca="false">IF($A15="","",IFERROR(VLOOKUP(B15,CHOOSE(MATCH(C15,Settings!$L$4:$L$10,0),OPR_2P!$A$4:$I$18,SEG_6P!$A$4:$I$18,SOL_4P!$A$4:$I$18,RW_2P!$A$4:$I$18,RW2_4P!$A$4:$I$18,FLAP_4P!$A$4:$I$18,TUBE_4P!$A$4:$I$18),8,0),0))</f>
        <v>22</v>
      </c>
      <c r="L15" s="4" t="n">
        <f aca="false">IF($A15="","",K15*D15)</f>
        <v>132</v>
      </c>
      <c r="M15" s="57" t="n">
        <f aca="false">IF($A15="","",$J15+($L15/(IF(F15="Contract Workman",Settings!$K$5,Settings!$K$4))))</f>
        <v>46232.2764550265</v>
      </c>
      <c r="N15" s="4" t="str">
        <f aca="false">IF($A15="","",IF(F15="Contract Workman",IF(AND(MOD(M15,1)&gt;=8/24,MOD(M15,1)&lt;20/24),"Shift S1","Shift S2"),IF(AND(MOD(M15,1)&gt;=7/24,MOD(M15,1)&lt;15/24),"Shift A",IF(AND(MOD(M15,1)&gt;=15/24,MOD(M15,1)&lt;23/24),"Shift B","Shift C"))))</f>
        <v>Shift C</v>
      </c>
      <c r="O15" s="52" t="str">
        <f aca="false"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3" t="str">
        <f aca="false">IF(AND(Q$3&gt;=$J15, Q$3&lt;$M15), $A15, "")</f>
        <v/>
      </c>
      <c r="Q15" s="53" t="str">
        <f aca="false">IF(AND(R$3&gt;=$J15, R$3&lt;$M15), $A15, "")</f>
        <v/>
      </c>
      <c r="R15" s="53" t="str">
        <f aca="false">IF(AND(S$3&gt;=$J15, S$3&lt;$M15), $A15, "")</f>
        <v/>
      </c>
      <c r="S15" s="53" t="str">
        <f aca="false">IF(AND(T$3&gt;=$J15, T$3&lt;$M15), $A15, "")</f>
        <v/>
      </c>
      <c r="T15" s="53" t="str">
        <f aca="false">IF(AND(U$3&gt;=$J15, U$3&lt;$M15), $A15, "")</f>
        <v/>
      </c>
      <c r="U15" s="53" t="str">
        <f aca="false">IF(AND(V$3&gt;=$J15, V$3&lt;$M15), $A15, "")</f>
        <v/>
      </c>
      <c r="V15" s="53" t="str">
        <f aca="false">IF(AND(W$3&gt;=$J15, W$3&lt;$M15), $A15, "")</f>
        <v/>
      </c>
      <c r="W15" s="53" t="str">
        <f aca="false">IF(AND(X$3&gt;=$J15, X$3&lt;$M15), $A15, "")</f>
        <v/>
      </c>
      <c r="X15" s="53" t="str">
        <f aca="false">IF(AND(Y$3&gt;=$J15, Y$3&lt;$M15), $A15, "")</f>
        <v/>
      </c>
      <c r="Y15" s="53" t="str">
        <f aca="false">IF(AND(Z$3&gt;=$J15, Z$3&lt;$M15), $A15, "")</f>
        <v/>
      </c>
      <c r="Z15" s="53" t="str">
        <f aca="false">IF(AND(AA$3&gt;=$J15, AA$3&lt;$M15), $A15, "")</f>
        <v/>
      </c>
      <c r="AA15" s="53" t="str">
        <f aca="false">IF(AND(AB$3&gt;=$J15, AB$3&lt;$M15), $A15, "")</f>
        <v/>
      </c>
      <c r="AB15" s="53" t="str">
        <f aca="false">IF(AND(AC$3&gt;=$J15, AC$3&lt;$M15), $A15, "")</f>
        <v/>
      </c>
      <c r="AC15" s="53" t="str">
        <f aca="false">IF(AND(AD$3&gt;=$J15, AD$3&lt;$M15), $A15, "")</f>
        <v/>
      </c>
      <c r="AD15" s="53" t="str">
        <f aca="false">IF(AND(AE$3&gt;=$J15, AE$3&lt;$M15), $A15, "")</f>
        <v/>
      </c>
      <c r="AE15" s="53" t="str">
        <f aca="false">IF(AND(AF$3&gt;=$J15, AF$3&lt;$M15), $A15, "")</f>
        <v/>
      </c>
      <c r="AF15" s="53" t="str">
        <f aca="false">IF(AND(AG$3&gt;=$J15, AG$3&lt;$M15), $A15, "")</f>
        <v/>
      </c>
      <c r="AG15" s="53" t="str">
        <f aca="false">IF(AND(AH$3&gt;=$J15, AH$3&lt;$M15), $A15, "")</f>
        <v/>
      </c>
      <c r="AH15" s="53" t="str">
        <f aca="false">IF(AND(AI$3&gt;=$J15, AI$3&lt;$M15), $A15, "")</f>
        <v/>
      </c>
      <c r="AI15" s="53" t="str">
        <f aca="false">IF(AND(AJ$3&gt;=$J15, AJ$3&lt;$M15), $A15, "")</f>
        <v/>
      </c>
      <c r="AJ15" s="53" t="str">
        <f aca="false">IF(AND(AK$3&gt;=$J15, AK$3&lt;$M15), $A15, "")</f>
        <v/>
      </c>
      <c r="AK15" s="53" t="str">
        <f aca="false">IF(AND(AL$3&gt;=$J15, AL$3&lt;$M15), $A15, "")</f>
        <v/>
      </c>
      <c r="AL15" s="53" t="str">
        <f aca="false">IF(AND(AM$3&gt;=$J15, AM$3&lt;$M15), $A15, "")</f>
        <v/>
      </c>
      <c r="AM15" s="53" t="str">
        <f aca="false">IF(AND(AN$3&gt;=$J15, AN$3&lt;$M15), $A15, "")</f>
        <v/>
      </c>
      <c r="AN15" s="53" t="str">
        <f aca="false">IF(AND(AO$3&gt;=$J15, AO$3&lt;$M15), $A15, "")</f>
        <v/>
      </c>
      <c r="AO15" s="53" t="str">
        <f aca="false">IF(AND(AP$3&gt;=$J15, AP$3&lt;$M15), $A15, "")</f>
        <v/>
      </c>
      <c r="AP15" s="53" t="str">
        <f aca="false">IF(AND(AQ$3&gt;=$J15, AQ$3&lt;$M15), $A15, "")</f>
        <v/>
      </c>
      <c r="AQ15" s="53" t="str">
        <f aca="false">IF(AND(AR$3&gt;=$J15, AR$3&lt;$M15), $A15, "")</f>
        <v/>
      </c>
      <c r="AR15" s="53" t="str">
        <f aca="false">IF(AND(AS$3&gt;=$J15, AS$3&lt;$M15), $A15, "")</f>
        <v/>
      </c>
      <c r="AS15" s="53" t="str">
        <f aca="false">IF(AND(AT$3&gt;=$J15, AT$3&lt;$M15), $A15, "")</f>
        <v/>
      </c>
      <c r="AT15" s="53" t="str">
        <f aca="false">IF(AND(AU$3&gt;=$J15, AU$3&lt;$M15), $A15, "")</f>
        <v/>
      </c>
      <c r="AU15" s="53" t="str">
        <f aca="false">IF(AND(AV$3&gt;=$J15, AV$3&lt;$M15), $A15, "")</f>
        <v/>
      </c>
      <c r="AV15" s="53" t="str">
        <f aca="false">IF(AND(AW$3&gt;=$J15, AW$3&lt;$M15), $A15, "")</f>
        <v/>
      </c>
      <c r="AW15" s="53" t="str">
        <f aca="false">IF(AND(AX$3&gt;=$J15, AX$3&lt;$M15), $A15, "")</f>
        <v/>
      </c>
      <c r="AX15" s="53" t="str">
        <f aca="false">IF(AND(AY$3&gt;=$J15, AY$3&lt;$M15), $A15, "")</f>
        <v/>
      </c>
      <c r="AY15" s="53" t="str">
        <f aca="false">IF(AND(AZ$3&gt;=$J15, AZ$3&lt;$M15), $A15, "")</f>
        <v/>
      </c>
      <c r="AZ15" s="53" t="str">
        <f aca="false">IF(AND(BA$3&gt;=$J15, BA$3&lt;$M15), $A15, "")</f>
        <v/>
      </c>
      <c r="BA15" s="53" t="str">
        <f aca="false">IF(AND(BB$3&gt;=$J15, BB$3&lt;$M15), $A15, "")</f>
        <v/>
      </c>
      <c r="BB15" s="53" t="str">
        <f aca="false">IF(AND(BC$3&gt;=$J15, BC$3&lt;$M15), $A15, "")</f>
        <v/>
      </c>
      <c r="BC15" s="53" t="str">
        <f aca="false">IF(AND(BD$3&gt;=$J15, BD$3&lt;$M15), $A15, "")</f>
        <v/>
      </c>
      <c r="BD15" s="53" t="str">
        <f aca="false">IF(AND(BE$3&gt;=$J15, BE$3&lt;$M15), $A15, "")</f>
        <v/>
      </c>
      <c r="BE15" s="53" t="str">
        <f aca="false">IF(AND(BF$3&gt;=$J15, BF$3&lt;$M15), $A15, "")</f>
        <v/>
      </c>
      <c r="BF15" s="53" t="str">
        <f aca="false">IF(AND(BG$3&gt;=$J15, BG$3&lt;$M15), $A15, "")</f>
        <v/>
      </c>
      <c r="BG15" s="53" t="str">
        <f aca="false">IF(AND(BH$3&gt;=$J15, BH$3&lt;$M15), $A15, "")</f>
        <v/>
      </c>
      <c r="BH15" s="53" t="str">
        <f aca="false">IF(AND(BI$3&gt;=$J15, BI$3&lt;$M15), $A15, "")</f>
        <v/>
      </c>
      <c r="BI15" s="53" t="str">
        <f aca="false">IF(AND(BJ$3&gt;=$J15, BJ$3&lt;$M15), $A15, "")</f>
        <v/>
      </c>
      <c r="BJ15" s="53" t="str">
        <f aca="false">IF(AND(BK$3&gt;=$J15, BK$3&lt;$M15), $A15, "")</f>
        <v/>
      </c>
      <c r="BK15" s="53" t="str">
        <f aca="false">IF(AND(BL$3&gt;=$J15, BL$3&lt;$M15), $A15, "")</f>
        <v/>
      </c>
      <c r="BL15" s="53" t="str">
        <f aca="false">IF(AND(BM$3&gt;=$J15, BM$3&lt;$M15), $A15, "")</f>
        <v/>
      </c>
      <c r="BM15" s="53" t="str">
        <f aca="false">IF(AND(BN$3&gt;=$J15, BN$3&lt;$M15), $A15, "")</f>
        <v/>
      </c>
      <c r="BN15" s="1" t="str">
        <f aca="false">IF(AND(BO$3&gt;=$J15, BO$3&lt;$M15), $A15, "")</f>
        <v/>
      </c>
      <c r="BO15" s="1" t="str">
        <f aca="false">IF(AND(BP$3&gt;=$J15, BP$3&lt;$M15), $A15, "")</f>
        <v/>
      </c>
      <c r="BP15" s="1" t="str">
        <f aca="false">IF(AND(BQ$3&gt;=$J15, BQ$3&lt;$M15), $A15, "")</f>
        <v/>
      </c>
    </row>
    <row r="16" customFormat="false" ht="15" hidden="false" customHeight="true" outlineLevel="0" collapsed="false">
      <c r="A16" s="46" t="str">
        <f aca="false">IF(Job_Master!A16="","",Job_Master!A16)</f>
        <v>BJ-112</v>
      </c>
      <c r="B16" s="4" t="n">
        <f aca="false">IF($A16="","",Job_Master!B16)</f>
        <v>17</v>
      </c>
      <c r="C16" s="4" t="str">
        <f aca="false">IF($A16="","",Job_Master!C16)</f>
        <v>2P</v>
      </c>
      <c r="D16" s="4" t="n">
        <f aca="false">IF($A16="","",Job_Master!D16)</f>
        <v>2</v>
      </c>
      <c r="E16" s="48" t="str">
        <f aca="false">IF($A16="","",IFERROR(INDEX(Machine_List!$B$82:$B$86,MATCH("*"&amp;$B16&amp;"*",Machine_List!$J$82:$J$86,0)),"NO COMPATIBLE MACHINE"))</f>
        <v>QC-MC-01</v>
      </c>
      <c r="F16" s="4" t="str">
        <f aca="false">IF($E16="","",IFERROR(VLOOKUP($E16,Machine_List!$B:$G,6,0),""))</f>
        <v>General Workman</v>
      </c>
      <c r="G16" s="55" t="n">
        <f aca="false">IF($E16="","",IFERROR(VLOOKUP($E16,Machine_List!$B:$C,2,0),""))</f>
        <v>46518</v>
      </c>
      <c r="H16" s="4" t="n">
        <f aca="false">IF($E16="","",IFERROR(VLOOKUP($E16,Machine_List!$B:$D,3,0),""))</f>
        <v>6</v>
      </c>
      <c r="I16" s="56"/>
      <c r="J16" s="57" t="n">
        <f aca="true">IF($A16="","",IF($I16&lt;&gt;"",$I16,MAX(FID_Plan!$M16,IFERROR(LOOKUP(2,1/($E$3:INDIRECT("E"&amp;(ROW()-1))=$E16),$M$3:INDIRECT("M"&amp;(ROW()-1))),FID_Plan!$M16))))</f>
        <v>46232.2764550265</v>
      </c>
      <c r="K16" s="4" t="n">
        <f aca="false">IF($A16="","",IFERROR(VLOOKUP(B16,CHOOSE(MATCH(C16,Settings!$L$4:$L$10,0),OPR_2P!$A$4:$I$18,SEG_6P!$A$4:$I$18,SOL_4P!$A$4:$I$18,RW_2P!$A$4:$I$18,RW2_4P!$A$4:$I$18,FLAP_4P!$A$4:$I$18,TUBE_4P!$A$4:$I$18),8,0),0))</f>
        <v>13</v>
      </c>
      <c r="L16" s="4" t="n">
        <f aca="false">IF($A16="","",K16*D16)</f>
        <v>26</v>
      </c>
      <c r="M16" s="57" t="n">
        <f aca="false">IF($A16="","",$J16+($L16/(IF(F16="Contract Workman",Settings!$K$5,Settings!$K$4))))</f>
        <v>46233.4801587302</v>
      </c>
      <c r="N16" s="4" t="str">
        <f aca="false">IF($A16="","",IF(F16="Contract Workman",IF(AND(MOD(M16,1)&gt;=8/24,MOD(M16,1)&lt;20/24),"Shift S1","Shift S2"),IF(AND(MOD(M16,1)&gt;=7/24,MOD(M16,1)&lt;15/24),"Shift A",IF(AND(MOD(M16,1)&gt;=15/24,MOD(M16,1)&lt;23/24),"Shift B","Shift C"))))</f>
        <v>Shift A</v>
      </c>
      <c r="O16" s="52" t="str">
        <f aca="false"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3" t="str">
        <f aca="false">IF(AND(Q$3&gt;=$J16, Q$3&lt;$M16), $A16, "")</f>
        <v/>
      </c>
      <c r="Q16" s="53" t="str">
        <f aca="false">IF(AND(R$3&gt;=$J16, R$3&lt;$M16), $A16, "")</f>
        <v/>
      </c>
      <c r="R16" s="53" t="str">
        <f aca="false">IF(AND(S$3&gt;=$J16, S$3&lt;$M16), $A16, "")</f>
        <v/>
      </c>
      <c r="S16" s="53" t="str">
        <f aca="false">IF(AND(T$3&gt;=$J16, T$3&lt;$M16), $A16, "")</f>
        <v/>
      </c>
      <c r="T16" s="53" t="str">
        <f aca="false">IF(AND(U$3&gt;=$J16, U$3&lt;$M16), $A16, "")</f>
        <v/>
      </c>
      <c r="U16" s="53" t="str">
        <f aca="false">IF(AND(V$3&gt;=$J16, V$3&lt;$M16), $A16, "")</f>
        <v/>
      </c>
      <c r="V16" s="53" t="str">
        <f aca="false">IF(AND(W$3&gt;=$J16, W$3&lt;$M16), $A16, "")</f>
        <v/>
      </c>
      <c r="W16" s="53" t="str">
        <f aca="false">IF(AND(X$3&gt;=$J16, X$3&lt;$M16), $A16, "")</f>
        <v/>
      </c>
      <c r="X16" s="53" t="str">
        <f aca="false">IF(AND(Y$3&gt;=$J16, Y$3&lt;$M16), $A16, "")</f>
        <v/>
      </c>
      <c r="Y16" s="53" t="str">
        <f aca="false">IF(AND(Z$3&gt;=$J16, Z$3&lt;$M16), $A16, "")</f>
        <v/>
      </c>
      <c r="Z16" s="53" t="str">
        <f aca="false">IF(AND(AA$3&gt;=$J16, AA$3&lt;$M16), $A16, "")</f>
        <v/>
      </c>
      <c r="AA16" s="53" t="str">
        <f aca="false">IF(AND(AB$3&gt;=$J16, AB$3&lt;$M16), $A16, "")</f>
        <v/>
      </c>
      <c r="AB16" s="53" t="str">
        <f aca="false">IF(AND(AC$3&gt;=$J16, AC$3&lt;$M16), $A16, "")</f>
        <v/>
      </c>
      <c r="AC16" s="53" t="str">
        <f aca="false">IF(AND(AD$3&gt;=$J16, AD$3&lt;$M16), $A16, "")</f>
        <v/>
      </c>
      <c r="AD16" s="53" t="str">
        <f aca="false">IF(AND(AE$3&gt;=$J16, AE$3&lt;$M16), $A16, "")</f>
        <v/>
      </c>
      <c r="AE16" s="53" t="str">
        <f aca="false">IF(AND(AF$3&gt;=$J16, AF$3&lt;$M16), $A16, "")</f>
        <v/>
      </c>
      <c r="AF16" s="53" t="str">
        <f aca="false">IF(AND(AG$3&gt;=$J16, AG$3&lt;$M16), $A16, "")</f>
        <v/>
      </c>
      <c r="AG16" s="53" t="str">
        <f aca="false">IF(AND(AH$3&gt;=$J16, AH$3&lt;$M16), $A16, "")</f>
        <v/>
      </c>
      <c r="AH16" s="53" t="str">
        <f aca="false">IF(AND(AI$3&gt;=$J16, AI$3&lt;$M16), $A16, "")</f>
        <v/>
      </c>
      <c r="AI16" s="53" t="str">
        <f aca="false">IF(AND(AJ$3&gt;=$J16, AJ$3&lt;$M16), $A16, "")</f>
        <v/>
      </c>
      <c r="AJ16" s="53" t="str">
        <f aca="false">IF(AND(AK$3&gt;=$J16, AK$3&lt;$M16), $A16, "")</f>
        <v/>
      </c>
      <c r="AK16" s="53" t="str">
        <f aca="false">IF(AND(AL$3&gt;=$J16, AL$3&lt;$M16), $A16, "")</f>
        <v/>
      </c>
      <c r="AL16" s="53" t="str">
        <f aca="false">IF(AND(AM$3&gt;=$J16, AM$3&lt;$M16), $A16, "")</f>
        <v/>
      </c>
      <c r="AM16" s="53" t="str">
        <f aca="false">IF(AND(AN$3&gt;=$J16, AN$3&lt;$M16), $A16, "")</f>
        <v/>
      </c>
      <c r="AN16" s="53" t="str">
        <f aca="false">IF(AND(AO$3&gt;=$J16, AO$3&lt;$M16), $A16, "")</f>
        <v/>
      </c>
      <c r="AO16" s="53" t="str">
        <f aca="false">IF(AND(AP$3&gt;=$J16, AP$3&lt;$M16), $A16, "")</f>
        <v/>
      </c>
      <c r="AP16" s="53" t="str">
        <f aca="false">IF(AND(AQ$3&gt;=$J16, AQ$3&lt;$M16), $A16, "")</f>
        <v/>
      </c>
      <c r="AQ16" s="53" t="str">
        <f aca="false">IF(AND(AR$3&gt;=$J16, AR$3&lt;$M16), $A16, "")</f>
        <v/>
      </c>
      <c r="AR16" s="53" t="str">
        <f aca="false">IF(AND(AS$3&gt;=$J16, AS$3&lt;$M16), $A16, "")</f>
        <v/>
      </c>
      <c r="AS16" s="53" t="str">
        <f aca="false">IF(AND(AT$3&gt;=$J16, AT$3&lt;$M16), $A16, "")</f>
        <v/>
      </c>
      <c r="AT16" s="53" t="str">
        <f aca="false">IF(AND(AU$3&gt;=$J16, AU$3&lt;$M16), $A16, "")</f>
        <v/>
      </c>
      <c r="AU16" s="53" t="str">
        <f aca="false">IF(AND(AV$3&gt;=$J16, AV$3&lt;$M16), $A16, "")</f>
        <v/>
      </c>
      <c r="AV16" s="53" t="str">
        <f aca="false">IF(AND(AW$3&gt;=$J16, AW$3&lt;$M16), $A16, "")</f>
        <v/>
      </c>
      <c r="AW16" s="53" t="str">
        <f aca="false">IF(AND(AX$3&gt;=$J16, AX$3&lt;$M16), $A16, "")</f>
        <v/>
      </c>
      <c r="AX16" s="53" t="str">
        <f aca="false">IF(AND(AY$3&gt;=$J16, AY$3&lt;$M16), $A16, "")</f>
        <v/>
      </c>
      <c r="AY16" s="53" t="str">
        <f aca="false">IF(AND(AZ$3&gt;=$J16, AZ$3&lt;$M16), $A16, "")</f>
        <v/>
      </c>
      <c r="AZ16" s="53" t="str">
        <f aca="false">IF(AND(BA$3&gt;=$J16, BA$3&lt;$M16), $A16, "")</f>
        <v/>
      </c>
      <c r="BA16" s="53" t="str">
        <f aca="false">IF(AND(BB$3&gt;=$J16, BB$3&lt;$M16), $A16, "")</f>
        <v/>
      </c>
      <c r="BB16" s="53" t="str">
        <f aca="false">IF(AND(BC$3&gt;=$J16, BC$3&lt;$M16), $A16, "")</f>
        <v/>
      </c>
      <c r="BC16" s="53" t="str">
        <f aca="false">IF(AND(BD$3&gt;=$J16, BD$3&lt;$M16), $A16, "")</f>
        <v/>
      </c>
      <c r="BD16" s="53" t="str">
        <f aca="false">IF(AND(BE$3&gt;=$J16, BE$3&lt;$M16), $A16, "")</f>
        <v/>
      </c>
      <c r="BE16" s="53" t="str">
        <f aca="false">IF(AND(BF$3&gt;=$J16, BF$3&lt;$M16), $A16, "")</f>
        <v/>
      </c>
      <c r="BF16" s="53" t="str">
        <f aca="false">IF(AND(BG$3&gt;=$J16, BG$3&lt;$M16), $A16, "")</f>
        <v/>
      </c>
      <c r="BG16" s="53" t="str">
        <f aca="false">IF(AND(BH$3&gt;=$J16, BH$3&lt;$M16), $A16, "")</f>
        <v/>
      </c>
      <c r="BH16" s="53" t="str">
        <f aca="false">IF(AND(BI$3&gt;=$J16, BI$3&lt;$M16), $A16, "")</f>
        <v/>
      </c>
      <c r="BI16" s="53" t="str">
        <f aca="false">IF(AND(BJ$3&gt;=$J16, BJ$3&lt;$M16), $A16, "")</f>
        <v/>
      </c>
      <c r="BJ16" s="53" t="str">
        <f aca="false">IF(AND(BK$3&gt;=$J16, BK$3&lt;$M16), $A16, "")</f>
        <v/>
      </c>
      <c r="BK16" s="53" t="str">
        <f aca="false">IF(AND(BL$3&gt;=$J16, BL$3&lt;$M16), $A16, "")</f>
        <v/>
      </c>
      <c r="BL16" s="53" t="str">
        <f aca="false">IF(AND(BM$3&gt;=$J16, BM$3&lt;$M16), $A16, "")</f>
        <v/>
      </c>
      <c r="BM16" s="53" t="str">
        <f aca="false">IF(AND(BN$3&gt;=$J16, BN$3&lt;$M16), $A16, "")</f>
        <v/>
      </c>
      <c r="BN16" s="1" t="str">
        <f aca="false">IF(AND(BO$3&gt;=$J16, BO$3&lt;$M16), $A16, "")</f>
        <v/>
      </c>
      <c r="BO16" s="1" t="str">
        <f aca="false">IF(AND(BP$3&gt;=$J16, BP$3&lt;$M16), $A16, "")</f>
        <v/>
      </c>
      <c r="BP16" s="1" t="str">
        <f aca="false">IF(AND(BQ$3&gt;=$J16, BQ$3&lt;$M16), $A16, "")</f>
        <v/>
      </c>
    </row>
    <row r="17" customFormat="false" ht="15" hidden="false" customHeight="true" outlineLevel="0" collapsed="false">
      <c r="A17" s="46" t="str">
        <f aca="false">IF(Job_Master!A17="","",Job_Master!A17)</f>
        <v>BJ-114</v>
      </c>
      <c r="B17" s="4" t="n">
        <f aca="false">IF($A17="","",Job_Master!B17)</f>
        <v>50</v>
      </c>
      <c r="C17" s="4" t="str">
        <f aca="false">IF($A17="","",Job_Master!C17)</f>
        <v>SEG</v>
      </c>
      <c r="D17" s="4" t="n">
        <f aca="false">IF($A17="","",Job_Master!D17)</f>
        <v>6</v>
      </c>
      <c r="E17" s="48" t="str">
        <f aca="false">IF($A17="","",IFERROR(INDEX(Machine_List!$B$82:$B$86,MATCH("*"&amp;$B17&amp;"*",Machine_List!$J$82:$J$86,0)),"NO COMPATIBLE MACHINE"))</f>
        <v>QC-MC-01</v>
      </c>
      <c r="F17" s="4" t="str">
        <f aca="false">IF($E17="","",IFERROR(VLOOKUP($E17,Machine_List!$B:$G,6,0),""))</f>
        <v>General Workman</v>
      </c>
      <c r="G17" s="55" t="n">
        <f aca="false">IF($E17="","",IFERROR(VLOOKUP($E17,Machine_List!$B:$C,2,0),""))</f>
        <v>46518</v>
      </c>
      <c r="H17" s="4" t="n">
        <f aca="false">IF($E17="","",IFERROR(VLOOKUP($E17,Machine_List!$B:$D,3,0),""))</f>
        <v>6</v>
      </c>
      <c r="I17" s="56"/>
      <c r="J17" s="57" t="n">
        <f aca="true">IF($A17="","",IF($I17&lt;&gt;"",$I17,MAX(FID_Plan!$M17,IFERROR(LOOKUP(2,1/($E$3:INDIRECT("E"&amp;(ROW()-1))=$E17),$M$3:INDIRECT("M"&amp;(ROW()-1))),FID_Plan!$M17))))</f>
        <v>46277.6335978836</v>
      </c>
      <c r="K17" s="4" t="n">
        <f aca="false">IF($A17="","",IFERROR(VLOOKUP(B17,CHOOSE(MATCH(C17,Settings!$L$4:$L$10,0),OPR_2P!$A$4:$I$18,SEG_6P!$A$4:$I$18,SOL_4P!$A$4:$I$18,RW_2P!$A$4:$I$18,RW2_4P!$A$4:$I$18,FLAP_4P!$A$4:$I$18,TUBE_4P!$A$4:$I$18),8,0),0))</f>
        <v>36</v>
      </c>
      <c r="L17" s="4" t="n">
        <f aca="false">IF($A17="","",K17*D17)</f>
        <v>216</v>
      </c>
      <c r="M17" s="57" t="n">
        <f aca="false">IF($A17="","",$J17+($L17/(IF(F17="Contract Workman",Settings!$K$5,Settings!$K$4))))</f>
        <v>46287.6335978836</v>
      </c>
      <c r="N17" s="4" t="str">
        <f aca="false">IF($A17="","",IF(F17="Contract Workman",IF(AND(MOD(M17,1)&gt;=8/24,MOD(M17,1)&lt;20/24),"Shift S1","Shift S2"),IF(AND(MOD(M17,1)&gt;=7/24,MOD(M17,1)&lt;15/24),"Shift A",IF(AND(MOD(M17,1)&gt;=15/24,MOD(M17,1)&lt;23/24),"Shift B","Shift C"))))</f>
        <v>Shift B</v>
      </c>
      <c r="O17" s="52" t="str">
        <f aca="false"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3" t="str">
        <f aca="false">IF(AND(Q$3&gt;=$J17, Q$3&lt;$M17), $A17, "")</f>
        <v/>
      </c>
      <c r="Q17" s="53" t="str">
        <f aca="false">IF(AND(R$3&gt;=$J17, R$3&lt;$M17), $A17, "")</f>
        <v/>
      </c>
      <c r="R17" s="53" t="str">
        <f aca="false">IF(AND(S$3&gt;=$J17, S$3&lt;$M17), $A17, "")</f>
        <v/>
      </c>
      <c r="S17" s="53" t="str">
        <f aca="false">IF(AND(T$3&gt;=$J17, T$3&lt;$M17), $A17, "")</f>
        <v/>
      </c>
      <c r="T17" s="53" t="str">
        <f aca="false">IF(AND(U$3&gt;=$J17, U$3&lt;$M17), $A17, "")</f>
        <v/>
      </c>
      <c r="U17" s="53" t="str">
        <f aca="false">IF(AND(V$3&gt;=$J17, V$3&lt;$M17), $A17, "")</f>
        <v/>
      </c>
      <c r="V17" s="53" t="str">
        <f aca="false">IF(AND(W$3&gt;=$J17, W$3&lt;$M17), $A17, "")</f>
        <v/>
      </c>
      <c r="W17" s="53" t="str">
        <f aca="false">IF(AND(X$3&gt;=$J17, X$3&lt;$M17), $A17, "")</f>
        <v/>
      </c>
      <c r="X17" s="53" t="str">
        <f aca="false">IF(AND(Y$3&gt;=$J17, Y$3&lt;$M17), $A17, "")</f>
        <v/>
      </c>
      <c r="Y17" s="53" t="str">
        <f aca="false">IF(AND(Z$3&gt;=$J17, Z$3&lt;$M17), $A17, "")</f>
        <v/>
      </c>
      <c r="Z17" s="53" t="str">
        <f aca="false">IF(AND(AA$3&gt;=$J17, AA$3&lt;$M17), $A17, "")</f>
        <v/>
      </c>
      <c r="AA17" s="53" t="str">
        <f aca="false">IF(AND(AB$3&gt;=$J17, AB$3&lt;$M17), $A17, "")</f>
        <v/>
      </c>
      <c r="AB17" s="53" t="str">
        <f aca="false">IF(AND(AC$3&gt;=$J17, AC$3&lt;$M17), $A17, "")</f>
        <v/>
      </c>
      <c r="AC17" s="53" t="str">
        <f aca="false">IF(AND(AD$3&gt;=$J17, AD$3&lt;$M17), $A17, "")</f>
        <v/>
      </c>
      <c r="AD17" s="53" t="str">
        <f aca="false">IF(AND(AE$3&gt;=$J17, AE$3&lt;$M17), $A17, "")</f>
        <v/>
      </c>
      <c r="AE17" s="53" t="str">
        <f aca="false">IF(AND(AF$3&gt;=$J17, AF$3&lt;$M17), $A17, "")</f>
        <v/>
      </c>
      <c r="AF17" s="53" t="str">
        <f aca="false">IF(AND(AG$3&gt;=$J17, AG$3&lt;$M17), $A17, "")</f>
        <v/>
      </c>
      <c r="AG17" s="53" t="str">
        <f aca="false">IF(AND(AH$3&gt;=$J17, AH$3&lt;$M17), $A17, "")</f>
        <v/>
      </c>
      <c r="AH17" s="53" t="str">
        <f aca="false">IF(AND(AI$3&gt;=$J17, AI$3&lt;$M17), $A17, "")</f>
        <v/>
      </c>
      <c r="AI17" s="53" t="str">
        <f aca="false">IF(AND(AJ$3&gt;=$J17, AJ$3&lt;$M17), $A17, "")</f>
        <v/>
      </c>
      <c r="AJ17" s="53" t="str">
        <f aca="false">IF(AND(AK$3&gt;=$J17, AK$3&lt;$M17), $A17, "")</f>
        <v/>
      </c>
      <c r="AK17" s="53" t="str">
        <f aca="false">IF(AND(AL$3&gt;=$J17, AL$3&lt;$M17), $A17, "")</f>
        <v/>
      </c>
      <c r="AL17" s="53" t="str">
        <f aca="false">IF(AND(AM$3&gt;=$J17, AM$3&lt;$M17), $A17, "")</f>
        <v/>
      </c>
      <c r="AM17" s="53" t="str">
        <f aca="false">IF(AND(AN$3&gt;=$J17, AN$3&lt;$M17), $A17, "")</f>
        <v/>
      </c>
      <c r="AN17" s="53" t="str">
        <f aca="false">IF(AND(AO$3&gt;=$J17, AO$3&lt;$M17), $A17, "")</f>
        <v/>
      </c>
      <c r="AO17" s="53" t="str">
        <f aca="false">IF(AND(AP$3&gt;=$J17, AP$3&lt;$M17), $A17, "")</f>
        <v/>
      </c>
      <c r="AP17" s="53" t="str">
        <f aca="false">IF(AND(AQ$3&gt;=$J17, AQ$3&lt;$M17), $A17, "")</f>
        <v/>
      </c>
      <c r="AQ17" s="53" t="str">
        <f aca="false">IF(AND(AR$3&gt;=$J17, AR$3&lt;$M17), $A17, "")</f>
        <v/>
      </c>
      <c r="AR17" s="53" t="str">
        <f aca="false">IF(AND(AS$3&gt;=$J17, AS$3&lt;$M17), $A17, "")</f>
        <v/>
      </c>
      <c r="AS17" s="53" t="str">
        <f aca="false">IF(AND(AT$3&gt;=$J17, AT$3&lt;$M17), $A17, "")</f>
        <v/>
      </c>
      <c r="AT17" s="53" t="str">
        <f aca="false">IF(AND(AU$3&gt;=$J17, AU$3&lt;$M17), $A17, "")</f>
        <v/>
      </c>
      <c r="AU17" s="53" t="str">
        <f aca="false">IF(AND(AV$3&gt;=$J17, AV$3&lt;$M17), $A17, "")</f>
        <v/>
      </c>
      <c r="AV17" s="53" t="str">
        <f aca="false">IF(AND(AW$3&gt;=$J17, AW$3&lt;$M17), $A17, "")</f>
        <v/>
      </c>
      <c r="AW17" s="53" t="str">
        <f aca="false">IF(AND(AX$3&gt;=$J17, AX$3&lt;$M17), $A17, "")</f>
        <v/>
      </c>
      <c r="AX17" s="53" t="str">
        <f aca="false">IF(AND(AY$3&gt;=$J17, AY$3&lt;$M17), $A17, "")</f>
        <v/>
      </c>
      <c r="AY17" s="53" t="str">
        <f aca="false">IF(AND(AZ$3&gt;=$J17, AZ$3&lt;$M17), $A17, "")</f>
        <v/>
      </c>
      <c r="AZ17" s="53" t="str">
        <f aca="false">IF(AND(BA$3&gt;=$J17, BA$3&lt;$M17), $A17, "")</f>
        <v/>
      </c>
      <c r="BA17" s="53" t="str">
        <f aca="false">IF(AND(BB$3&gt;=$J17, BB$3&lt;$M17), $A17, "")</f>
        <v/>
      </c>
      <c r="BB17" s="53" t="str">
        <f aca="false">IF(AND(BC$3&gt;=$J17, BC$3&lt;$M17), $A17, "")</f>
        <v/>
      </c>
      <c r="BC17" s="53" t="str">
        <f aca="false">IF(AND(BD$3&gt;=$J17, BD$3&lt;$M17), $A17, "")</f>
        <v/>
      </c>
      <c r="BD17" s="53" t="str">
        <f aca="false">IF(AND(BE$3&gt;=$J17, BE$3&lt;$M17), $A17, "")</f>
        <v/>
      </c>
      <c r="BE17" s="53" t="str">
        <f aca="false">IF(AND(BF$3&gt;=$J17, BF$3&lt;$M17), $A17, "")</f>
        <v/>
      </c>
      <c r="BF17" s="53" t="str">
        <f aca="false">IF(AND(BG$3&gt;=$J17, BG$3&lt;$M17), $A17, "")</f>
        <v/>
      </c>
      <c r="BG17" s="53" t="str">
        <f aca="false">IF(AND(BH$3&gt;=$J17, BH$3&lt;$M17), $A17, "")</f>
        <v/>
      </c>
      <c r="BH17" s="53" t="str">
        <f aca="false">IF(AND(BI$3&gt;=$J17, BI$3&lt;$M17), $A17, "")</f>
        <v/>
      </c>
      <c r="BI17" s="53" t="str">
        <f aca="false">IF(AND(BJ$3&gt;=$J17, BJ$3&lt;$M17), $A17, "")</f>
        <v/>
      </c>
      <c r="BJ17" s="53" t="str">
        <f aca="false">IF(AND(BK$3&gt;=$J17, BK$3&lt;$M17), $A17, "")</f>
        <v/>
      </c>
      <c r="BK17" s="53" t="str">
        <f aca="false">IF(AND(BL$3&gt;=$J17, BL$3&lt;$M17), $A17, "")</f>
        <v/>
      </c>
      <c r="BL17" s="53" t="str">
        <f aca="false">IF(AND(BM$3&gt;=$J17, BM$3&lt;$M17), $A17, "")</f>
        <v/>
      </c>
      <c r="BM17" s="53" t="str">
        <f aca="false">IF(AND(BN$3&gt;=$J17, BN$3&lt;$M17), $A17, "")</f>
        <v/>
      </c>
      <c r="BN17" s="1" t="str">
        <f aca="false">IF(AND(BO$3&gt;=$J17, BO$3&lt;$M17), $A17, "")</f>
        <v/>
      </c>
      <c r="BO17" s="1" t="str">
        <f aca="false">IF(AND(BP$3&gt;=$J17, BP$3&lt;$M17), $A17, "")</f>
        <v/>
      </c>
      <c r="BP17" s="1" t="str">
        <f aca="false">IF(AND(BQ$3&gt;=$J17, BQ$3&lt;$M17), $A17, "")</f>
        <v/>
      </c>
    </row>
    <row r="18" customFormat="false" ht="15" hidden="false" customHeight="true" outlineLevel="0" collapsed="false">
      <c r="A18" s="46" t="str">
        <f aca="false">IF(Job_Master!A18="","",Job_Master!A18)</f>
        <v>BJ-115</v>
      </c>
      <c r="B18" s="4" t="n">
        <f aca="false">IF($A18="","",Job_Master!B18)</f>
        <v>46</v>
      </c>
      <c r="C18" s="4" t="str">
        <f aca="false">IF($A18="","",Job_Master!C18)</f>
        <v>2P</v>
      </c>
      <c r="D18" s="4" t="n">
        <f aca="false">IF($A18="","",Job_Master!D18)</f>
        <v>2</v>
      </c>
      <c r="E18" s="48" t="str">
        <f aca="false">IF($A18="","",IFERROR(INDEX(Machine_List!$B$82:$B$86,MATCH("*"&amp;$B18&amp;"*",Machine_List!$J$82:$J$86,0)),"NO COMPATIBLE MACHINE"))</f>
        <v>QC-MC-01</v>
      </c>
      <c r="F18" s="4" t="str">
        <f aca="false">IF($E18="","",IFERROR(VLOOKUP($E18,Machine_List!$B:$G,6,0),""))</f>
        <v>General Workman</v>
      </c>
      <c r="G18" s="55" t="n">
        <f aca="false">IF($E18="","",IFERROR(VLOOKUP($E18,Machine_List!$B:$C,2,0),""))</f>
        <v>46518</v>
      </c>
      <c r="H18" s="4" t="n">
        <f aca="false">IF($E18="","",IFERROR(VLOOKUP($E18,Machine_List!$B:$D,3,0),""))</f>
        <v>6</v>
      </c>
      <c r="I18" s="56"/>
      <c r="J18" s="57" t="n">
        <f aca="true">IF($A18="","",IF($I18&lt;&gt;"",$I18,MAX(FID_Plan!$M18,IFERROR(LOOKUP(2,1/($E$3:INDIRECT("E"&amp;(ROW()-1))=$E18),$M$3:INDIRECT("M"&amp;(ROW()-1))),FID_Plan!$M18))))</f>
        <v>46287.6335978836</v>
      </c>
      <c r="K18" s="4" t="n">
        <f aca="false">IF($A18="","",IFERROR(VLOOKUP(B18,CHOOSE(MATCH(C18,Settings!$L$4:$L$10,0),OPR_2P!$A$4:$I$18,SEG_6P!$A$4:$I$18,SOL_4P!$A$4:$I$18,RW_2P!$A$4:$I$18,RW2_4P!$A$4:$I$18,FLAP_4P!$A$4:$I$18,TUBE_4P!$A$4:$I$18),8,0),0))</f>
        <v>35</v>
      </c>
      <c r="L18" s="4" t="n">
        <f aca="false">IF($A18="","",K18*D18)</f>
        <v>70</v>
      </c>
      <c r="M18" s="57" t="n">
        <f aca="false">IF($A18="","",$J18+($L18/(IF(F18="Contract Workman",Settings!$K$5,Settings!$K$4))))</f>
        <v>46290.8743386243</v>
      </c>
      <c r="N18" s="4" t="str">
        <f aca="false">IF($A18="","",IF(F18="Contract Workman",IF(AND(MOD(M18,1)&gt;=8/24,MOD(M18,1)&lt;20/24),"Shift S1","Shift S2"),IF(AND(MOD(M18,1)&gt;=7/24,MOD(M18,1)&lt;15/24),"Shift A",IF(AND(MOD(M18,1)&gt;=15/24,MOD(M18,1)&lt;23/24),"Shift B","Shift C"))))</f>
        <v>Shift B</v>
      </c>
      <c r="O18" s="52" t="str">
        <f aca="false"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3" t="str">
        <f aca="false">IF(AND(Q$3&gt;=$J18, Q$3&lt;$M18), $A18, "")</f>
        <v/>
      </c>
      <c r="Q18" s="53" t="str">
        <f aca="false">IF(AND(R$3&gt;=$J18, R$3&lt;$M18), $A18, "")</f>
        <v/>
      </c>
      <c r="R18" s="53" t="str">
        <f aca="false">IF(AND(S$3&gt;=$J18, S$3&lt;$M18), $A18, "")</f>
        <v/>
      </c>
      <c r="S18" s="53" t="str">
        <f aca="false">IF(AND(T$3&gt;=$J18, T$3&lt;$M18), $A18, "")</f>
        <v/>
      </c>
      <c r="T18" s="53" t="str">
        <f aca="false">IF(AND(U$3&gt;=$J18, U$3&lt;$M18), $A18, "")</f>
        <v/>
      </c>
      <c r="U18" s="53" t="str">
        <f aca="false">IF(AND(V$3&gt;=$J18, V$3&lt;$M18), $A18, "")</f>
        <v/>
      </c>
      <c r="V18" s="53" t="str">
        <f aca="false">IF(AND(W$3&gt;=$J18, W$3&lt;$M18), $A18, "")</f>
        <v/>
      </c>
      <c r="W18" s="53" t="str">
        <f aca="false">IF(AND(X$3&gt;=$J18, X$3&lt;$M18), $A18, "")</f>
        <v/>
      </c>
      <c r="X18" s="53" t="str">
        <f aca="false">IF(AND(Y$3&gt;=$J18, Y$3&lt;$M18), $A18, "")</f>
        <v/>
      </c>
      <c r="Y18" s="53" t="str">
        <f aca="false">IF(AND(Z$3&gt;=$J18, Z$3&lt;$M18), $A18, "")</f>
        <v/>
      </c>
      <c r="Z18" s="53" t="str">
        <f aca="false">IF(AND(AA$3&gt;=$J18, AA$3&lt;$M18), $A18, "")</f>
        <v/>
      </c>
      <c r="AA18" s="53" t="str">
        <f aca="false">IF(AND(AB$3&gt;=$J18, AB$3&lt;$M18), $A18, "")</f>
        <v/>
      </c>
      <c r="AB18" s="53" t="str">
        <f aca="false">IF(AND(AC$3&gt;=$J18, AC$3&lt;$M18), $A18, "")</f>
        <v/>
      </c>
      <c r="AC18" s="53" t="str">
        <f aca="false">IF(AND(AD$3&gt;=$J18, AD$3&lt;$M18), $A18, "")</f>
        <v/>
      </c>
      <c r="AD18" s="53" t="str">
        <f aca="false">IF(AND(AE$3&gt;=$J18, AE$3&lt;$M18), $A18, "")</f>
        <v/>
      </c>
      <c r="AE18" s="53" t="str">
        <f aca="false">IF(AND(AF$3&gt;=$J18, AF$3&lt;$M18), $A18, "")</f>
        <v/>
      </c>
      <c r="AF18" s="53" t="str">
        <f aca="false">IF(AND(AG$3&gt;=$J18, AG$3&lt;$M18), $A18, "")</f>
        <v/>
      </c>
      <c r="AG18" s="53" t="str">
        <f aca="false">IF(AND(AH$3&gt;=$J18, AH$3&lt;$M18), $A18, "")</f>
        <v/>
      </c>
      <c r="AH18" s="53" t="str">
        <f aca="false">IF(AND(AI$3&gt;=$J18, AI$3&lt;$M18), $A18, "")</f>
        <v/>
      </c>
      <c r="AI18" s="53" t="str">
        <f aca="false">IF(AND(AJ$3&gt;=$J18, AJ$3&lt;$M18), $A18, "")</f>
        <v/>
      </c>
      <c r="AJ18" s="53" t="str">
        <f aca="false">IF(AND(AK$3&gt;=$J18, AK$3&lt;$M18), $A18, "")</f>
        <v/>
      </c>
      <c r="AK18" s="53" t="str">
        <f aca="false">IF(AND(AL$3&gt;=$J18, AL$3&lt;$M18), $A18, "")</f>
        <v/>
      </c>
      <c r="AL18" s="53" t="str">
        <f aca="false">IF(AND(AM$3&gt;=$J18, AM$3&lt;$M18), $A18, "")</f>
        <v/>
      </c>
      <c r="AM18" s="53" t="str">
        <f aca="false">IF(AND(AN$3&gt;=$J18, AN$3&lt;$M18), $A18, "")</f>
        <v/>
      </c>
      <c r="AN18" s="53" t="str">
        <f aca="false">IF(AND(AO$3&gt;=$J18, AO$3&lt;$M18), $A18, "")</f>
        <v/>
      </c>
      <c r="AO18" s="53" t="str">
        <f aca="false">IF(AND(AP$3&gt;=$J18, AP$3&lt;$M18), $A18, "")</f>
        <v/>
      </c>
      <c r="AP18" s="53" t="str">
        <f aca="false">IF(AND(AQ$3&gt;=$J18, AQ$3&lt;$M18), $A18, "")</f>
        <v/>
      </c>
      <c r="AQ18" s="53" t="str">
        <f aca="false">IF(AND(AR$3&gt;=$J18, AR$3&lt;$M18), $A18, "")</f>
        <v/>
      </c>
      <c r="AR18" s="53" t="str">
        <f aca="false">IF(AND(AS$3&gt;=$J18, AS$3&lt;$M18), $A18, "")</f>
        <v/>
      </c>
      <c r="AS18" s="53" t="str">
        <f aca="false">IF(AND(AT$3&gt;=$J18, AT$3&lt;$M18), $A18, "")</f>
        <v/>
      </c>
      <c r="AT18" s="53" t="str">
        <f aca="false">IF(AND(AU$3&gt;=$J18, AU$3&lt;$M18), $A18, "")</f>
        <v/>
      </c>
      <c r="AU18" s="53" t="str">
        <f aca="false">IF(AND(AV$3&gt;=$J18, AV$3&lt;$M18), $A18, "")</f>
        <v/>
      </c>
      <c r="AV18" s="53" t="str">
        <f aca="false">IF(AND(AW$3&gt;=$J18, AW$3&lt;$M18), $A18, "")</f>
        <v/>
      </c>
      <c r="AW18" s="53" t="str">
        <f aca="false">IF(AND(AX$3&gt;=$J18, AX$3&lt;$M18), $A18, "")</f>
        <v/>
      </c>
      <c r="AX18" s="53" t="str">
        <f aca="false">IF(AND(AY$3&gt;=$J18, AY$3&lt;$M18), $A18, "")</f>
        <v/>
      </c>
      <c r="AY18" s="53" t="str">
        <f aca="false">IF(AND(AZ$3&gt;=$J18, AZ$3&lt;$M18), $A18, "")</f>
        <v/>
      </c>
      <c r="AZ18" s="53" t="str">
        <f aca="false">IF(AND(BA$3&gt;=$J18, BA$3&lt;$M18), $A18, "")</f>
        <v/>
      </c>
      <c r="BA18" s="53" t="str">
        <f aca="false">IF(AND(BB$3&gt;=$J18, BB$3&lt;$M18), $A18, "")</f>
        <v/>
      </c>
      <c r="BB18" s="53" t="str">
        <f aca="false">IF(AND(BC$3&gt;=$J18, BC$3&lt;$M18), $A18, "")</f>
        <v/>
      </c>
      <c r="BC18" s="53" t="str">
        <f aca="false">IF(AND(BD$3&gt;=$J18, BD$3&lt;$M18), $A18, "")</f>
        <v/>
      </c>
      <c r="BD18" s="53" t="str">
        <f aca="false">IF(AND(BE$3&gt;=$J18, BE$3&lt;$M18), $A18, "")</f>
        <v/>
      </c>
      <c r="BE18" s="53" t="str">
        <f aca="false">IF(AND(BF$3&gt;=$J18, BF$3&lt;$M18), $A18, "")</f>
        <v/>
      </c>
      <c r="BF18" s="53" t="str">
        <f aca="false">IF(AND(BG$3&gt;=$J18, BG$3&lt;$M18), $A18, "")</f>
        <v/>
      </c>
      <c r="BG18" s="53" t="str">
        <f aca="false">IF(AND(BH$3&gt;=$J18, BH$3&lt;$M18), $A18, "")</f>
        <v/>
      </c>
      <c r="BH18" s="53" t="str">
        <f aca="false">IF(AND(BI$3&gt;=$J18, BI$3&lt;$M18), $A18, "")</f>
        <v/>
      </c>
      <c r="BI18" s="53" t="str">
        <f aca="false">IF(AND(BJ$3&gt;=$J18, BJ$3&lt;$M18), $A18, "")</f>
        <v/>
      </c>
      <c r="BJ18" s="53" t="str">
        <f aca="false">IF(AND(BK$3&gt;=$J18, BK$3&lt;$M18), $A18, "")</f>
        <v/>
      </c>
      <c r="BK18" s="53" t="str">
        <f aca="false">IF(AND(BL$3&gt;=$J18, BL$3&lt;$M18), $A18, "")</f>
        <v/>
      </c>
      <c r="BL18" s="53" t="str">
        <f aca="false">IF(AND(BM$3&gt;=$J18, BM$3&lt;$M18), $A18, "")</f>
        <v/>
      </c>
      <c r="BM18" s="53" t="str">
        <f aca="false">IF(AND(BN$3&gt;=$J18, BN$3&lt;$M18), $A18, "")</f>
        <v/>
      </c>
      <c r="BN18" s="1" t="str">
        <f aca="false">IF(AND(BO$3&gt;=$J18, BO$3&lt;$M18), $A18, "")</f>
        <v/>
      </c>
      <c r="BO18" s="1" t="str">
        <f aca="false">IF(AND(BP$3&gt;=$J18, BP$3&lt;$M18), $A18, "")</f>
        <v/>
      </c>
      <c r="BP18" s="1" t="str">
        <f aca="false">IF(AND(BQ$3&gt;=$J18, BQ$3&lt;$M18), $A18, "")</f>
        <v/>
      </c>
    </row>
    <row r="19" customFormat="false" ht="15" hidden="false" customHeight="true" outlineLevel="0" collapsed="false">
      <c r="A19" s="46" t="str">
        <f aca="false">IF(Job_Master!A19="","",Job_Master!A19)</f>
        <v>BJ-116</v>
      </c>
      <c r="B19" s="4" t="n">
        <f aca="false">IF($A19="","",Job_Master!B19)</f>
        <v>54</v>
      </c>
      <c r="C19" s="4" t="str">
        <f aca="false">IF($A19="","",Job_Master!C19)</f>
        <v>2P</v>
      </c>
      <c r="D19" s="4" t="n">
        <f aca="false">IF($A19="","",Job_Master!D19)</f>
        <v>2</v>
      </c>
      <c r="E19" s="48" t="str">
        <f aca="false">IF($A19="","",IFERROR(INDEX(Machine_List!$B$82:$B$86,MATCH("*"&amp;$B19&amp;"*",Machine_List!$J$82:$J$86,0)),"NO COMPATIBLE MACHINE"))</f>
        <v>QC-MC-01</v>
      </c>
      <c r="F19" s="4" t="str">
        <f aca="false">IF($E19="","",IFERROR(VLOOKUP($E19,Machine_List!$B:$G,6,0),""))</f>
        <v>General Workman</v>
      </c>
      <c r="G19" s="55" t="n">
        <f aca="false">IF($E19="","",IFERROR(VLOOKUP($E19,Machine_List!$B:$C,2,0),""))</f>
        <v>46518</v>
      </c>
      <c r="H19" s="4" t="n">
        <f aca="false">IF($E19="","",IFERROR(VLOOKUP($E19,Machine_List!$B:$D,3,0),""))</f>
        <v>6</v>
      </c>
      <c r="I19" s="56"/>
      <c r="J19" s="57" t="n">
        <f aca="true">IF($A19="","",IF($I19&lt;&gt;"",$I19,MAX(FID_Plan!$M19,IFERROR(LOOKUP(2,1/($E$3:INDIRECT("E"&amp;(ROW()-1))=$E19),$M$3:INDIRECT("M"&amp;(ROW()-1))),FID_Plan!$M19))))</f>
        <v>46290.8743386243</v>
      </c>
      <c r="K19" s="4" t="n">
        <f aca="false">IF($A19="","",IFERROR(VLOOKUP(B19,CHOOSE(MATCH(C19,Settings!$L$4:$L$10,0),OPR_2P!$A$4:$I$18,SEG_6P!$A$4:$I$18,SOL_4P!$A$4:$I$18,RW_2P!$A$4:$I$18,RW2_4P!$A$4:$I$18,FLAP_4P!$A$4:$I$18,TUBE_4P!$A$4:$I$18),8,0),0))</f>
        <v>67</v>
      </c>
      <c r="L19" s="4" t="n">
        <f aca="false">IF($A19="","",K19*D19)</f>
        <v>134</v>
      </c>
      <c r="M19" s="57" t="n">
        <f aca="false">IF($A19="","",$J19+($L19/(IF(F19="Contract Workman",Settings!$K$5,Settings!$K$4))))</f>
        <v>46297.078042328</v>
      </c>
      <c r="N19" s="4" t="str">
        <f aca="false">IF($A19="","",IF(F19="Contract Workman",IF(AND(MOD(M19,1)&gt;=8/24,MOD(M19,1)&lt;20/24),"Shift S1","Shift S2"),IF(AND(MOD(M19,1)&gt;=7/24,MOD(M19,1)&lt;15/24),"Shift A",IF(AND(MOD(M19,1)&gt;=15/24,MOD(M19,1)&lt;23/24),"Shift B","Shift C"))))</f>
        <v>Shift C</v>
      </c>
      <c r="O19" s="52" t="str">
        <f aca="false"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3" t="str">
        <f aca="false">IF(AND(Q$3&gt;=$J19, Q$3&lt;$M19), $A19, "")</f>
        <v/>
      </c>
      <c r="Q19" s="53" t="str">
        <f aca="false">IF(AND(R$3&gt;=$J19, R$3&lt;$M19), $A19, "")</f>
        <v/>
      </c>
      <c r="R19" s="53" t="str">
        <f aca="false">IF(AND(S$3&gt;=$J19, S$3&lt;$M19), $A19, "")</f>
        <v/>
      </c>
      <c r="S19" s="53" t="str">
        <f aca="false">IF(AND(T$3&gt;=$J19, T$3&lt;$M19), $A19, "")</f>
        <v/>
      </c>
      <c r="T19" s="53" t="str">
        <f aca="false">IF(AND(U$3&gt;=$J19, U$3&lt;$M19), $A19, "")</f>
        <v/>
      </c>
      <c r="U19" s="53" t="str">
        <f aca="false">IF(AND(V$3&gt;=$J19, V$3&lt;$M19), $A19, "")</f>
        <v/>
      </c>
      <c r="V19" s="53" t="str">
        <f aca="false">IF(AND(W$3&gt;=$J19, W$3&lt;$M19), $A19, "")</f>
        <v/>
      </c>
      <c r="W19" s="53" t="str">
        <f aca="false">IF(AND(X$3&gt;=$J19, X$3&lt;$M19), $A19, "")</f>
        <v/>
      </c>
      <c r="X19" s="53" t="str">
        <f aca="false">IF(AND(Y$3&gt;=$J19, Y$3&lt;$M19), $A19, "")</f>
        <v/>
      </c>
      <c r="Y19" s="53" t="str">
        <f aca="false">IF(AND(Z$3&gt;=$J19, Z$3&lt;$M19), $A19, "")</f>
        <v/>
      </c>
      <c r="Z19" s="53" t="str">
        <f aca="false">IF(AND(AA$3&gt;=$J19, AA$3&lt;$M19), $A19, "")</f>
        <v/>
      </c>
      <c r="AA19" s="53" t="str">
        <f aca="false">IF(AND(AB$3&gt;=$J19, AB$3&lt;$M19), $A19, "")</f>
        <v/>
      </c>
      <c r="AB19" s="53" t="str">
        <f aca="false">IF(AND(AC$3&gt;=$J19, AC$3&lt;$M19), $A19, "")</f>
        <v/>
      </c>
      <c r="AC19" s="53" t="str">
        <f aca="false">IF(AND(AD$3&gt;=$J19, AD$3&lt;$M19), $A19, "")</f>
        <v/>
      </c>
      <c r="AD19" s="53" t="str">
        <f aca="false">IF(AND(AE$3&gt;=$J19, AE$3&lt;$M19), $A19, "")</f>
        <v/>
      </c>
      <c r="AE19" s="53" t="str">
        <f aca="false">IF(AND(AF$3&gt;=$J19, AF$3&lt;$M19), $A19, "")</f>
        <v/>
      </c>
      <c r="AF19" s="53" t="str">
        <f aca="false">IF(AND(AG$3&gt;=$J19, AG$3&lt;$M19), $A19, "")</f>
        <v/>
      </c>
      <c r="AG19" s="53" t="str">
        <f aca="false">IF(AND(AH$3&gt;=$J19, AH$3&lt;$M19), $A19, "")</f>
        <v/>
      </c>
      <c r="AH19" s="53" t="str">
        <f aca="false">IF(AND(AI$3&gt;=$J19, AI$3&lt;$M19), $A19, "")</f>
        <v/>
      </c>
      <c r="AI19" s="53" t="str">
        <f aca="false">IF(AND(AJ$3&gt;=$J19, AJ$3&lt;$M19), $A19, "")</f>
        <v/>
      </c>
      <c r="AJ19" s="53" t="str">
        <f aca="false">IF(AND(AK$3&gt;=$J19, AK$3&lt;$M19), $A19, "")</f>
        <v/>
      </c>
      <c r="AK19" s="53" t="str">
        <f aca="false">IF(AND(AL$3&gt;=$J19, AL$3&lt;$M19), $A19, "")</f>
        <v/>
      </c>
      <c r="AL19" s="53" t="str">
        <f aca="false">IF(AND(AM$3&gt;=$J19, AM$3&lt;$M19), $A19, "")</f>
        <v/>
      </c>
      <c r="AM19" s="53" t="str">
        <f aca="false">IF(AND(AN$3&gt;=$J19, AN$3&lt;$M19), $A19, "")</f>
        <v/>
      </c>
      <c r="AN19" s="53" t="str">
        <f aca="false">IF(AND(AO$3&gt;=$J19, AO$3&lt;$M19), $A19, "")</f>
        <v/>
      </c>
      <c r="AO19" s="53" t="str">
        <f aca="false">IF(AND(AP$3&gt;=$J19, AP$3&lt;$M19), $A19, "")</f>
        <v/>
      </c>
      <c r="AP19" s="53" t="str">
        <f aca="false">IF(AND(AQ$3&gt;=$J19, AQ$3&lt;$M19), $A19, "")</f>
        <v/>
      </c>
      <c r="AQ19" s="53" t="str">
        <f aca="false">IF(AND(AR$3&gt;=$J19, AR$3&lt;$M19), $A19, "")</f>
        <v/>
      </c>
      <c r="AR19" s="53" t="str">
        <f aca="false">IF(AND(AS$3&gt;=$J19, AS$3&lt;$M19), $A19, "")</f>
        <v/>
      </c>
      <c r="AS19" s="53" t="str">
        <f aca="false">IF(AND(AT$3&gt;=$J19, AT$3&lt;$M19), $A19, "")</f>
        <v/>
      </c>
      <c r="AT19" s="53" t="str">
        <f aca="false">IF(AND(AU$3&gt;=$J19, AU$3&lt;$M19), $A19, "")</f>
        <v/>
      </c>
      <c r="AU19" s="53" t="str">
        <f aca="false">IF(AND(AV$3&gt;=$J19, AV$3&lt;$M19), $A19, "")</f>
        <v/>
      </c>
      <c r="AV19" s="53" t="str">
        <f aca="false">IF(AND(AW$3&gt;=$J19, AW$3&lt;$M19), $A19, "")</f>
        <v/>
      </c>
      <c r="AW19" s="53" t="str">
        <f aca="false">IF(AND(AX$3&gt;=$J19, AX$3&lt;$M19), $A19, "")</f>
        <v/>
      </c>
      <c r="AX19" s="53" t="str">
        <f aca="false">IF(AND(AY$3&gt;=$J19, AY$3&lt;$M19), $A19, "")</f>
        <v/>
      </c>
      <c r="AY19" s="53" t="str">
        <f aca="false">IF(AND(AZ$3&gt;=$J19, AZ$3&lt;$M19), $A19, "")</f>
        <v/>
      </c>
      <c r="AZ19" s="53" t="str">
        <f aca="false">IF(AND(BA$3&gt;=$J19, BA$3&lt;$M19), $A19, "")</f>
        <v/>
      </c>
      <c r="BA19" s="53" t="str">
        <f aca="false">IF(AND(BB$3&gt;=$J19, BB$3&lt;$M19), $A19, "")</f>
        <v/>
      </c>
      <c r="BB19" s="53" t="str">
        <f aca="false">IF(AND(BC$3&gt;=$J19, BC$3&lt;$M19), $A19, "")</f>
        <v/>
      </c>
      <c r="BC19" s="53" t="str">
        <f aca="false">IF(AND(BD$3&gt;=$J19, BD$3&lt;$M19), $A19, "")</f>
        <v/>
      </c>
      <c r="BD19" s="53" t="str">
        <f aca="false">IF(AND(BE$3&gt;=$J19, BE$3&lt;$M19), $A19, "")</f>
        <v/>
      </c>
      <c r="BE19" s="53" t="str">
        <f aca="false">IF(AND(BF$3&gt;=$J19, BF$3&lt;$M19), $A19, "")</f>
        <v/>
      </c>
      <c r="BF19" s="53" t="str">
        <f aca="false">IF(AND(BG$3&gt;=$J19, BG$3&lt;$M19), $A19, "")</f>
        <v/>
      </c>
      <c r="BG19" s="53" t="str">
        <f aca="false">IF(AND(BH$3&gt;=$J19, BH$3&lt;$M19), $A19, "")</f>
        <v/>
      </c>
      <c r="BH19" s="53" t="str">
        <f aca="false">IF(AND(BI$3&gt;=$J19, BI$3&lt;$M19), $A19, "")</f>
        <v/>
      </c>
      <c r="BI19" s="53" t="str">
        <f aca="false">IF(AND(BJ$3&gt;=$J19, BJ$3&lt;$M19), $A19, "")</f>
        <v/>
      </c>
      <c r="BJ19" s="53" t="str">
        <f aca="false">IF(AND(BK$3&gt;=$J19, BK$3&lt;$M19), $A19, "")</f>
        <v/>
      </c>
      <c r="BK19" s="53" t="str">
        <f aca="false">IF(AND(BL$3&gt;=$J19, BL$3&lt;$M19), $A19, "")</f>
        <v/>
      </c>
      <c r="BL19" s="53" t="str">
        <f aca="false">IF(AND(BM$3&gt;=$J19, BM$3&lt;$M19), $A19, "")</f>
        <v/>
      </c>
      <c r="BM19" s="53" t="str">
        <f aca="false">IF(AND(BN$3&gt;=$J19, BN$3&lt;$M19), $A19, "")</f>
        <v/>
      </c>
      <c r="BN19" s="1" t="str">
        <f aca="false">IF(AND(BO$3&gt;=$J19, BO$3&lt;$M19), $A19, "")</f>
        <v/>
      </c>
      <c r="BO19" s="1" t="str">
        <f aca="false">IF(AND(BP$3&gt;=$J19, BP$3&lt;$M19), $A19, "")</f>
        <v/>
      </c>
      <c r="BP19" s="1" t="str">
        <f aca="false">IF(AND(BQ$3&gt;=$J19, BQ$3&lt;$M19), $A19, "")</f>
        <v/>
      </c>
    </row>
    <row r="20" customFormat="false" ht="15" hidden="false" customHeight="true" outlineLevel="0" collapsed="false">
      <c r="A20" s="46" t="str">
        <f aca="false">IF(Job_Master!A20="","",Job_Master!A20)</f>
        <v>BJ-118</v>
      </c>
      <c r="B20" s="4" t="n">
        <f aca="false">IF($A20="","",Job_Master!B20)</f>
        <v>28</v>
      </c>
      <c r="C20" s="4" t="str">
        <f aca="false">IF($A20="","",Job_Master!C20)</f>
        <v>SOL</v>
      </c>
      <c r="D20" s="4" t="n">
        <f aca="false">IF($A20="","",Job_Master!D20)</f>
        <v>4</v>
      </c>
      <c r="E20" s="48" t="str">
        <f aca="false">IF($A20="","",IFERROR(INDEX(Machine_List!$B$82:$B$86,MATCH("*"&amp;$B20&amp;"*",Machine_List!$J$82:$J$86,0)),"NO COMPATIBLE MACHINE"))</f>
        <v>QC-MC-01</v>
      </c>
      <c r="F20" s="4" t="str">
        <f aca="false">IF($E20="","",IFERROR(VLOOKUP($E20,Machine_List!$B:$G,6,0),""))</f>
        <v>General Workman</v>
      </c>
      <c r="G20" s="55" t="n">
        <f aca="false">IF($E20="","",IFERROR(VLOOKUP($E20,Machine_List!$B:$C,2,0),""))</f>
        <v>46518</v>
      </c>
      <c r="H20" s="4" t="n">
        <f aca="false">IF($E20="","",IFERROR(VLOOKUP($E20,Machine_List!$B:$D,3,0),""))</f>
        <v>6</v>
      </c>
      <c r="I20" s="56"/>
      <c r="J20" s="57" t="n">
        <f aca="true">IF($A20="","",IF($I20&lt;&gt;"",$I20,MAX(FID_Plan!$M20,IFERROR(LOOKUP(2,1/($E$3:INDIRECT("E"&amp;(ROW()-1))=$E20),$M$3:INDIRECT("M"&amp;(ROW()-1))),FID_Plan!$M20))))</f>
        <v>46297.078042328</v>
      </c>
      <c r="K20" s="4" t="n">
        <f aca="false">IF($A20="","",IFERROR(VLOOKUP(B20,CHOOSE(MATCH(C20,Settings!$L$4:$L$10,0),OPR_2P!$A$4:$I$18,SEG_6P!$A$4:$I$18,SOL_4P!$A$4:$I$18,RW_2P!$A$4:$I$18,RW2_4P!$A$4:$I$18,FLAP_4P!$A$4:$I$18,TUBE_4P!$A$4:$I$18),8,0),0))</f>
        <v>28</v>
      </c>
      <c r="L20" s="4" t="n">
        <f aca="false">IF($A20="","",K20*D20)</f>
        <v>112</v>
      </c>
      <c r="M20" s="57" t="n">
        <f aca="false">IF($A20="","",$J20+($L20/(IF(F20="Contract Workman",Settings!$K$5,Settings!$K$4))))</f>
        <v>46302.2632275132</v>
      </c>
      <c r="N20" s="4" t="str">
        <f aca="false">IF($A20="","",IF(F20="Contract Workman",IF(AND(MOD(M20,1)&gt;=8/24,MOD(M20,1)&lt;20/24),"Shift S1","Shift S2"),IF(AND(MOD(M20,1)&gt;=7/24,MOD(M20,1)&lt;15/24),"Shift A",IF(AND(MOD(M20,1)&gt;=15/24,MOD(M20,1)&lt;23/24),"Shift B","Shift C"))))</f>
        <v>Shift C</v>
      </c>
      <c r="O20" s="52" t="str">
        <f aca="false"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3" t="str">
        <f aca="false">IF(AND(Q$3&gt;=$J20, Q$3&lt;$M20), $A20, "")</f>
        <v/>
      </c>
      <c r="Q20" s="53" t="str">
        <f aca="false">IF(AND(R$3&gt;=$J20, R$3&lt;$M20), $A20, "")</f>
        <v/>
      </c>
      <c r="R20" s="53" t="str">
        <f aca="false">IF(AND(S$3&gt;=$J20, S$3&lt;$M20), $A20, "")</f>
        <v/>
      </c>
      <c r="S20" s="53" t="str">
        <f aca="false">IF(AND(T$3&gt;=$J20, T$3&lt;$M20), $A20, "")</f>
        <v/>
      </c>
      <c r="T20" s="53" t="str">
        <f aca="false">IF(AND(U$3&gt;=$J20, U$3&lt;$M20), $A20, "")</f>
        <v/>
      </c>
      <c r="U20" s="53" t="str">
        <f aca="false">IF(AND(V$3&gt;=$J20, V$3&lt;$M20), $A20, "")</f>
        <v/>
      </c>
      <c r="V20" s="53" t="str">
        <f aca="false">IF(AND(W$3&gt;=$J20, W$3&lt;$M20), $A20, "")</f>
        <v/>
      </c>
      <c r="W20" s="53" t="str">
        <f aca="false">IF(AND(X$3&gt;=$J20, X$3&lt;$M20), $A20, "")</f>
        <v/>
      </c>
      <c r="X20" s="53" t="str">
        <f aca="false">IF(AND(Y$3&gt;=$J20, Y$3&lt;$M20), $A20, "")</f>
        <v/>
      </c>
      <c r="Y20" s="53" t="str">
        <f aca="false">IF(AND(Z$3&gt;=$J20, Z$3&lt;$M20), $A20, "")</f>
        <v/>
      </c>
      <c r="Z20" s="53" t="str">
        <f aca="false">IF(AND(AA$3&gt;=$J20, AA$3&lt;$M20), $A20, "")</f>
        <v/>
      </c>
      <c r="AA20" s="53" t="str">
        <f aca="false">IF(AND(AB$3&gt;=$J20, AB$3&lt;$M20), $A20, "")</f>
        <v/>
      </c>
      <c r="AB20" s="53" t="str">
        <f aca="false">IF(AND(AC$3&gt;=$J20, AC$3&lt;$M20), $A20, "")</f>
        <v/>
      </c>
      <c r="AC20" s="53" t="str">
        <f aca="false">IF(AND(AD$3&gt;=$J20, AD$3&lt;$M20), $A20, "")</f>
        <v/>
      </c>
      <c r="AD20" s="53" t="str">
        <f aca="false">IF(AND(AE$3&gt;=$J20, AE$3&lt;$M20), $A20, "")</f>
        <v/>
      </c>
      <c r="AE20" s="53" t="str">
        <f aca="false">IF(AND(AF$3&gt;=$J20, AF$3&lt;$M20), $A20, "")</f>
        <v/>
      </c>
      <c r="AF20" s="53" t="str">
        <f aca="false">IF(AND(AG$3&gt;=$J20, AG$3&lt;$M20), $A20, "")</f>
        <v/>
      </c>
      <c r="AG20" s="53" t="str">
        <f aca="false">IF(AND(AH$3&gt;=$J20, AH$3&lt;$M20), $A20, "")</f>
        <v/>
      </c>
      <c r="AH20" s="53" t="str">
        <f aca="false">IF(AND(AI$3&gt;=$J20, AI$3&lt;$M20), $A20, "")</f>
        <v/>
      </c>
      <c r="AI20" s="53" t="str">
        <f aca="false">IF(AND(AJ$3&gt;=$J20, AJ$3&lt;$M20), $A20, "")</f>
        <v/>
      </c>
      <c r="AJ20" s="53" t="str">
        <f aca="false">IF(AND(AK$3&gt;=$J20, AK$3&lt;$M20), $A20, "")</f>
        <v/>
      </c>
      <c r="AK20" s="53" t="str">
        <f aca="false">IF(AND(AL$3&gt;=$J20, AL$3&lt;$M20), $A20, "")</f>
        <v/>
      </c>
      <c r="AL20" s="53" t="str">
        <f aca="false">IF(AND(AM$3&gt;=$J20, AM$3&lt;$M20), $A20, "")</f>
        <v/>
      </c>
      <c r="AM20" s="53" t="str">
        <f aca="false">IF(AND(AN$3&gt;=$J20, AN$3&lt;$M20), $A20, "")</f>
        <v/>
      </c>
      <c r="AN20" s="53" t="str">
        <f aca="false">IF(AND(AO$3&gt;=$J20, AO$3&lt;$M20), $A20, "")</f>
        <v/>
      </c>
      <c r="AO20" s="53" t="str">
        <f aca="false">IF(AND(AP$3&gt;=$J20, AP$3&lt;$M20), $A20, "")</f>
        <v/>
      </c>
      <c r="AP20" s="53" t="str">
        <f aca="false">IF(AND(AQ$3&gt;=$J20, AQ$3&lt;$M20), $A20, "")</f>
        <v/>
      </c>
      <c r="AQ20" s="53" t="str">
        <f aca="false">IF(AND(AR$3&gt;=$J20, AR$3&lt;$M20), $A20, "")</f>
        <v/>
      </c>
      <c r="AR20" s="53" t="str">
        <f aca="false">IF(AND(AS$3&gt;=$J20, AS$3&lt;$M20), $A20, "")</f>
        <v/>
      </c>
      <c r="AS20" s="53" t="str">
        <f aca="false">IF(AND(AT$3&gt;=$J20, AT$3&lt;$M20), $A20, "")</f>
        <v/>
      </c>
      <c r="AT20" s="53" t="str">
        <f aca="false">IF(AND(AU$3&gt;=$J20, AU$3&lt;$M20), $A20, "")</f>
        <v/>
      </c>
      <c r="AU20" s="53" t="str">
        <f aca="false">IF(AND(AV$3&gt;=$J20, AV$3&lt;$M20), $A20, "")</f>
        <v/>
      </c>
      <c r="AV20" s="53" t="str">
        <f aca="false">IF(AND(AW$3&gt;=$J20, AW$3&lt;$M20), $A20, "")</f>
        <v/>
      </c>
      <c r="AW20" s="53" t="str">
        <f aca="false">IF(AND(AX$3&gt;=$J20, AX$3&lt;$M20), $A20, "")</f>
        <v/>
      </c>
      <c r="AX20" s="53" t="str">
        <f aca="false">IF(AND(AY$3&gt;=$J20, AY$3&lt;$M20), $A20, "")</f>
        <v/>
      </c>
      <c r="AY20" s="53" t="str">
        <f aca="false">IF(AND(AZ$3&gt;=$J20, AZ$3&lt;$M20), $A20, "")</f>
        <v/>
      </c>
      <c r="AZ20" s="53" t="str">
        <f aca="false">IF(AND(BA$3&gt;=$J20, BA$3&lt;$M20), $A20, "")</f>
        <v/>
      </c>
      <c r="BA20" s="53" t="str">
        <f aca="false">IF(AND(BB$3&gt;=$J20, BB$3&lt;$M20), $A20, "")</f>
        <v/>
      </c>
      <c r="BB20" s="53" t="str">
        <f aca="false">IF(AND(BC$3&gt;=$J20, BC$3&lt;$M20), $A20, "")</f>
        <v/>
      </c>
      <c r="BC20" s="53" t="str">
        <f aca="false">IF(AND(BD$3&gt;=$J20, BD$3&lt;$M20), $A20, "")</f>
        <v/>
      </c>
      <c r="BD20" s="53" t="str">
        <f aca="false">IF(AND(BE$3&gt;=$J20, BE$3&lt;$M20), $A20, "")</f>
        <v/>
      </c>
      <c r="BE20" s="53" t="str">
        <f aca="false">IF(AND(BF$3&gt;=$J20, BF$3&lt;$M20), $A20, "")</f>
        <v/>
      </c>
      <c r="BF20" s="53" t="str">
        <f aca="false">IF(AND(BG$3&gt;=$J20, BG$3&lt;$M20), $A20, "")</f>
        <v/>
      </c>
      <c r="BG20" s="53" t="str">
        <f aca="false">IF(AND(BH$3&gt;=$J20, BH$3&lt;$M20), $A20, "")</f>
        <v/>
      </c>
      <c r="BH20" s="53" t="str">
        <f aca="false">IF(AND(BI$3&gt;=$J20, BI$3&lt;$M20), $A20, "")</f>
        <v/>
      </c>
      <c r="BI20" s="53" t="str">
        <f aca="false">IF(AND(BJ$3&gt;=$J20, BJ$3&lt;$M20), $A20, "")</f>
        <v/>
      </c>
      <c r="BJ20" s="53" t="str">
        <f aca="false">IF(AND(BK$3&gt;=$J20, BK$3&lt;$M20), $A20, "")</f>
        <v/>
      </c>
      <c r="BK20" s="53" t="str">
        <f aca="false">IF(AND(BL$3&gt;=$J20, BL$3&lt;$M20), $A20, "")</f>
        <v/>
      </c>
      <c r="BL20" s="53" t="str">
        <f aca="false">IF(AND(BM$3&gt;=$J20, BM$3&lt;$M20), $A20, "")</f>
        <v/>
      </c>
      <c r="BM20" s="53" t="str">
        <f aca="false">IF(AND(BN$3&gt;=$J20, BN$3&lt;$M20), $A20, "")</f>
        <v/>
      </c>
      <c r="BN20" s="1" t="str">
        <f aca="false">IF(AND(BO$3&gt;=$J20, BO$3&lt;$M20), $A20, "")</f>
        <v/>
      </c>
      <c r="BO20" s="1" t="str">
        <f aca="false">IF(AND(BP$3&gt;=$J20, BP$3&lt;$M20), $A20, "")</f>
        <v/>
      </c>
      <c r="BP20" s="1" t="str">
        <f aca="false">IF(AND(BQ$3&gt;=$J20, BQ$3&lt;$M20), $A20, "")</f>
        <v/>
      </c>
    </row>
    <row r="21" customFormat="false" ht="15" hidden="false" customHeight="true" outlineLevel="0" collapsed="false">
      <c r="A21" s="46" t="str">
        <f aca="false">IF(Job_Master!A21="","",Job_Master!A21)</f>
        <v>BJ-119</v>
      </c>
      <c r="B21" s="4" t="n">
        <f aca="false">IF($A21="","",Job_Master!B21)</f>
        <v>63</v>
      </c>
      <c r="C21" s="4" t="str">
        <f aca="false">IF($A21="","",Job_Master!C21)</f>
        <v>SOL</v>
      </c>
      <c r="D21" s="4" t="n">
        <f aca="false">IF($A21="","",Job_Master!D21)</f>
        <v>4</v>
      </c>
      <c r="E21" s="48" t="str">
        <f aca="false">IF($A21="","",IFERROR(INDEX(Machine_List!$B$82:$B$86,MATCH("*"&amp;$B21&amp;"*",Machine_List!$J$82:$J$86,0)),"NO COMPATIBLE MACHINE"))</f>
        <v>QC-MC-01</v>
      </c>
      <c r="F21" s="4" t="str">
        <f aca="false">IF($E21="","",IFERROR(VLOOKUP($E21,Machine_List!$B:$G,6,0),""))</f>
        <v>General Workman</v>
      </c>
      <c r="G21" s="55" t="n">
        <f aca="false">IF($E21="","",IFERROR(VLOOKUP($E21,Machine_List!$B:$C,2,0),""))</f>
        <v>46518</v>
      </c>
      <c r="H21" s="4" t="n">
        <f aca="false">IF($E21="","",IFERROR(VLOOKUP($E21,Machine_List!$B:$D,3,0),""))</f>
        <v>6</v>
      </c>
      <c r="I21" s="56"/>
      <c r="J21" s="57" t="n">
        <f aca="true">IF($A21="","",IF($I21&lt;&gt;"",$I21,MAX(FID_Plan!$M21,IFERROR(LOOKUP(2,1/($E$3:INDIRECT("E"&amp;(ROW()-1))=$E21),$M$3:INDIRECT("M"&amp;(ROW()-1))),FID_Plan!$M21))))</f>
        <v>46315.5072751323</v>
      </c>
      <c r="K21" s="4" t="n">
        <f aca="false">IF($A21="","",IFERROR(VLOOKUP(B21,CHOOSE(MATCH(C21,Settings!$L$4:$L$10,0),OPR_2P!$A$4:$I$18,SEG_6P!$A$4:$I$18,SOL_4P!$A$4:$I$18,RW_2P!$A$4:$I$18,RW2_4P!$A$4:$I$18,FLAP_4P!$A$4:$I$18,TUBE_4P!$A$4:$I$18),8,0),0))</f>
        <v>77</v>
      </c>
      <c r="L21" s="4" t="n">
        <f aca="false">IF($A21="","",K21*D21)</f>
        <v>308</v>
      </c>
      <c r="M21" s="57" t="n">
        <f aca="false">IF($A21="","",$J21+($L21/(IF(F21="Contract Workman",Settings!$K$5,Settings!$K$4))))</f>
        <v>46329.7665343915</v>
      </c>
      <c r="N21" s="4" t="str">
        <f aca="false">IF($A21="","",IF(F21="Contract Workman",IF(AND(MOD(M21,1)&gt;=8/24,MOD(M21,1)&lt;20/24),"Shift S1","Shift S2"),IF(AND(MOD(M21,1)&gt;=7/24,MOD(M21,1)&lt;15/24),"Shift A",IF(AND(MOD(M21,1)&gt;=15/24,MOD(M21,1)&lt;23/24),"Shift B","Shift C"))))</f>
        <v>Shift B</v>
      </c>
      <c r="O21" s="52" t="str">
        <f aca="false"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3" t="str">
        <f aca="false">IF(AND(Q$3&gt;=$J21, Q$3&lt;$M21), $A21, "")</f>
        <v/>
      </c>
      <c r="Q21" s="53" t="str">
        <f aca="false">IF(AND(R$3&gt;=$J21, R$3&lt;$M21), $A21, "")</f>
        <v/>
      </c>
      <c r="R21" s="53" t="str">
        <f aca="false">IF(AND(S$3&gt;=$J21, S$3&lt;$M21), $A21, "")</f>
        <v/>
      </c>
      <c r="S21" s="53" t="str">
        <f aca="false">IF(AND(T$3&gt;=$J21, T$3&lt;$M21), $A21, "")</f>
        <v/>
      </c>
      <c r="T21" s="53" t="str">
        <f aca="false">IF(AND(U$3&gt;=$J21, U$3&lt;$M21), $A21, "")</f>
        <v/>
      </c>
      <c r="U21" s="53" t="str">
        <f aca="false">IF(AND(V$3&gt;=$J21, V$3&lt;$M21), $A21, "")</f>
        <v/>
      </c>
      <c r="V21" s="53" t="str">
        <f aca="false">IF(AND(W$3&gt;=$J21, W$3&lt;$M21), $A21, "")</f>
        <v/>
      </c>
      <c r="W21" s="53" t="str">
        <f aca="false">IF(AND(X$3&gt;=$J21, X$3&lt;$M21), $A21, "")</f>
        <v/>
      </c>
      <c r="X21" s="53" t="str">
        <f aca="false">IF(AND(Y$3&gt;=$J21, Y$3&lt;$M21), $A21, "")</f>
        <v/>
      </c>
      <c r="Y21" s="53" t="str">
        <f aca="false">IF(AND(Z$3&gt;=$J21, Z$3&lt;$M21), $A21, "")</f>
        <v/>
      </c>
      <c r="Z21" s="53" t="str">
        <f aca="false">IF(AND(AA$3&gt;=$J21, AA$3&lt;$M21), $A21, "")</f>
        <v/>
      </c>
      <c r="AA21" s="53" t="str">
        <f aca="false">IF(AND(AB$3&gt;=$J21, AB$3&lt;$M21), $A21, "")</f>
        <v/>
      </c>
      <c r="AB21" s="53" t="str">
        <f aca="false">IF(AND(AC$3&gt;=$J21, AC$3&lt;$M21), $A21, "")</f>
        <v/>
      </c>
      <c r="AC21" s="53" t="str">
        <f aca="false">IF(AND(AD$3&gt;=$J21, AD$3&lt;$M21), $A21, "")</f>
        <v/>
      </c>
      <c r="AD21" s="53" t="str">
        <f aca="false">IF(AND(AE$3&gt;=$J21, AE$3&lt;$M21), $A21, "")</f>
        <v/>
      </c>
      <c r="AE21" s="53" t="str">
        <f aca="false">IF(AND(AF$3&gt;=$J21, AF$3&lt;$M21), $A21, "")</f>
        <v/>
      </c>
      <c r="AF21" s="53" t="str">
        <f aca="false">IF(AND(AG$3&gt;=$J21, AG$3&lt;$M21), $A21, "")</f>
        <v/>
      </c>
      <c r="AG21" s="53" t="str">
        <f aca="false">IF(AND(AH$3&gt;=$J21, AH$3&lt;$M21), $A21, "")</f>
        <v/>
      </c>
      <c r="AH21" s="53" t="str">
        <f aca="false">IF(AND(AI$3&gt;=$J21, AI$3&lt;$M21), $A21, "")</f>
        <v/>
      </c>
      <c r="AI21" s="53" t="str">
        <f aca="false">IF(AND(AJ$3&gt;=$J21, AJ$3&lt;$M21), $A21, "")</f>
        <v/>
      </c>
      <c r="AJ21" s="53" t="str">
        <f aca="false">IF(AND(AK$3&gt;=$J21, AK$3&lt;$M21), $A21, "")</f>
        <v/>
      </c>
      <c r="AK21" s="53" t="str">
        <f aca="false">IF(AND(AL$3&gt;=$J21, AL$3&lt;$M21), $A21, "")</f>
        <v/>
      </c>
      <c r="AL21" s="53" t="str">
        <f aca="false">IF(AND(AM$3&gt;=$J21, AM$3&lt;$M21), $A21, "")</f>
        <v/>
      </c>
      <c r="AM21" s="53" t="str">
        <f aca="false">IF(AND(AN$3&gt;=$J21, AN$3&lt;$M21), $A21, "")</f>
        <v/>
      </c>
      <c r="AN21" s="53" t="str">
        <f aca="false">IF(AND(AO$3&gt;=$J21, AO$3&lt;$M21), $A21, "")</f>
        <v/>
      </c>
      <c r="AO21" s="53" t="str">
        <f aca="false">IF(AND(AP$3&gt;=$J21, AP$3&lt;$M21), $A21, "")</f>
        <v/>
      </c>
      <c r="AP21" s="53" t="str">
        <f aca="false">IF(AND(AQ$3&gt;=$J21, AQ$3&lt;$M21), $A21, "")</f>
        <v/>
      </c>
      <c r="AQ21" s="53" t="str">
        <f aca="false">IF(AND(AR$3&gt;=$J21, AR$3&lt;$M21), $A21, "")</f>
        <v/>
      </c>
      <c r="AR21" s="53" t="str">
        <f aca="false">IF(AND(AS$3&gt;=$J21, AS$3&lt;$M21), $A21, "")</f>
        <v/>
      </c>
      <c r="AS21" s="53" t="str">
        <f aca="false">IF(AND(AT$3&gt;=$J21, AT$3&lt;$M21), $A21, "")</f>
        <v/>
      </c>
      <c r="AT21" s="53" t="str">
        <f aca="false">IF(AND(AU$3&gt;=$J21, AU$3&lt;$M21), $A21, "")</f>
        <v/>
      </c>
      <c r="AU21" s="53" t="str">
        <f aca="false">IF(AND(AV$3&gt;=$J21, AV$3&lt;$M21), $A21, "")</f>
        <v/>
      </c>
      <c r="AV21" s="53" t="str">
        <f aca="false">IF(AND(AW$3&gt;=$J21, AW$3&lt;$M21), $A21, "")</f>
        <v/>
      </c>
      <c r="AW21" s="53" t="str">
        <f aca="false">IF(AND(AX$3&gt;=$J21, AX$3&lt;$M21), $A21, "")</f>
        <v/>
      </c>
      <c r="AX21" s="53" t="str">
        <f aca="false">IF(AND(AY$3&gt;=$J21, AY$3&lt;$M21), $A21, "")</f>
        <v/>
      </c>
      <c r="AY21" s="53" t="str">
        <f aca="false">IF(AND(AZ$3&gt;=$J21, AZ$3&lt;$M21), $A21, "")</f>
        <v/>
      </c>
      <c r="AZ21" s="53" t="str">
        <f aca="false">IF(AND(BA$3&gt;=$J21, BA$3&lt;$M21), $A21, "")</f>
        <v/>
      </c>
      <c r="BA21" s="53" t="str">
        <f aca="false">IF(AND(BB$3&gt;=$J21, BB$3&lt;$M21), $A21, "")</f>
        <v/>
      </c>
      <c r="BB21" s="53" t="str">
        <f aca="false">IF(AND(BC$3&gt;=$J21, BC$3&lt;$M21), $A21, "")</f>
        <v/>
      </c>
      <c r="BC21" s="53" t="str">
        <f aca="false">IF(AND(BD$3&gt;=$J21, BD$3&lt;$M21), $A21, "")</f>
        <v/>
      </c>
      <c r="BD21" s="53" t="str">
        <f aca="false">IF(AND(BE$3&gt;=$J21, BE$3&lt;$M21), $A21, "")</f>
        <v/>
      </c>
      <c r="BE21" s="53" t="str">
        <f aca="false">IF(AND(BF$3&gt;=$J21, BF$3&lt;$M21), $A21, "")</f>
        <v/>
      </c>
      <c r="BF21" s="53" t="str">
        <f aca="false">IF(AND(BG$3&gt;=$J21, BG$3&lt;$M21), $A21, "")</f>
        <v/>
      </c>
      <c r="BG21" s="53" t="str">
        <f aca="false">IF(AND(BH$3&gt;=$J21, BH$3&lt;$M21), $A21, "")</f>
        <v/>
      </c>
      <c r="BH21" s="53" t="str">
        <f aca="false">IF(AND(BI$3&gt;=$J21, BI$3&lt;$M21), $A21, "")</f>
        <v/>
      </c>
      <c r="BI21" s="53" t="str">
        <f aca="false">IF(AND(BJ$3&gt;=$J21, BJ$3&lt;$M21), $A21, "")</f>
        <v/>
      </c>
      <c r="BJ21" s="53" t="str">
        <f aca="false">IF(AND(BK$3&gt;=$J21, BK$3&lt;$M21), $A21, "")</f>
        <v/>
      </c>
      <c r="BK21" s="53" t="str">
        <f aca="false">IF(AND(BL$3&gt;=$J21, BL$3&lt;$M21), $A21, "")</f>
        <v/>
      </c>
      <c r="BL21" s="53" t="str">
        <f aca="false">IF(AND(BM$3&gt;=$J21, BM$3&lt;$M21), $A21, "")</f>
        <v/>
      </c>
      <c r="BM21" s="53" t="str">
        <f aca="false">IF(AND(BN$3&gt;=$J21, BN$3&lt;$M21), $A21, "")</f>
        <v/>
      </c>
      <c r="BN21" s="1" t="str">
        <f aca="false">IF(AND(BO$3&gt;=$J21, BO$3&lt;$M21), $A21, "")</f>
        <v/>
      </c>
      <c r="BO21" s="1" t="str">
        <f aca="false">IF(AND(BP$3&gt;=$J21, BP$3&lt;$M21), $A21, "")</f>
        <v/>
      </c>
      <c r="BP21" s="1" t="str">
        <f aca="false">IF(AND(BQ$3&gt;=$J21, BQ$3&lt;$M21), $A21, "")</f>
        <v/>
      </c>
    </row>
    <row r="22" customFormat="false" ht="15" hidden="false" customHeight="true" outlineLevel="0" collapsed="false">
      <c r="A22" s="46" t="str">
        <f aca="false">IF(Job_Master!A22="","",Job_Master!A22)</f>
        <v>BJ-120</v>
      </c>
      <c r="B22" s="4" t="n">
        <f aca="false">IF($A22="","",Job_Master!B22)</f>
        <v>46</v>
      </c>
      <c r="C22" s="4" t="str">
        <f aca="false">IF($A22="","",Job_Master!C22)</f>
        <v>2P</v>
      </c>
      <c r="D22" s="4" t="n">
        <f aca="false">IF($A22="","",Job_Master!D22)</f>
        <v>2</v>
      </c>
      <c r="E22" s="48" t="str">
        <f aca="false">IF($A22="","",IFERROR(INDEX(Machine_List!$B$82:$B$86,MATCH("*"&amp;$B22&amp;"*",Machine_List!$J$82:$J$86,0)),"NO COMPATIBLE MACHINE"))</f>
        <v>QC-MC-01</v>
      </c>
      <c r="F22" s="4" t="str">
        <f aca="false">IF($E22="","",IFERROR(VLOOKUP($E22,Machine_List!$B:$G,6,0),""))</f>
        <v>General Workman</v>
      </c>
      <c r="G22" s="55" t="n">
        <f aca="false">IF($E22="","",IFERROR(VLOOKUP($E22,Machine_List!$B:$C,2,0),""))</f>
        <v>46518</v>
      </c>
      <c r="H22" s="4" t="n">
        <f aca="false">IF($E22="","",IFERROR(VLOOKUP($E22,Machine_List!$B:$D,3,0),""))</f>
        <v>6</v>
      </c>
      <c r="I22" s="56"/>
      <c r="J22" s="57" t="n">
        <f aca="true">IF($A22="","",IF($I22&lt;&gt;"",$I22,MAX(FID_Plan!$M22,IFERROR(LOOKUP(2,1/($E$3:INDIRECT("E"&amp;(ROW()-1))=$E22),$M$3:INDIRECT("M"&amp;(ROW()-1))),FID_Plan!$M22))))</f>
        <v>46329.7665343915</v>
      </c>
      <c r="K22" s="4" t="n">
        <f aca="false">IF($A22="","",IFERROR(VLOOKUP(B22,CHOOSE(MATCH(C22,Settings!$L$4:$L$10,0),OPR_2P!$A$4:$I$18,SEG_6P!$A$4:$I$18,SOL_4P!$A$4:$I$18,RW_2P!$A$4:$I$18,RW2_4P!$A$4:$I$18,FLAP_4P!$A$4:$I$18,TUBE_4P!$A$4:$I$18),8,0),0))</f>
        <v>35</v>
      </c>
      <c r="L22" s="4" t="n">
        <f aca="false">IF($A22="","",K22*D22)</f>
        <v>70</v>
      </c>
      <c r="M22" s="57" t="n">
        <f aca="false">IF($A22="","",$J22+($L22/(IF(F22="Contract Workman",Settings!$K$5,Settings!$K$4))))</f>
        <v>46333.0072751323</v>
      </c>
      <c r="N22" s="4" t="str">
        <f aca="false">IF($A22="","",IF(F22="Contract Workman",IF(AND(MOD(M22,1)&gt;=8/24,MOD(M22,1)&lt;20/24),"Shift S1","Shift S2"),IF(AND(MOD(M22,1)&gt;=7/24,MOD(M22,1)&lt;15/24),"Shift A",IF(AND(MOD(M22,1)&gt;=15/24,MOD(M22,1)&lt;23/24),"Shift B","Shift C"))))</f>
        <v>Shift C</v>
      </c>
      <c r="O22" s="52" t="str">
        <f aca="false"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3" t="str">
        <f aca="false">IF(AND(Q$3&gt;=$J22, Q$3&lt;$M22), $A22, "")</f>
        <v/>
      </c>
      <c r="Q22" s="53" t="str">
        <f aca="false">IF(AND(R$3&gt;=$J22, R$3&lt;$M22), $A22, "")</f>
        <v/>
      </c>
      <c r="R22" s="53" t="str">
        <f aca="false">IF(AND(S$3&gt;=$J22, S$3&lt;$M22), $A22, "")</f>
        <v/>
      </c>
      <c r="S22" s="53" t="str">
        <f aca="false">IF(AND(T$3&gt;=$J22, T$3&lt;$M22), $A22, "")</f>
        <v/>
      </c>
      <c r="T22" s="53" t="str">
        <f aca="false">IF(AND(U$3&gt;=$J22, U$3&lt;$M22), $A22, "")</f>
        <v/>
      </c>
      <c r="U22" s="53" t="str">
        <f aca="false">IF(AND(V$3&gt;=$J22, V$3&lt;$M22), $A22, "")</f>
        <v/>
      </c>
      <c r="V22" s="53" t="str">
        <f aca="false">IF(AND(W$3&gt;=$J22, W$3&lt;$M22), $A22, "")</f>
        <v/>
      </c>
      <c r="W22" s="53" t="str">
        <f aca="false">IF(AND(X$3&gt;=$J22, X$3&lt;$M22), $A22, "")</f>
        <v/>
      </c>
      <c r="X22" s="53" t="str">
        <f aca="false">IF(AND(Y$3&gt;=$J22, Y$3&lt;$M22), $A22, "")</f>
        <v/>
      </c>
      <c r="Y22" s="53" t="str">
        <f aca="false">IF(AND(Z$3&gt;=$J22, Z$3&lt;$M22), $A22, "")</f>
        <v/>
      </c>
      <c r="Z22" s="53" t="str">
        <f aca="false">IF(AND(AA$3&gt;=$J22, AA$3&lt;$M22), $A22, "")</f>
        <v/>
      </c>
      <c r="AA22" s="53" t="str">
        <f aca="false">IF(AND(AB$3&gt;=$J22, AB$3&lt;$M22), $A22, "")</f>
        <v/>
      </c>
      <c r="AB22" s="53" t="str">
        <f aca="false">IF(AND(AC$3&gt;=$J22, AC$3&lt;$M22), $A22, "")</f>
        <v/>
      </c>
      <c r="AC22" s="53" t="str">
        <f aca="false">IF(AND(AD$3&gt;=$J22, AD$3&lt;$M22), $A22, "")</f>
        <v/>
      </c>
      <c r="AD22" s="53" t="str">
        <f aca="false">IF(AND(AE$3&gt;=$J22, AE$3&lt;$M22), $A22, "")</f>
        <v/>
      </c>
      <c r="AE22" s="53" t="str">
        <f aca="false">IF(AND(AF$3&gt;=$J22, AF$3&lt;$M22), $A22, "")</f>
        <v/>
      </c>
      <c r="AF22" s="53" t="str">
        <f aca="false">IF(AND(AG$3&gt;=$J22, AG$3&lt;$M22), $A22, "")</f>
        <v/>
      </c>
      <c r="AG22" s="53" t="str">
        <f aca="false">IF(AND(AH$3&gt;=$J22, AH$3&lt;$M22), $A22, "")</f>
        <v/>
      </c>
      <c r="AH22" s="53" t="str">
        <f aca="false">IF(AND(AI$3&gt;=$J22, AI$3&lt;$M22), $A22, "")</f>
        <v/>
      </c>
      <c r="AI22" s="53" t="str">
        <f aca="false">IF(AND(AJ$3&gt;=$J22, AJ$3&lt;$M22), $A22, "")</f>
        <v/>
      </c>
      <c r="AJ22" s="53" t="str">
        <f aca="false">IF(AND(AK$3&gt;=$J22, AK$3&lt;$M22), $A22, "")</f>
        <v/>
      </c>
      <c r="AK22" s="53" t="str">
        <f aca="false">IF(AND(AL$3&gt;=$J22, AL$3&lt;$M22), $A22, "")</f>
        <v/>
      </c>
      <c r="AL22" s="53" t="str">
        <f aca="false">IF(AND(AM$3&gt;=$J22, AM$3&lt;$M22), $A22, "")</f>
        <v/>
      </c>
      <c r="AM22" s="53" t="str">
        <f aca="false">IF(AND(AN$3&gt;=$J22, AN$3&lt;$M22), $A22, "")</f>
        <v/>
      </c>
      <c r="AN22" s="53" t="str">
        <f aca="false">IF(AND(AO$3&gt;=$J22, AO$3&lt;$M22), $A22, "")</f>
        <v/>
      </c>
      <c r="AO22" s="53" t="str">
        <f aca="false">IF(AND(AP$3&gt;=$J22, AP$3&lt;$M22), $A22, "")</f>
        <v/>
      </c>
      <c r="AP22" s="53" t="str">
        <f aca="false">IF(AND(AQ$3&gt;=$J22, AQ$3&lt;$M22), $A22, "")</f>
        <v/>
      </c>
      <c r="AQ22" s="53" t="str">
        <f aca="false">IF(AND(AR$3&gt;=$J22, AR$3&lt;$M22), $A22, "")</f>
        <v/>
      </c>
      <c r="AR22" s="53" t="str">
        <f aca="false">IF(AND(AS$3&gt;=$J22, AS$3&lt;$M22), $A22, "")</f>
        <v/>
      </c>
      <c r="AS22" s="53" t="str">
        <f aca="false">IF(AND(AT$3&gt;=$J22, AT$3&lt;$M22), $A22, "")</f>
        <v/>
      </c>
      <c r="AT22" s="53" t="str">
        <f aca="false">IF(AND(AU$3&gt;=$J22, AU$3&lt;$M22), $A22, "")</f>
        <v/>
      </c>
      <c r="AU22" s="53" t="str">
        <f aca="false">IF(AND(AV$3&gt;=$J22, AV$3&lt;$M22), $A22, "")</f>
        <v/>
      </c>
      <c r="AV22" s="53" t="str">
        <f aca="false">IF(AND(AW$3&gt;=$J22, AW$3&lt;$M22), $A22, "")</f>
        <v/>
      </c>
      <c r="AW22" s="53" t="str">
        <f aca="false">IF(AND(AX$3&gt;=$J22, AX$3&lt;$M22), $A22, "")</f>
        <v/>
      </c>
      <c r="AX22" s="53" t="str">
        <f aca="false">IF(AND(AY$3&gt;=$J22, AY$3&lt;$M22), $A22, "")</f>
        <v/>
      </c>
      <c r="AY22" s="53" t="str">
        <f aca="false">IF(AND(AZ$3&gt;=$J22, AZ$3&lt;$M22), $A22, "")</f>
        <v/>
      </c>
      <c r="AZ22" s="53" t="str">
        <f aca="false">IF(AND(BA$3&gt;=$J22, BA$3&lt;$M22), $A22, "")</f>
        <v/>
      </c>
      <c r="BA22" s="53" t="str">
        <f aca="false">IF(AND(BB$3&gt;=$J22, BB$3&lt;$M22), $A22, "")</f>
        <v/>
      </c>
      <c r="BB22" s="53" t="str">
        <f aca="false">IF(AND(BC$3&gt;=$J22, BC$3&lt;$M22), $A22, "")</f>
        <v/>
      </c>
      <c r="BC22" s="53" t="str">
        <f aca="false">IF(AND(BD$3&gt;=$J22, BD$3&lt;$M22), $A22, "")</f>
        <v/>
      </c>
      <c r="BD22" s="53" t="str">
        <f aca="false">IF(AND(BE$3&gt;=$J22, BE$3&lt;$M22), $A22, "")</f>
        <v/>
      </c>
      <c r="BE22" s="53" t="str">
        <f aca="false">IF(AND(BF$3&gt;=$J22, BF$3&lt;$M22), $A22, "")</f>
        <v/>
      </c>
      <c r="BF22" s="53" t="str">
        <f aca="false">IF(AND(BG$3&gt;=$J22, BG$3&lt;$M22), $A22, "")</f>
        <v/>
      </c>
      <c r="BG22" s="53" t="str">
        <f aca="false">IF(AND(BH$3&gt;=$J22, BH$3&lt;$M22), $A22, "")</f>
        <v/>
      </c>
      <c r="BH22" s="53" t="str">
        <f aca="false">IF(AND(BI$3&gt;=$J22, BI$3&lt;$M22), $A22, "")</f>
        <v/>
      </c>
      <c r="BI22" s="53" t="str">
        <f aca="false">IF(AND(BJ$3&gt;=$J22, BJ$3&lt;$M22), $A22, "")</f>
        <v/>
      </c>
      <c r="BJ22" s="53" t="str">
        <f aca="false">IF(AND(BK$3&gt;=$J22, BK$3&lt;$M22), $A22, "")</f>
        <v/>
      </c>
      <c r="BK22" s="53" t="str">
        <f aca="false">IF(AND(BL$3&gt;=$J22, BL$3&lt;$M22), $A22, "")</f>
        <v/>
      </c>
      <c r="BL22" s="53" t="str">
        <f aca="false">IF(AND(BM$3&gt;=$J22, BM$3&lt;$M22), $A22, "")</f>
        <v/>
      </c>
      <c r="BM22" s="53" t="str">
        <f aca="false">IF(AND(BN$3&gt;=$J22, BN$3&lt;$M22), $A22, "")</f>
        <v/>
      </c>
      <c r="BN22" s="1" t="str">
        <f aca="false">IF(AND(BO$3&gt;=$J22, BO$3&lt;$M22), $A22, "")</f>
        <v/>
      </c>
      <c r="BO22" s="1" t="str">
        <f aca="false">IF(AND(BP$3&gt;=$J22, BP$3&lt;$M22), $A22, "")</f>
        <v/>
      </c>
      <c r="BP22" s="1" t="str">
        <f aca="false">IF(AND(BQ$3&gt;=$J22, BQ$3&lt;$M22), $A22, "")</f>
        <v/>
      </c>
    </row>
    <row r="23" customFormat="false" ht="15" hidden="false" customHeight="true" outlineLevel="0" collapsed="false">
      <c r="A23" s="46" t="str">
        <f aca="false">IF(Job_Master!A23="","",Job_Master!A23)</f>
        <v>BJ-113</v>
      </c>
      <c r="B23" s="4" t="n">
        <f aca="false">IF($A23="","",Job_Master!B23)</f>
        <v>9</v>
      </c>
      <c r="C23" s="4" t="str">
        <f aca="false">IF($A23="","",Job_Master!C23)</f>
        <v>SEG</v>
      </c>
      <c r="D23" s="4" t="n">
        <f aca="false">IF($A23="","",Job_Master!D23)</f>
        <v>6</v>
      </c>
      <c r="E23" s="48" t="str">
        <f aca="false">IF($A23="","",IFERROR(INDEX(Machine_List!$B$82:$B$86,MATCH("*"&amp;$B23&amp;"*",Machine_List!$J$82:$J$86,0)),"NO COMPATIBLE MACHINE"))</f>
        <v>QC-MC-01</v>
      </c>
      <c r="F23" s="4" t="str">
        <f aca="false">IF($E23="","",IFERROR(VLOOKUP($E23,Machine_List!$B:$G,6,0),""))</f>
        <v>General Workman</v>
      </c>
      <c r="G23" s="55" t="n">
        <f aca="false">IF($E23="","",IFERROR(VLOOKUP($E23,Machine_List!$B:$C,2,0),""))</f>
        <v>46518</v>
      </c>
      <c r="H23" s="4" t="n">
        <f aca="false">IF($E23="","",IFERROR(VLOOKUP($E23,Machine_List!$B:$D,3,0),""))</f>
        <v>6</v>
      </c>
      <c r="I23" s="56"/>
      <c r="J23" s="57" t="n">
        <f aca="true">IF($A23="","",IF($I23&lt;&gt;"",$I23,MAX(FID_Plan!$M23,IFERROR(LOOKUP(2,1/($E$3:INDIRECT("E"&amp;(ROW()-1))=$E23),$M$3:INDIRECT("M"&amp;(ROW()-1))),FID_Plan!$M23))))</f>
        <v>46333.0072751323</v>
      </c>
      <c r="K23" s="4" t="n">
        <f aca="false">IF($A23="","",IFERROR(VLOOKUP(B23,CHOOSE(MATCH(C23,Settings!$L$4:$L$10,0),OPR_2P!$A$4:$I$18,SEG_6P!$A$4:$I$18,SOL_4P!$A$4:$I$18,RW_2P!$A$4:$I$18,RW2_4P!$A$4:$I$18,FLAP_4P!$A$4:$I$18,TUBE_4P!$A$4:$I$18),8,0),0))</f>
        <v>2</v>
      </c>
      <c r="L23" s="4" t="n">
        <f aca="false">IF($A23="","",K23*D23)</f>
        <v>12</v>
      </c>
      <c r="M23" s="57" t="n">
        <f aca="false">IF($A23="","",$J23+($L23/(IF(F23="Contract Workman",Settings!$K$5,Settings!$K$4))))</f>
        <v>46333.5628306878</v>
      </c>
      <c r="N23" s="4" t="str">
        <f aca="false">IF($A23="","",IF(F23="Contract Workman",IF(AND(MOD(M23,1)&gt;=8/24,MOD(M23,1)&lt;20/24),"Shift S1","Shift S2"),IF(AND(MOD(M23,1)&gt;=7/24,MOD(M23,1)&lt;15/24),"Shift A",IF(AND(MOD(M23,1)&gt;=15/24,MOD(M23,1)&lt;23/24),"Shift B","Shift C"))))</f>
        <v>Shift A</v>
      </c>
      <c r="O23" s="52" t="str">
        <f aca="false"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3" t="str">
        <f aca="false">IF(AND(Q$3&gt;=$J23, Q$3&lt;$M23), $A23, "")</f>
        <v/>
      </c>
      <c r="Q23" s="53" t="str">
        <f aca="false">IF(AND(R$3&gt;=$J23, R$3&lt;$M23), $A23, "")</f>
        <v/>
      </c>
      <c r="R23" s="53" t="str">
        <f aca="false">IF(AND(S$3&gt;=$J23, S$3&lt;$M23), $A23, "")</f>
        <v/>
      </c>
      <c r="S23" s="53" t="str">
        <f aca="false">IF(AND(T$3&gt;=$J23, T$3&lt;$M23), $A23, "")</f>
        <v/>
      </c>
      <c r="T23" s="53" t="str">
        <f aca="false">IF(AND(U$3&gt;=$J23, U$3&lt;$M23), $A23, "")</f>
        <v/>
      </c>
      <c r="U23" s="53" t="str">
        <f aca="false">IF(AND(V$3&gt;=$J23, V$3&lt;$M23), $A23, "")</f>
        <v/>
      </c>
      <c r="V23" s="53" t="str">
        <f aca="false">IF(AND(W$3&gt;=$J23, W$3&lt;$M23), $A23, "")</f>
        <v/>
      </c>
      <c r="W23" s="53" t="str">
        <f aca="false">IF(AND(X$3&gt;=$J23, X$3&lt;$M23), $A23, "")</f>
        <v/>
      </c>
      <c r="X23" s="53" t="str">
        <f aca="false">IF(AND(Y$3&gt;=$J23, Y$3&lt;$M23), $A23, "")</f>
        <v/>
      </c>
      <c r="Y23" s="53" t="str">
        <f aca="false">IF(AND(Z$3&gt;=$J23, Z$3&lt;$M23), $A23, "")</f>
        <v/>
      </c>
      <c r="Z23" s="53" t="str">
        <f aca="false">IF(AND(AA$3&gt;=$J23, AA$3&lt;$M23), $A23, "")</f>
        <v/>
      </c>
      <c r="AA23" s="53" t="str">
        <f aca="false">IF(AND(AB$3&gt;=$J23, AB$3&lt;$M23), $A23, "")</f>
        <v/>
      </c>
      <c r="AB23" s="53" t="str">
        <f aca="false">IF(AND(AC$3&gt;=$J23, AC$3&lt;$M23), $A23, "")</f>
        <v/>
      </c>
      <c r="AC23" s="53" t="str">
        <f aca="false">IF(AND(AD$3&gt;=$J23, AD$3&lt;$M23), $A23, "")</f>
        <v/>
      </c>
      <c r="AD23" s="53" t="str">
        <f aca="false">IF(AND(AE$3&gt;=$J23, AE$3&lt;$M23), $A23, "")</f>
        <v/>
      </c>
      <c r="AE23" s="53" t="str">
        <f aca="false">IF(AND(AF$3&gt;=$J23, AF$3&lt;$M23), $A23, "")</f>
        <v/>
      </c>
      <c r="AF23" s="53" t="str">
        <f aca="false">IF(AND(AG$3&gt;=$J23, AG$3&lt;$M23), $A23, "")</f>
        <v/>
      </c>
      <c r="AG23" s="53" t="str">
        <f aca="false">IF(AND(AH$3&gt;=$J23, AH$3&lt;$M23), $A23, "")</f>
        <v/>
      </c>
      <c r="AH23" s="53" t="str">
        <f aca="false">IF(AND(AI$3&gt;=$J23, AI$3&lt;$M23), $A23, "")</f>
        <v/>
      </c>
      <c r="AI23" s="53" t="str">
        <f aca="false">IF(AND(AJ$3&gt;=$J23, AJ$3&lt;$M23), $A23, "")</f>
        <v/>
      </c>
      <c r="AJ23" s="53" t="str">
        <f aca="false">IF(AND(AK$3&gt;=$J23, AK$3&lt;$M23), $A23, "")</f>
        <v/>
      </c>
      <c r="AK23" s="53" t="str">
        <f aca="false">IF(AND(AL$3&gt;=$J23, AL$3&lt;$M23), $A23, "")</f>
        <v/>
      </c>
      <c r="AL23" s="53" t="str">
        <f aca="false">IF(AND(AM$3&gt;=$J23, AM$3&lt;$M23), $A23, "")</f>
        <v/>
      </c>
      <c r="AM23" s="53" t="str">
        <f aca="false">IF(AND(AN$3&gt;=$J23, AN$3&lt;$M23), $A23, "")</f>
        <v/>
      </c>
      <c r="AN23" s="53" t="str">
        <f aca="false">IF(AND(AO$3&gt;=$J23, AO$3&lt;$M23), $A23, "")</f>
        <v/>
      </c>
      <c r="AO23" s="53" t="str">
        <f aca="false">IF(AND(AP$3&gt;=$J23, AP$3&lt;$M23), $A23, "")</f>
        <v/>
      </c>
      <c r="AP23" s="53" t="str">
        <f aca="false">IF(AND(AQ$3&gt;=$J23, AQ$3&lt;$M23), $A23, "")</f>
        <v/>
      </c>
      <c r="AQ23" s="53" t="str">
        <f aca="false">IF(AND(AR$3&gt;=$J23, AR$3&lt;$M23), $A23, "")</f>
        <v/>
      </c>
      <c r="AR23" s="53" t="str">
        <f aca="false">IF(AND(AS$3&gt;=$J23, AS$3&lt;$M23), $A23, "")</f>
        <v/>
      </c>
      <c r="AS23" s="53" t="str">
        <f aca="false">IF(AND(AT$3&gt;=$J23, AT$3&lt;$M23), $A23, "")</f>
        <v/>
      </c>
      <c r="AT23" s="53" t="str">
        <f aca="false">IF(AND(AU$3&gt;=$J23, AU$3&lt;$M23), $A23, "")</f>
        <v/>
      </c>
      <c r="AU23" s="53" t="str">
        <f aca="false">IF(AND(AV$3&gt;=$J23, AV$3&lt;$M23), $A23, "")</f>
        <v/>
      </c>
      <c r="AV23" s="53" t="str">
        <f aca="false">IF(AND(AW$3&gt;=$J23, AW$3&lt;$M23), $A23, "")</f>
        <v/>
      </c>
      <c r="AW23" s="53" t="str">
        <f aca="false">IF(AND(AX$3&gt;=$J23, AX$3&lt;$M23), $A23, "")</f>
        <v/>
      </c>
      <c r="AX23" s="53" t="str">
        <f aca="false">IF(AND(AY$3&gt;=$J23, AY$3&lt;$M23), $A23, "")</f>
        <v/>
      </c>
      <c r="AY23" s="53" t="str">
        <f aca="false">IF(AND(AZ$3&gt;=$J23, AZ$3&lt;$M23), $A23, "")</f>
        <v/>
      </c>
      <c r="AZ23" s="53" t="str">
        <f aca="false">IF(AND(BA$3&gt;=$J23, BA$3&lt;$M23), $A23, "")</f>
        <v/>
      </c>
      <c r="BA23" s="53" t="str">
        <f aca="false">IF(AND(BB$3&gt;=$J23, BB$3&lt;$M23), $A23, "")</f>
        <v/>
      </c>
      <c r="BB23" s="53" t="str">
        <f aca="false">IF(AND(BC$3&gt;=$J23, BC$3&lt;$M23), $A23, "")</f>
        <v/>
      </c>
      <c r="BC23" s="53" t="str">
        <f aca="false">IF(AND(BD$3&gt;=$J23, BD$3&lt;$M23), $A23, "")</f>
        <v/>
      </c>
      <c r="BD23" s="53" t="str">
        <f aca="false">IF(AND(BE$3&gt;=$J23, BE$3&lt;$M23), $A23, "")</f>
        <v/>
      </c>
      <c r="BE23" s="53" t="str">
        <f aca="false">IF(AND(BF$3&gt;=$J23, BF$3&lt;$M23), $A23, "")</f>
        <v/>
      </c>
      <c r="BF23" s="53" t="str">
        <f aca="false">IF(AND(BG$3&gt;=$J23, BG$3&lt;$M23), $A23, "")</f>
        <v/>
      </c>
      <c r="BG23" s="53" t="str">
        <f aca="false">IF(AND(BH$3&gt;=$J23, BH$3&lt;$M23), $A23, "")</f>
        <v/>
      </c>
      <c r="BH23" s="53" t="str">
        <f aca="false">IF(AND(BI$3&gt;=$J23, BI$3&lt;$M23), $A23, "")</f>
        <v/>
      </c>
      <c r="BI23" s="53" t="str">
        <f aca="false">IF(AND(BJ$3&gt;=$J23, BJ$3&lt;$M23), $A23, "")</f>
        <v/>
      </c>
      <c r="BJ23" s="53" t="str">
        <f aca="false">IF(AND(BK$3&gt;=$J23, BK$3&lt;$M23), $A23, "")</f>
        <v/>
      </c>
      <c r="BK23" s="53" t="str">
        <f aca="false">IF(AND(BL$3&gt;=$J23, BL$3&lt;$M23), $A23, "")</f>
        <v/>
      </c>
      <c r="BL23" s="53" t="str">
        <f aca="false">IF(AND(BM$3&gt;=$J23, BM$3&lt;$M23), $A23, "")</f>
        <v/>
      </c>
      <c r="BM23" s="53" t="str">
        <f aca="false">IF(AND(BN$3&gt;=$J23, BN$3&lt;$M23), $A23, "")</f>
        <v/>
      </c>
      <c r="BN23" s="1" t="str">
        <f aca="false">IF(AND(BO$3&gt;=$J23, BO$3&lt;$M23), $A23, "")</f>
        <v/>
      </c>
      <c r="BO23" s="1" t="str">
        <f aca="false">IF(AND(BP$3&gt;=$J23, BP$3&lt;$M23), $A23, "")</f>
        <v/>
      </c>
      <c r="BP23" s="1" t="str">
        <f aca="false">IF(AND(BQ$3&gt;=$J23, BQ$3&lt;$M23), $A23, "")</f>
        <v/>
      </c>
    </row>
    <row r="24" customFormat="false" ht="15" hidden="false" customHeight="true" outlineLevel="0" collapsed="false">
      <c r="A24" s="46" t="str">
        <f aca="false">IF(Job_Master!A24="","",Job_Master!A24)</f>
        <v>BJ-121</v>
      </c>
      <c r="B24" s="4" t="n">
        <f aca="false">IF($A24="","",Job_Master!B24)</f>
        <v>57</v>
      </c>
      <c r="C24" s="4" t="str">
        <f aca="false">IF($A24="","",Job_Master!C24)</f>
        <v>RW</v>
      </c>
      <c r="D24" s="4" t="n">
        <f aca="false">IF($A24="","",Job_Master!D24)</f>
        <v>2</v>
      </c>
      <c r="E24" s="48" t="str">
        <f aca="false">IF($A24="","",IFERROR(INDEX(Machine_List!$B$82:$B$86,MATCH("*"&amp;$B24&amp;"*",Machine_List!$J$82:$J$86,0)),"NO COMPATIBLE MACHINE"))</f>
        <v>QC-MC-01</v>
      </c>
      <c r="F24" s="4" t="str">
        <f aca="false">IF($E24="","",IFERROR(VLOOKUP($E24,Machine_List!$B:$G,6,0),""))</f>
        <v>General Workman</v>
      </c>
      <c r="G24" s="55" t="n">
        <f aca="false">IF($E24="","",IFERROR(VLOOKUP($E24,Machine_List!$B:$C,2,0),""))</f>
        <v>46518</v>
      </c>
      <c r="H24" s="4" t="n">
        <f aca="false">IF($E24="","",IFERROR(VLOOKUP($E24,Machine_List!$B:$D,3,0),""))</f>
        <v>6</v>
      </c>
      <c r="I24" s="56"/>
      <c r="J24" s="57" t="n">
        <f aca="true">IF($A24="","",IF($I24&lt;&gt;"",$I24,MAX(FID_Plan!$M24,IFERROR(LOOKUP(2,1/($E$3:INDIRECT("E"&amp;(ROW()-1))=$E24),$M$3:INDIRECT("M"&amp;(ROW()-1))),FID_Plan!$M24))))</f>
        <v>46333.5628306878</v>
      </c>
      <c r="K24" s="4" t="n">
        <f aca="false">IF($A24="","",IFERROR(VLOOKUP(B24,CHOOSE(MATCH(C24,Settings!$L$4:$L$10,0),OPR_2P!$A$4:$I$18,SEG_6P!$A$4:$I$18,SOL_4P!$A$4:$I$18,RW_2P!$A$4:$I$18,RW2_4P!$A$4:$I$18,FLAP_4P!$A$4:$I$18,TUBE_4P!$A$4:$I$18),8,0),0))</f>
        <v>77</v>
      </c>
      <c r="L24" s="4" t="n">
        <f aca="false">IF($A24="","",K24*D24)</f>
        <v>154</v>
      </c>
      <c r="M24" s="57" t="n">
        <f aca="false">IF($A24="","",$J24+($L24/(IF(F24="Contract Workman",Settings!$K$5,Settings!$K$4))))</f>
        <v>46340.6924603175</v>
      </c>
      <c r="N24" s="4" t="str">
        <f aca="false">IF($A24="","",IF(F24="Contract Workman",IF(AND(MOD(M24,1)&gt;=8/24,MOD(M24,1)&lt;20/24),"Shift S1","Shift S2"),IF(AND(MOD(M24,1)&gt;=7/24,MOD(M24,1)&lt;15/24),"Shift A",IF(AND(MOD(M24,1)&gt;=15/24,MOD(M24,1)&lt;23/24),"Shift B","Shift C"))))</f>
        <v>Shift B</v>
      </c>
      <c r="O24" s="52" t="str">
        <f aca="false"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3" t="str">
        <f aca="false">IF(AND(Q$3&gt;=$J24, Q$3&lt;$M24), $A24, "")</f>
        <v/>
      </c>
      <c r="Q24" s="53" t="str">
        <f aca="false">IF(AND(R$3&gt;=$J24, R$3&lt;$M24), $A24, "")</f>
        <v/>
      </c>
      <c r="R24" s="53" t="str">
        <f aca="false">IF(AND(S$3&gt;=$J24, S$3&lt;$M24), $A24, "")</f>
        <v/>
      </c>
      <c r="S24" s="53" t="str">
        <f aca="false">IF(AND(T$3&gt;=$J24, T$3&lt;$M24), $A24, "")</f>
        <v/>
      </c>
      <c r="T24" s="53" t="str">
        <f aca="false">IF(AND(U$3&gt;=$J24, U$3&lt;$M24), $A24, "")</f>
        <v/>
      </c>
      <c r="U24" s="53" t="str">
        <f aca="false">IF(AND(V$3&gt;=$J24, V$3&lt;$M24), $A24, "")</f>
        <v/>
      </c>
      <c r="V24" s="53" t="str">
        <f aca="false">IF(AND(W$3&gt;=$J24, W$3&lt;$M24), $A24, "")</f>
        <v/>
      </c>
      <c r="W24" s="53" t="str">
        <f aca="false">IF(AND(X$3&gt;=$J24, X$3&lt;$M24), $A24, "")</f>
        <v/>
      </c>
      <c r="X24" s="53" t="str">
        <f aca="false">IF(AND(Y$3&gt;=$J24, Y$3&lt;$M24), $A24, "")</f>
        <v/>
      </c>
      <c r="Y24" s="53" t="str">
        <f aca="false">IF(AND(Z$3&gt;=$J24, Z$3&lt;$M24), $A24, "")</f>
        <v/>
      </c>
      <c r="Z24" s="53" t="str">
        <f aca="false">IF(AND(AA$3&gt;=$J24, AA$3&lt;$M24), $A24, "")</f>
        <v/>
      </c>
      <c r="AA24" s="53" t="str">
        <f aca="false">IF(AND(AB$3&gt;=$J24, AB$3&lt;$M24), $A24, "")</f>
        <v/>
      </c>
      <c r="AB24" s="53" t="str">
        <f aca="false">IF(AND(AC$3&gt;=$J24, AC$3&lt;$M24), $A24, "")</f>
        <v/>
      </c>
      <c r="AC24" s="53" t="str">
        <f aca="false">IF(AND(AD$3&gt;=$J24, AD$3&lt;$M24), $A24, "")</f>
        <v/>
      </c>
      <c r="AD24" s="53" t="str">
        <f aca="false">IF(AND(AE$3&gt;=$J24, AE$3&lt;$M24), $A24, "")</f>
        <v/>
      </c>
      <c r="AE24" s="53" t="str">
        <f aca="false">IF(AND(AF$3&gt;=$J24, AF$3&lt;$M24), $A24, "")</f>
        <v/>
      </c>
      <c r="AF24" s="53" t="str">
        <f aca="false">IF(AND(AG$3&gt;=$J24, AG$3&lt;$M24), $A24, "")</f>
        <v/>
      </c>
      <c r="AG24" s="53" t="str">
        <f aca="false">IF(AND(AH$3&gt;=$J24, AH$3&lt;$M24), $A24, "")</f>
        <v/>
      </c>
      <c r="AH24" s="53" t="str">
        <f aca="false">IF(AND(AI$3&gt;=$J24, AI$3&lt;$M24), $A24, "")</f>
        <v/>
      </c>
      <c r="AI24" s="53" t="str">
        <f aca="false">IF(AND(AJ$3&gt;=$J24, AJ$3&lt;$M24), $A24, "")</f>
        <v/>
      </c>
      <c r="AJ24" s="53" t="str">
        <f aca="false">IF(AND(AK$3&gt;=$J24, AK$3&lt;$M24), $A24, "")</f>
        <v/>
      </c>
      <c r="AK24" s="53" t="str">
        <f aca="false">IF(AND(AL$3&gt;=$J24, AL$3&lt;$M24), $A24, "")</f>
        <v/>
      </c>
      <c r="AL24" s="53" t="str">
        <f aca="false">IF(AND(AM$3&gt;=$J24, AM$3&lt;$M24), $A24, "")</f>
        <v/>
      </c>
      <c r="AM24" s="53" t="str">
        <f aca="false">IF(AND(AN$3&gt;=$J24, AN$3&lt;$M24), $A24, "")</f>
        <v/>
      </c>
      <c r="AN24" s="53" t="str">
        <f aca="false">IF(AND(AO$3&gt;=$J24, AO$3&lt;$M24), $A24, "")</f>
        <v/>
      </c>
      <c r="AO24" s="53" t="str">
        <f aca="false">IF(AND(AP$3&gt;=$J24, AP$3&lt;$M24), $A24, "")</f>
        <v/>
      </c>
      <c r="AP24" s="53" t="str">
        <f aca="false">IF(AND(AQ$3&gt;=$J24, AQ$3&lt;$M24), $A24, "")</f>
        <v/>
      </c>
      <c r="AQ24" s="53" t="str">
        <f aca="false">IF(AND(AR$3&gt;=$J24, AR$3&lt;$M24), $A24, "")</f>
        <v/>
      </c>
      <c r="AR24" s="53" t="str">
        <f aca="false">IF(AND(AS$3&gt;=$J24, AS$3&lt;$M24), $A24, "")</f>
        <v/>
      </c>
      <c r="AS24" s="53" t="str">
        <f aca="false">IF(AND(AT$3&gt;=$J24, AT$3&lt;$M24), $A24, "")</f>
        <v/>
      </c>
      <c r="AT24" s="53" t="str">
        <f aca="false">IF(AND(AU$3&gt;=$J24, AU$3&lt;$M24), $A24, "")</f>
        <v/>
      </c>
      <c r="AU24" s="53" t="str">
        <f aca="false">IF(AND(AV$3&gt;=$J24, AV$3&lt;$M24), $A24, "")</f>
        <v/>
      </c>
      <c r="AV24" s="53" t="str">
        <f aca="false">IF(AND(AW$3&gt;=$J24, AW$3&lt;$M24), $A24, "")</f>
        <v/>
      </c>
      <c r="AW24" s="53" t="str">
        <f aca="false">IF(AND(AX$3&gt;=$J24, AX$3&lt;$M24), $A24, "")</f>
        <v/>
      </c>
      <c r="AX24" s="53" t="str">
        <f aca="false">IF(AND(AY$3&gt;=$J24, AY$3&lt;$M24), $A24, "")</f>
        <v/>
      </c>
      <c r="AY24" s="53" t="str">
        <f aca="false">IF(AND(AZ$3&gt;=$J24, AZ$3&lt;$M24), $A24, "")</f>
        <v/>
      </c>
      <c r="AZ24" s="53" t="str">
        <f aca="false">IF(AND(BA$3&gt;=$J24, BA$3&lt;$M24), $A24, "")</f>
        <v/>
      </c>
      <c r="BA24" s="53" t="str">
        <f aca="false">IF(AND(BB$3&gt;=$J24, BB$3&lt;$M24), $A24, "")</f>
        <v/>
      </c>
      <c r="BB24" s="53" t="str">
        <f aca="false">IF(AND(BC$3&gt;=$J24, BC$3&lt;$M24), $A24, "")</f>
        <v/>
      </c>
      <c r="BC24" s="53" t="str">
        <f aca="false">IF(AND(BD$3&gt;=$J24, BD$3&lt;$M24), $A24, "")</f>
        <v/>
      </c>
      <c r="BD24" s="53" t="str">
        <f aca="false">IF(AND(BE$3&gt;=$J24, BE$3&lt;$M24), $A24, "")</f>
        <v/>
      </c>
      <c r="BE24" s="53" t="str">
        <f aca="false">IF(AND(BF$3&gt;=$J24, BF$3&lt;$M24), $A24, "")</f>
        <v/>
      </c>
      <c r="BF24" s="53" t="str">
        <f aca="false">IF(AND(BG$3&gt;=$J24, BG$3&lt;$M24), $A24, "")</f>
        <v/>
      </c>
      <c r="BG24" s="53" t="str">
        <f aca="false">IF(AND(BH$3&gt;=$J24, BH$3&lt;$M24), $A24, "")</f>
        <v/>
      </c>
      <c r="BH24" s="53" t="str">
        <f aca="false">IF(AND(BI$3&gt;=$J24, BI$3&lt;$M24), $A24, "")</f>
        <v/>
      </c>
      <c r="BI24" s="53" t="str">
        <f aca="false">IF(AND(BJ$3&gt;=$J24, BJ$3&lt;$M24), $A24, "")</f>
        <v/>
      </c>
      <c r="BJ24" s="53" t="str">
        <f aca="false">IF(AND(BK$3&gt;=$J24, BK$3&lt;$M24), $A24, "")</f>
        <v/>
      </c>
      <c r="BK24" s="53" t="str">
        <f aca="false">IF(AND(BL$3&gt;=$J24, BL$3&lt;$M24), $A24, "")</f>
        <v/>
      </c>
      <c r="BL24" s="53" t="str">
        <f aca="false">IF(AND(BM$3&gt;=$J24, BM$3&lt;$M24), $A24, "")</f>
        <v/>
      </c>
      <c r="BM24" s="53" t="str">
        <f aca="false">IF(AND(BN$3&gt;=$J24, BN$3&lt;$M24), $A24, "")</f>
        <v/>
      </c>
      <c r="BN24" s="1" t="str">
        <f aca="false">IF(AND(BO$3&gt;=$J24, BO$3&lt;$M24), $A24, "")</f>
        <v/>
      </c>
      <c r="BO24" s="1" t="str">
        <f aca="false">IF(AND(BP$3&gt;=$J24, BP$3&lt;$M24), $A24, "")</f>
        <v/>
      </c>
      <c r="BP24" s="1" t="str">
        <f aca="false">IF(AND(BQ$3&gt;=$J24, BQ$3&lt;$M24), $A24, "")</f>
        <v/>
      </c>
    </row>
    <row r="25" customFormat="false" ht="15" hidden="false" customHeight="true" outlineLevel="0" collapsed="false">
      <c r="A25" s="46" t="str">
        <f aca="false">IF(Job_Master!A25="","",Job_Master!A25)</f>
        <v>BJ-123</v>
      </c>
      <c r="B25" s="4" t="n">
        <f aca="false">IF($A25="","",Job_Master!B25)</f>
        <v>46</v>
      </c>
      <c r="C25" s="4" t="str">
        <f aca="false">IF($A25="","",Job_Master!C25)</f>
        <v>RW</v>
      </c>
      <c r="D25" s="4" t="n">
        <f aca="false">IF($A25="","",Job_Master!D25)</f>
        <v>2</v>
      </c>
      <c r="E25" s="48" t="str">
        <f aca="false">IF($A25="","",IFERROR(INDEX(Machine_List!$B$82:$B$86,MATCH("*"&amp;$B25&amp;"*",Machine_List!$J$82:$J$86,0)),"NO COMPATIBLE MACHINE"))</f>
        <v>QC-MC-01</v>
      </c>
      <c r="F25" s="4" t="str">
        <f aca="false">IF($E25="","",IFERROR(VLOOKUP($E25,Machine_List!$B:$G,6,0),""))</f>
        <v>General Workman</v>
      </c>
      <c r="G25" s="55" t="n">
        <f aca="false">IF($E25="","",IFERROR(VLOOKUP($E25,Machine_List!$B:$C,2,0),""))</f>
        <v>46518</v>
      </c>
      <c r="H25" s="4" t="n">
        <f aca="false">IF($E25="","",IFERROR(VLOOKUP($E25,Machine_List!$B:$D,3,0),""))</f>
        <v>6</v>
      </c>
      <c r="I25" s="56"/>
      <c r="J25" s="57" t="n">
        <f aca="true">IF($A25="","",IF($I25&lt;&gt;"",$I25,MAX(FID_Plan!$M25,IFERROR(LOOKUP(2,1/($E$3:INDIRECT("E"&amp;(ROW()-1))=$E25),$M$3:INDIRECT("M"&amp;(ROW()-1))),FID_Plan!$M25))))</f>
        <v>46340.6924603175</v>
      </c>
      <c r="K25" s="4" t="n">
        <f aca="false">IF($A25="","",IFERROR(VLOOKUP(B25,CHOOSE(MATCH(C25,Settings!$L$4:$L$10,0),OPR_2P!$A$4:$I$18,SEG_6P!$A$4:$I$18,SOL_4P!$A$4:$I$18,RW_2P!$A$4:$I$18,RW2_4P!$A$4:$I$18,FLAP_4P!$A$4:$I$18,TUBE_4P!$A$4:$I$18),8,0),0))</f>
        <v>48</v>
      </c>
      <c r="L25" s="4" t="n">
        <f aca="false">IF($A25="","",K25*D25)</f>
        <v>96</v>
      </c>
      <c r="M25" s="57" t="n">
        <f aca="false">IF($A25="","",$J25+($L25/(IF(F25="Contract Workman",Settings!$K$5,Settings!$K$4))))</f>
        <v>46345.1369047619</v>
      </c>
      <c r="N25" s="4" t="str">
        <f aca="false">IF($A25="","",IF(F25="Contract Workman",IF(AND(MOD(M25,1)&gt;=8/24,MOD(M25,1)&lt;20/24),"Shift S1","Shift S2"),IF(AND(MOD(M25,1)&gt;=7/24,MOD(M25,1)&lt;15/24),"Shift A",IF(AND(MOD(M25,1)&gt;=15/24,MOD(M25,1)&lt;23/24),"Shift B","Shift C"))))</f>
        <v>Shift C</v>
      </c>
      <c r="O25" s="52" t="str">
        <f aca="false"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3" t="str">
        <f aca="false">IF(AND(Q$3&gt;=$J25, Q$3&lt;$M25), $A25, "")</f>
        <v/>
      </c>
      <c r="Q25" s="53" t="str">
        <f aca="false">IF(AND(R$3&gt;=$J25, R$3&lt;$M25), $A25, "")</f>
        <v/>
      </c>
      <c r="R25" s="53" t="str">
        <f aca="false">IF(AND(S$3&gt;=$J25, S$3&lt;$M25), $A25, "")</f>
        <v/>
      </c>
      <c r="S25" s="53" t="str">
        <f aca="false">IF(AND(T$3&gt;=$J25, T$3&lt;$M25), $A25, "")</f>
        <v/>
      </c>
      <c r="T25" s="53" t="str">
        <f aca="false">IF(AND(U$3&gt;=$J25, U$3&lt;$M25), $A25, "")</f>
        <v/>
      </c>
      <c r="U25" s="53" t="str">
        <f aca="false">IF(AND(V$3&gt;=$J25, V$3&lt;$M25), $A25, "")</f>
        <v/>
      </c>
      <c r="V25" s="53" t="str">
        <f aca="false">IF(AND(W$3&gt;=$J25, W$3&lt;$M25), $A25, "")</f>
        <v/>
      </c>
      <c r="W25" s="53" t="str">
        <f aca="false">IF(AND(X$3&gt;=$J25, X$3&lt;$M25), $A25, "")</f>
        <v/>
      </c>
      <c r="X25" s="53" t="str">
        <f aca="false">IF(AND(Y$3&gt;=$J25, Y$3&lt;$M25), $A25, "")</f>
        <v/>
      </c>
      <c r="Y25" s="53" t="str">
        <f aca="false">IF(AND(Z$3&gt;=$J25, Z$3&lt;$M25), $A25, "")</f>
        <v/>
      </c>
      <c r="Z25" s="53" t="str">
        <f aca="false">IF(AND(AA$3&gt;=$J25, AA$3&lt;$M25), $A25, "")</f>
        <v/>
      </c>
      <c r="AA25" s="53" t="str">
        <f aca="false">IF(AND(AB$3&gt;=$J25, AB$3&lt;$M25), $A25, "")</f>
        <v/>
      </c>
      <c r="AB25" s="53" t="str">
        <f aca="false">IF(AND(AC$3&gt;=$J25, AC$3&lt;$M25), $A25, "")</f>
        <v/>
      </c>
      <c r="AC25" s="53" t="str">
        <f aca="false">IF(AND(AD$3&gt;=$J25, AD$3&lt;$M25), $A25, "")</f>
        <v/>
      </c>
      <c r="AD25" s="53" t="str">
        <f aca="false">IF(AND(AE$3&gt;=$J25, AE$3&lt;$M25), $A25, "")</f>
        <v/>
      </c>
      <c r="AE25" s="53" t="str">
        <f aca="false">IF(AND(AF$3&gt;=$J25, AF$3&lt;$M25), $A25, "")</f>
        <v/>
      </c>
      <c r="AF25" s="53" t="str">
        <f aca="false">IF(AND(AG$3&gt;=$J25, AG$3&lt;$M25), $A25, "")</f>
        <v/>
      </c>
      <c r="AG25" s="53" t="str">
        <f aca="false">IF(AND(AH$3&gt;=$J25, AH$3&lt;$M25), $A25, "")</f>
        <v/>
      </c>
      <c r="AH25" s="53" t="str">
        <f aca="false">IF(AND(AI$3&gt;=$J25, AI$3&lt;$M25), $A25, "")</f>
        <v/>
      </c>
      <c r="AI25" s="53" t="str">
        <f aca="false">IF(AND(AJ$3&gt;=$J25, AJ$3&lt;$M25), $A25, "")</f>
        <v/>
      </c>
      <c r="AJ25" s="53" t="str">
        <f aca="false">IF(AND(AK$3&gt;=$J25, AK$3&lt;$M25), $A25, "")</f>
        <v/>
      </c>
      <c r="AK25" s="53" t="str">
        <f aca="false">IF(AND(AL$3&gt;=$J25, AL$3&lt;$M25), $A25, "")</f>
        <v/>
      </c>
      <c r="AL25" s="53" t="str">
        <f aca="false">IF(AND(AM$3&gt;=$J25, AM$3&lt;$M25), $A25, "")</f>
        <v/>
      </c>
      <c r="AM25" s="53" t="str">
        <f aca="false">IF(AND(AN$3&gt;=$J25, AN$3&lt;$M25), $A25, "")</f>
        <v/>
      </c>
      <c r="AN25" s="53" t="str">
        <f aca="false">IF(AND(AO$3&gt;=$J25, AO$3&lt;$M25), $A25, "")</f>
        <v/>
      </c>
      <c r="AO25" s="53" t="str">
        <f aca="false">IF(AND(AP$3&gt;=$J25, AP$3&lt;$M25), $A25, "")</f>
        <v/>
      </c>
      <c r="AP25" s="53" t="str">
        <f aca="false">IF(AND(AQ$3&gt;=$J25, AQ$3&lt;$M25), $A25, "")</f>
        <v/>
      </c>
      <c r="AQ25" s="53" t="str">
        <f aca="false">IF(AND(AR$3&gt;=$J25, AR$3&lt;$M25), $A25, "")</f>
        <v/>
      </c>
      <c r="AR25" s="53" t="str">
        <f aca="false">IF(AND(AS$3&gt;=$J25, AS$3&lt;$M25), $A25, "")</f>
        <v/>
      </c>
      <c r="AS25" s="53" t="str">
        <f aca="false">IF(AND(AT$3&gt;=$J25, AT$3&lt;$M25), $A25, "")</f>
        <v/>
      </c>
      <c r="AT25" s="53" t="str">
        <f aca="false">IF(AND(AU$3&gt;=$J25, AU$3&lt;$M25), $A25, "")</f>
        <v/>
      </c>
      <c r="AU25" s="53" t="str">
        <f aca="false">IF(AND(AV$3&gt;=$J25, AV$3&lt;$M25), $A25, "")</f>
        <v/>
      </c>
      <c r="AV25" s="53" t="str">
        <f aca="false">IF(AND(AW$3&gt;=$J25, AW$3&lt;$M25), $A25, "")</f>
        <v/>
      </c>
      <c r="AW25" s="53" t="str">
        <f aca="false">IF(AND(AX$3&gt;=$J25, AX$3&lt;$M25), $A25, "")</f>
        <v/>
      </c>
      <c r="AX25" s="53" t="str">
        <f aca="false">IF(AND(AY$3&gt;=$J25, AY$3&lt;$M25), $A25, "")</f>
        <v/>
      </c>
      <c r="AY25" s="53" t="str">
        <f aca="false">IF(AND(AZ$3&gt;=$J25, AZ$3&lt;$M25), $A25, "")</f>
        <v/>
      </c>
      <c r="AZ25" s="53" t="str">
        <f aca="false">IF(AND(BA$3&gt;=$J25, BA$3&lt;$M25), $A25, "")</f>
        <v/>
      </c>
      <c r="BA25" s="53" t="str">
        <f aca="false">IF(AND(BB$3&gt;=$J25, BB$3&lt;$M25), $A25, "")</f>
        <v/>
      </c>
      <c r="BB25" s="53" t="str">
        <f aca="false">IF(AND(BC$3&gt;=$J25, BC$3&lt;$M25), $A25, "")</f>
        <v/>
      </c>
      <c r="BC25" s="53" t="str">
        <f aca="false">IF(AND(BD$3&gt;=$J25, BD$3&lt;$M25), $A25, "")</f>
        <v/>
      </c>
      <c r="BD25" s="53" t="str">
        <f aca="false">IF(AND(BE$3&gt;=$J25, BE$3&lt;$M25), $A25, "")</f>
        <v/>
      </c>
      <c r="BE25" s="53" t="str">
        <f aca="false">IF(AND(BF$3&gt;=$J25, BF$3&lt;$M25), $A25, "")</f>
        <v/>
      </c>
      <c r="BF25" s="53" t="str">
        <f aca="false">IF(AND(BG$3&gt;=$J25, BG$3&lt;$M25), $A25, "")</f>
        <v/>
      </c>
      <c r="BG25" s="53" t="str">
        <f aca="false">IF(AND(BH$3&gt;=$J25, BH$3&lt;$M25), $A25, "")</f>
        <v/>
      </c>
      <c r="BH25" s="53" t="str">
        <f aca="false">IF(AND(BI$3&gt;=$J25, BI$3&lt;$M25), $A25, "")</f>
        <v/>
      </c>
      <c r="BI25" s="53" t="str">
        <f aca="false">IF(AND(BJ$3&gt;=$J25, BJ$3&lt;$M25), $A25, "")</f>
        <v/>
      </c>
      <c r="BJ25" s="53" t="str">
        <f aca="false">IF(AND(BK$3&gt;=$J25, BK$3&lt;$M25), $A25, "")</f>
        <v/>
      </c>
      <c r="BK25" s="53" t="str">
        <f aca="false">IF(AND(BL$3&gt;=$J25, BL$3&lt;$M25), $A25, "")</f>
        <v/>
      </c>
      <c r="BL25" s="53" t="str">
        <f aca="false">IF(AND(BM$3&gt;=$J25, BM$3&lt;$M25), $A25, "")</f>
        <v/>
      </c>
      <c r="BM25" s="53" t="str">
        <f aca="false">IF(AND(BN$3&gt;=$J25, BN$3&lt;$M25), $A25, "")</f>
        <v/>
      </c>
      <c r="BN25" s="1" t="str">
        <f aca="false">IF(AND(BO$3&gt;=$J25, BO$3&lt;$M25), $A25, "")</f>
        <v/>
      </c>
      <c r="BO25" s="1" t="str">
        <f aca="false">IF(AND(BP$3&gt;=$J25, BP$3&lt;$M25), $A25, "")</f>
        <v/>
      </c>
      <c r="BP25" s="1" t="str">
        <f aca="false">IF(AND(BQ$3&gt;=$J25, BQ$3&lt;$M25), $A25, "")</f>
        <v/>
      </c>
    </row>
    <row r="26" customFormat="false" ht="15" hidden="false" customHeight="true" outlineLevel="0" collapsed="false">
      <c r="A26" s="46" t="str">
        <f aca="false">IF(Job_Master!A26="","",Job_Master!A26)</f>
        <v>BJ-117</v>
      </c>
      <c r="B26" s="4" t="n">
        <f aca="false">IF($A26="","",Job_Master!B26)</f>
        <v>15</v>
      </c>
      <c r="C26" s="4" t="str">
        <f aca="false">IF($A26="","",Job_Master!C26)</f>
        <v>RW</v>
      </c>
      <c r="D26" s="4" t="n">
        <f aca="false">IF($A26="","",Job_Master!D26)</f>
        <v>2</v>
      </c>
      <c r="E26" s="48" t="str">
        <f aca="false">IF($A26="","",IFERROR(INDEX(Machine_List!$B$82:$B$86,MATCH("*"&amp;$B26&amp;"*",Machine_List!$J$82:$J$86,0)),"NO COMPATIBLE MACHINE"))</f>
        <v>QC-MC-01</v>
      </c>
      <c r="F26" s="4" t="str">
        <f aca="false">IF($E26="","",IFERROR(VLOOKUP($E26,Machine_List!$B:$G,6,0),""))</f>
        <v>General Workman</v>
      </c>
      <c r="G26" s="55" t="n">
        <f aca="false">IF($E26="","",IFERROR(VLOOKUP($E26,Machine_List!$B:$C,2,0),""))</f>
        <v>46518</v>
      </c>
      <c r="H26" s="4" t="n">
        <f aca="false">IF($E26="","",IFERROR(VLOOKUP($E26,Machine_List!$B:$D,3,0),""))</f>
        <v>6</v>
      </c>
      <c r="I26" s="56"/>
      <c r="J26" s="57" t="n">
        <f aca="true">IF($A26="","",IF($I26&lt;&gt;"",$I26,MAX(FID_Plan!$M26,IFERROR(LOOKUP(2,1/($E$3:INDIRECT("E"&amp;(ROW()-1))=$E26),$M$3:INDIRECT("M"&amp;(ROW()-1))),FID_Plan!$M26))))</f>
        <v>46345.1369047619</v>
      </c>
      <c r="K26" s="4" t="n">
        <f aca="false">IF($A26="","",IFERROR(VLOOKUP(B26,CHOOSE(MATCH(C26,Settings!$L$4:$L$10,0),OPR_2P!$A$4:$I$18,SEG_6P!$A$4:$I$18,SOL_4P!$A$4:$I$18,RW_2P!$A$4:$I$18,RW2_4P!$A$4:$I$18,FLAP_4P!$A$4:$I$18,TUBE_4P!$A$4:$I$18),8,0),0))</f>
        <v>7</v>
      </c>
      <c r="L26" s="4" t="n">
        <f aca="false">IF($A26="","",K26*D26)</f>
        <v>14</v>
      </c>
      <c r="M26" s="57" t="n">
        <f aca="false">IF($A26="","",$J26+($L26/(IF(F26="Contract Workman",Settings!$K$5,Settings!$K$4))))</f>
        <v>46345.7850529101</v>
      </c>
      <c r="N26" s="4" t="str">
        <f aca="false">IF($A26="","",IF(F26="Contract Workman",IF(AND(MOD(M26,1)&gt;=8/24,MOD(M26,1)&lt;20/24),"Shift S1","Shift S2"),IF(AND(MOD(M26,1)&gt;=7/24,MOD(M26,1)&lt;15/24),"Shift A",IF(AND(MOD(M26,1)&gt;=15/24,MOD(M26,1)&lt;23/24),"Shift B","Shift C"))))</f>
        <v>Shift B</v>
      </c>
      <c r="O26" s="52" t="str">
        <f aca="false"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3" t="str">
        <f aca="false">IF(AND(Q$3&gt;=$J26, Q$3&lt;$M26), $A26, "")</f>
        <v/>
      </c>
      <c r="Q26" s="53" t="str">
        <f aca="false">IF(AND(R$3&gt;=$J26, R$3&lt;$M26), $A26, "")</f>
        <v/>
      </c>
      <c r="R26" s="53" t="str">
        <f aca="false">IF(AND(S$3&gt;=$J26, S$3&lt;$M26), $A26, "")</f>
        <v/>
      </c>
      <c r="S26" s="53" t="str">
        <f aca="false">IF(AND(T$3&gt;=$J26, T$3&lt;$M26), $A26, "")</f>
        <v/>
      </c>
      <c r="T26" s="53" t="str">
        <f aca="false">IF(AND(U$3&gt;=$J26, U$3&lt;$M26), $A26, "")</f>
        <v/>
      </c>
      <c r="U26" s="53" t="str">
        <f aca="false">IF(AND(V$3&gt;=$J26, V$3&lt;$M26), $A26, "")</f>
        <v/>
      </c>
      <c r="V26" s="53" t="str">
        <f aca="false">IF(AND(W$3&gt;=$J26, W$3&lt;$M26), $A26, "")</f>
        <v/>
      </c>
      <c r="W26" s="53" t="str">
        <f aca="false">IF(AND(X$3&gt;=$J26, X$3&lt;$M26), $A26, "")</f>
        <v/>
      </c>
      <c r="X26" s="53" t="str">
        <f aca="false">IF(AND(Y$3&gt;=$J26, Y$3&lt;$M26), $A26, "")</f>
        <v/>
      </c>
      <c r="Y26" s="53" t="str">
        <f aca="false">IF(AND(Z$3&gt;=$J26, Z$3&lt;$M26), $A26, "")</f>
        <v/>
      </c>
      <c r="Z26" s="53" t="str">
        <f aca="false">IF(AND(AA$3&gt;=$J26, AA$3&lt;$M26), $A26, "")</f>
        <v/>
      </c>
      <c r="AA26" s="53" t="str">
        <f aca="false">IF(AND(AB$3&gt;=$J26, AB$3&lt;$M26), $A26, "")</f>
        <v/>
      </c>
      <c r="AB26" s="53" t="str">
        <f aca="false">IF(AND(AC$3&gt;=$J26, AC$3&lt;$M26), $A26, "")</f>
        <v/>
      </c>
      <c r="AC26" s="53" t="str">
        <f aca="false">IF(AND(AD$3&gt;=$J26, AD$3&lt;$M26), $A26, "")</f>
        <v/>
      </c>
      <c r="AD26" s="53" t="str">
        <f aca="false">IF(AND(AE$3&gt;=$J26, AE$3&lt;$M26), $A26, "")</f>
        <v/>
      </c>
      <c r="AE26" s="53" t="str">
        <f aca="false">IF(AND(AF$3&gt;=$J26, AF$3&lt;$M26), $A26, "")</f>
        <v/>
      </c>
      <c r="AF26" s="53" t="str">
        <f aca="false">IF(AND(AG$3&gt;=$J26, AG$3&lt;$M26), $A26, "")</f>
        <v/>
      </c>
      <c r="AG26" s="53" t="str">
        <f aca="false">IF(AND(AH$3&gt;=$J26, AH$3&lt;$M26), $A26, "")</f>
        <v/>
      </c>
      <c r="AH26" s="53" t="str">
        <f aca="false">IF(AND(AI$3&gt;=$J26, AI$3&lt;$M26), $A26, "")</f>
        <v/>
      </c>
      <c r="AI26" s="53" t="str">
        <f aca="false">IF(AND(AJ$3&gt;=$J26, AJ$3&lt;$M26), $A26, "")</f>
        <v/>
      </c>
      <c r="AJ26" s="53" t="str">
        <f aca="false">IF(AND(AK$3&gt;=$J26, AK$3&lt;$M26), $A26, "")</f>
        <v/>
      </c>
      <c r="AK26" s="53" t="str">
        <f aca="false">IF(AND(AL$3&gt;=$J26, AL$3&lt;$M26), $A26, "")</f>
        <v/>
      </c>
      <c r="AL26" s="53" t="str">
        <f aca="false">IF(AND(AM$3&gt;=$J26, AM$3&lt;$M26), $A26, "")</f>
        <v/>
      </c>
      <c r="AM26" s="53" t="str">
        <f aca="false">IF(AND(AN$3&gt;=$J26, AN$3&lt;$M26), $A26, "")</f>
        <v/>
      </c>
      <c r="AN26" s="53" t="str">
        <f aca="false">IF(AND(AO$3&gt;=$J26, AO$3&lt;$M26), $A26, "")</f>
        <v/>
      </c>
      <c r="AO26" s="53" t="str">
        <f aca="false">IF(AND(AP$3&gt;=$J26, AP$3&lt;$M26), $A26, "")</f>
        <v/>
      </c>
      <c r="AP26" s="53" t="str">
        <f aca="false">IF(AND(AQ$3&gt;=$J26, AQ$3&lt;$M26), $A26, "")</f>
        <v/>
      </c>
      <c r="AQ26" s="53" t="str">
        <f aca="false">IF(AND(AR$3&gt;=$J26, AR$3&lt;$M26), $A26, "")</f>
        <v/>
      </c>
      <c r="AR26" s="53" t="str">
        <f aca="false">IF(AND(AS$3&gt;=$J26, AS$3&lt;$M26), $A26, "")</f>
        <v/>
      </c>
      <c r="AS26" s="53" t="str">
        <f aca="false">IF(AND(AT$3&gt;=$J26, AT$3&lt;$M26), $A26, "")</f>
        <v/>
      </c>
      <c r="AT26" s="53" t="str">
        <f aca="false">IF(AND(AU$3&gt;=$J26, AU$3&lt;$M26), $A26, "")</f>
        <v/>
      </c>
      <c r="AU26" s="53" t="str">
        <f aca="false">IF(AND(AV$3&gt;=$J26, AV$3&lt;$M26), $A26, "")</f>
        <v/>
      </c>
      <c r="AV26" s="53" t="str">
        <f aca="false">IF(AND(AW$3&gt;=$J26, AW$3&lt;$M26), $A26, "")</f>
        <v/>
      </c>
      <c r="AW26" s="53" t="str">
        <f aca="false">IF(AND(AX$3&gt;=$J26, AX$3&lt;$M26), $A26, "")</f>
        <v/>
      </c>
      <c r="AX26" s="53" t="str">
        <f aca="false">IF(AND(AY$3&gt;=$J26, AY$3&lt;$M26), $A26, "")</f>
        <v/>
      </c>
      <c r="AY26" s="53" t="str">
        <f aca="false">IF(AND(AZ$3&gt;=$J26, AZ$3&lt;$M26), $A26, "")</f>
        <v/>
      </c>
      <c r="AZ26" s="53" t="str">
        <f aca="false">IF(AND(BA$3&gt;=$J26, BA$3&lt;$M26), $A26, "")</f>
        <v/>
      </c>
      <c r="BA26" s="53" t="str">
        <f aca="false">IF(AND(BB$3&gt;=$J26, BB$3&lt;$M26), $A26, "")</f>
        <v/>
      </c>
      <c r="BB26" s="53" t="str">
        <f aca="false">IF(AND(BC$3&gt;=$J26, BC$3&lt;$M26), $A26, "")</f>
        <v/>
      </c>
      <c r="BC26" s="53" t="str">
        <f aca="false">IF(AND(BD$3&gt;=$J26, BD$3&lt;$M26), $A26, "")</f>
        <v/>
      </c>
      <c r="BD26" s="53" t="str">
        <f aca="false">IF(AND(BE$3&gt;=$J26, BE$3&lt;$M26), $A26, "")</f>
        <v/>
      </c>
      <c r="BE26" s="53" t="str">
        <f aca="false">IF(AND(BF$3&gt;=$J26, BF$3&lt;$M26), $A26, "")</f>
        <v/>
      </c>
      <c r="BF26" s="53" t="str">
        <f aca="false">IF(AND(BG$3&gt;=$J26, BG$3&lt;$M26), $A26, "")</f>
        <v/>
      </c>
      <c r="BG26" s="53" t="str">
        <f aca="false">IF(AND(BH$3&gt;=$J26, BH$3&lt;$M26), $A26, "")</f>
        <v/>
      </c>
      <c r="BH26" s="53" t="str">
        <f aca="false">IF(AND(BI$3&gt;=$J26, BI$3&lt;$M26), $A26, "")</f>
        <v/>
      </c>
      <c r="BI26" s="53" t="str">
        <f aca="false">IF(AND(BJ$3&gt;=$J26, BJ$3&lt;$M26), $A26, "")</f>
        <v/>
      </c>
      <c r="BJ26" s="53" t="str">
        <f aca="false">IF(AND(BK$3&gt;=$J26, BK$3&lt;$M26), $A26, "")</f>
        <v/>
      </c>
      <c r="BK26" s="53" t="str">
        <f aca="false">IF(AND(BL$3&gt;=$J26, BL$3&lt;$M26), $A26, "")</f>
        <v/>
      </c>
      <c r="BL26" s="53" t="str">
        <f aca="false">IF(AND(BM$3&gt;=$J26, BM$3&lt;$M26), $A26, "")</f>
        <v/>
      </c>
      <c r="BM26" s="53" t="str">
        <f aca="false">IF(AND(BN$3&gt;=$J26, BN$3&lt;$M26), $A26, "")</f>
        <v/>
      </c>
      <c r="BN26" s="1" t="str">
        <f aca="false">IF(AND(BO$3&gt;=$J26, BO$3&lt;$M26), $A26, "")</f>
        <v/>
      </c>
      <c r="BO26" s="1" t="str">
        <f aca="false">IF(AND(BP$3&gt;=$J26, BP$3&lt;$M26), $A26, "")</f>
        <v/>
      </c>
      <c r="BP26" s="1" t="str">
        <f aca="false">IF(AND(BQ$3&gt;=$J26, BQ$3&lt;$M26), $A26, "")</f>
        <v/>
      </c>
    </row>
    <row r="27" customFormat="false" ht="15" hidden="false" customHeight="true" outlineLevel="0" collapsed="false">
      <c r="A27" s="46" t="str">
        <f aca="false">IF(Job_Master!A27="","",Job_Master!A27)</f>
        <v>BJ-122</v>
      </c>
      <c r="B27" s="4" t="n">
        <f aca="false">IF($A27="","",Job_Master!B27)</f>
        <v>54</v>
      </c>
      <c r="C27" s="4" t="str">
        <f aca="false">IF($A27="","",Job_Master!C27)</f>
        <v>SOL</v>
      </c>
      <c r="D27" s="4" t="n">
        <f aca="false">IF($A27="","",Job_Master!D27)</f>
        <v>4</v>
      </c>
      <c r="E27" s="48" t="str">
        <f aca="false">IF($A27="","",IFERROR(INDEX(Machine_List!$B$82:$B$86,MATCH("*"&amp;$B27&amp;"*",Machine_List!$J$82:$J$86,0)),"NO COMPATIBLE MACHINE"))</f>
        <v>QC-MC-01</v>
      </c>
      <c r="F27" s="4" t="str">
        <f aca="false">IF($E27="","",IFERROR(VLOOKUP($E27,Machine_List!$B:$G,6,0),""))</f>
        <v>General Workman</v>
      </c>
      <c r="G27" s="55" t="n">
        <f aca="false">IF($E27="","",IFERROR(VLOOKUP($E27,Machine_List!$B:$C,2,0),""))</f>
        <v>46518</v>
      </c>
      <c r="H27" s="4" t="n">
        <f aca="false">IF($E27="","",IFERROR(VLOOKUP($E27,Machine_List!$B:$D,3,0),""))</f>
        <v>6</v>
      </c>
      <c r="I27" s="56"/>
      <c r="J27" s="57" t="n">
        <f aca="true">IF($A27="","",IF($I27&lt;&gt;"",$I27,MAX(FID_Plan!$M27,IFERROR(LOOKUP(2,1/($E$3:INDIRECT("E"&amp;(ROW()-1))=$E27),$M$3:INDIRECT("M"&amp;(ROW()-1))),FID_Plan!$M27))))</f>
        <v>46351.6779100529</v>
      </c>
      <c r="K27" s="4" t="n">
        <f aca="false">IF($A27="","",IFERROR(VLOOKUP(B27,CHOOSE(MATCH(C27,Settings!$L$4:$L$10,0),OPR_2P!$A$4:$I$18,SEG_6P!$A$4:$I$18,SOL_4P!$A$4:$I$18,RW_2P!$A$4:$I$18,RW2_4P!$A$4:$I$18,FLAP_4P!$A$4:$I$18,TUBE_4P!$A$4:$I$18),8,0),0))</f>
        <v>50</v>
      </c>
      <c r="L27" s="4" t="n">
        <f aca="false">IF($A27="","",K27*D27)</f>
        <v>200</v>
      </c>
      <c r="M27" s="57" t="n">
        <f aca="false">IF($A27="","",$J27+($L27/(IF(F27="Contract Workman",Settings!$K$5,Settings!$K$4))))</f>
        <v>46360.9371693122</v>
      </c>
      <c r="N27" s="4" t="str">
        <f aca="false">IF($A27="","",IF(F27="Contract Workman",IF(AND(MOD(M27,1)&gt;=8/24,MOD(M27,1)&lt;20/24),"Shift S1","Shift S2"),IF(AND(MOD(M27,1)&gt;=7/24,MOD(M27,1)&lt;15/24),"Shift A",IF(AND(MOD(M27,1)&gt;=15/24,MOD(M27,1)&lt;23/24),"Shift B","Shift C"))))</f>
        <v>Shift B</v>
      </c>
      <c r="O27" s="52" t="str">
        <f aca="false"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3" t="str">
        <f aca="false">IF(AND(Q$3&gt;=$J27, Q$3&lt;$M27), $A27, "")</f>
        <v/>
      </c>
      <c r="Q27" s="53" t="str">
        <f aca="false">IF(AND(R$3&gt;=$J27, R$3&lt;$M27), $A27, "")</f>
        <v/>
      </c>
      <c r="R27" s="53" t="str">
        <f aca="false">IF(AND(S$3&gt;=$J27, S$3&lt;$M27), $A27, "")</f>
        <v/>
      </c>
      <c r="S27" s="53" t="str">
        <f aca="false">IF(AND(T$3&gt;=$J27, T$3&lt;$M27), $A27, "")</f>
        <v/>
      </c>
      <c r="T27" s="53" t="str">
        <f aca="false">IF(AND(U$3&gt;=$J27, U$3&lt;$M27), $A27, "")</f>
        <v/>
      </c>
      <c r="U27" s="53" t="str">
        <f aca="false">IF(AND(V$3&gt;=$J27, V$3&lt;$M27), $A27, "")</f>
        <v/>
      </c>
      <c r="V27" s="53" t="str">
        <f aca="false">IF(AND(W$3&gt;=$J27, W$3&lt;$M27), $A27, "")</f>
        <v/>
      </c>
      <c r="W27" s="53" t="str">
        <f aca="false">IF(AND(X$3&gt;=$J27, X$3&lt;$M27), $A27, "")</f>
        <v/>
      </c>
      <c r="X27" s="53" t="str">
        <f aca="false">IF(AND(Y$3&gt;=$J27, Y$3&lt;$M27), $A27, "")</f>
        <v/>
      </c>
      <c r="Y27" s="53" t="str">
        <f aca="false">IF(AND(Z$3&gt;=$J27, Z$3&lt;$M27), $A27, "")</f>
        <v/>
      </c>
      <c r="Z27" s="53" t="str">
        <f aca="false">IF(AND(AA$3&gt;=$J27, AA$3&lt;$M27), $A27, "")</f>
        <v/>
      </c>
      <c r="AA27" s="53" t="str">
        <f aca="false">IF(AND(AB$3&gt;=$J27, AB$3&lt;$M27), $A27, "")</f>
        <v/>
      </c>
      <c r="AB27" s="53" t="str">
        <f aca="false">IF(AND(AC$3&gt;=$J27, AC$3&lt;$M27), $A27, "")</f>
        <v/>
      </c>
      <c r="AC27" s="53" t="str">
        <f aca="false">IF(AND(AD$3&gt;=$J27, AD$3&lt;$M27), $A27, "")</f>
        <v/>
      </c>
      <c r="AD27" s="53" t="str">
        <f aca="false">IF(AND(AE$3&gt;=$J27, AE$3&lt;$M27), $A27, "")</f>
        <v/>
      </c>
      <c r="AE27" s="53" t="str">
        <f aca="false">IF(AND(AF$3&gt;=$J27, AF$3&lt;$M27), $A27, "")</f>
        <v/>
      </c>
      <c r="AF27" s="53" t="str">
        <f aca="false">IF(AND(AG$3&gt;=$J27, AG$3&lt;$M27), $A27, "")</f>
        <v/>
      </c>
      <c r="AG27" s="53" t="str">
        <f aca="false">IF(AND(AH$3&gt;=$J27, AH$3&lt;$M27), $A27, "")</f>
        <v/>
      </c>
      <c r="AH27" s="53" t="str">
        <f aca="false">IF(AND(AI$3&gt;=$J27, AI$3&lt;$M27), $A27, "")</f>
        <v/>
      </c>
      <c r="AI27" s="53" t="str">
        <f aca="false">IF(AND(AJ$3&gt;=$J27, AJ$3&lt;$M27), $A27, "")</f>
        <v/>
      </c>
      <c r="AJ27" s="53" t="str">
        <f aca="false">IF(AND(AK$3&gt;=$J27, AK$3&lt;$M27), $A27, "")</f>
        <v/>
      </c>
      <c r="AK27" s="53" t="str">
        <f aca="false">IF(AND(AL$3&gt;=$J27, AL$3&lt;$M27), $A27, "")</f>
        <v/>
      </c>
      <c r="AL27" s="53" t="str">
        <f aca="false">IF(AND(AM$3&gt;=$J27, AM$3&lt;$M27), $A27, "")</f>
        <v/>
      </c>
      <c r="AM27" s="53" t="str">
        <f aca="false">IF(AND(AN$3&gt;=$J27, AN$3&lt;$M27), $A27, "")</f>
        <v/>
      </c>
      <c r="AN27" s="53" t="str">
        <f aca="false">IF(AND(AO$3&gt;=$J27, AO$3&lt;$M27), $A27, "")</f>
        <v/>
      </c>
      <c r="AO27" s="53" t="str">
        <f aca="false">IF(AND(AP$3&gt;=$J27, AP$3&lt;$M27), $A27, "")</f>
        <v/>
      </c>
      <c r="AP27" s="53" t="str">
        <f aca="false">IF(AND(AQ$3&gt;=$J27, AQ$3&lt;$M27), $A27, "")</f>
        <v/>
      </c>
      <c r="AQ27" s="53" t="str">
        <f aca="false">IF(AND(AR$3&gt;=$J27, AR$3&lt;$M27), $A27, "")</f>
        <v/>
      </c>
      <c r="AR27" s="53" t="str">
        <f aca="false">IF(AND(AS$3&gt;=$J27, AS$3&lt;$M27), $A27, "")</f>
        <v/>
      </c>
      <c r="AS27" s="53" t="str">
        <f aca="false">IF(AND(AT$3&gt;=$J27, AT$3&lt;$M27), $A27, "")</f>
        <v/>
      </c>
      <c r="AT27" s="53" t="str">
        <f aca="false">IF(AND(AU$3&gt;=$J27, AU$3&lt;$M27), $A27, "")</f>
        <v/>
      </c>
      <c r="AU27" s="53" t="str">
        <f aca="false">IF(AND(AV$3&gt;=$J27, AV$3&lt;$M27), $A27, "")</f>
        <v/>
      </c>
      <c r="AV27" s="53" t="str">
        <f aca="false">IF(AND(AW$3&gt;=$J27, AW$3&lt;$M27), $A27, "")</f>
        <v/>
      </c>
      <c r="AW27" s="53" t="str">
        <f aca="false">IF(AND(AX$3&gt;=$J27, AX$3&lt;$M27), $A27, "")</f>
        <v/>
      </c>
      <c r="AX27" s="53" t="str">
        <f aca="false">IF(AND(AY$3&gt;=$J27, AY$3&lt;$M27), $A27, "")</f>
        <v/>
      </c>
      <c r="AY27" s="53" t="str">
        <f aca="false">IF(AND(AZ$3&gt;=$J27, AZ$3&lt;$M27), $A27, "")</f>
        <v/>
      </c>
      <c r="AZ27" s="53" t="str">
        <f aca="false">IF(AND(BA$3&gt;=$J27, BA$3&lt;$M27), $A27, "")</f>
        <v/>
      </c>
      <c r="BA27" s="53" t="str">
        <f aca="false">IF(AND(BB$3&gt;=$J27, BB$3&lt;$M27), $A27, "")</f>
        <v/>
      </c>
      <c r="BB27" s="53" t="str">
        <f aca="false">IF(AND(BC$3&gt;=$J27, BC$3&lt;$M27), $A27, "")</f>
        <v/>
      </c>
      <c r="BC27" s="53" t="str">
        <f aca="false">IF(AND(BD$3&gt;=$J27, BD$3&lt;$M27), $A27, "")</f>
        <v/>
      </c>
      <c r="BD27" s="53" t="str">
        <f aca="false">IF(AND(BE$3&gt;=$J27, BE$3&lt;$M27), $A27, "")</f>
        <v/>
      </c>
      <c r="BE27" s="53" t="str">
        <f aca="false">IF(AND(BF$3&gt;=$J27, BF$3&lt;$M27), $A27, "")</f>
        <v/>
      </c>
      <c r="BF27" s="53" t="str">
        <f aca="false">IF(AND(BG$3&gt;=$J27, BG$3&lt;$M27), $A27, "")</f>
        <v/>
      </c>
      <c r="BG27" s="53" t="str">
        <f aca="false">IF(AND(BH$3&gt;=$J27, BH$3&lt;$M27), $A27, "")</f>
        <v/>
      </c>
      <c r="BH27" s="53" t="str">
        <f aca="false">IF(AND(BI$3&gt;=$J27, BI$3&lt;$M27), $A27, "")</f>
        <v/>
      </c>
      <c r="BI27" s="53" t="str">
        <f aca="false">IF(AND(BJ$3&gt;=$J27, BJ$3&lt;$M27), $A27, "")</f>
        <v/>
      </c>
      <c r="BJ27" s="53" t="str">
        <f aca="false">IF(AND(BK$3&gt;=$J27, BK$3&lt;$M27), $A27, "")</f>
        <v/>
      </c>
      <c r="BK27" s="53" t="str">
        <f aca="false">IF(AND(BL$3&gt;=$J27, BL$3&lt;$M27), $A27, "")</f>
        <v/>
      </c>
      <c r="BL27" s="53" t="str">
        <f aca="false">IF(AND(BM$3&gt;=$J27, BM$3&lt;$M27), $A27, "")</f>
        <v/>
      </c>
      <c r="BM27" s="53" t="str">
        <f aca="false">IF(AND(BN$3&gt;=$J27, BN$3&lt;$M27), $A27, "")</f>
        <v/>
      </c>
      <c r="BN27" s="1" t="str">
        <f aca="false">IF(AND(BO$3&gt;=$J27, BO$3&lt;$M27), $A27, "")</f>
        <v/>
      </c>
      <c r="BO27" s="1" t="str">
        <f aca="false">IF(AND(BP$3&gt;=$J27, BP$3&lt;$M27), $A27, "")</f>
        <v/>
      </c>
      <c r="BP27" s="1" t="str">
        <f aca="false">IF(AND(BQ$3&gt;=$J27, BQ$3&lt;$M27), $A27, "")</f>
        <v/>
      </c>
    </row>
    <row r="28" customFormat="false" ht="15" hidden="false" customHeight="true" outlineLevel="0" collapsed="false">
      <c r="A28" s="46" t="str">
        <f aca="false">IF(Job_Master!A28="","",Job_Master!A28)</f>
        <v>BJ-124</v>
      </c>
      <c r="B28" s="4" t="n">
        <f aca="false">IF($A28="","",Job_Master!B28)</f>
        <v>42</v>
      </c>
      <c r="C28" s="4" t="str">
        <f aca="false">IF($A28="","",Job_Master!C28)</f>
        <v>2P</v>
      </c>
      <c r="D28" s="4" t="n">
        <f aca="false">IF($A28="","",Job_Master!D28)</f>
        <v>2</v>
      </c>
      <c r="E28" s="48" t="str">
        <f aca="false">IF($A28="","",IFERROR(INDEX(Machine_List!$B$82:$B$86,MATCH("*"&amp;$B28&amp;"*",Machine_List!$J$82:$J$86,0)),"NO COMPATIBLE MACHINE"))</f>
        <v>QC-MC-01</v>
      </c>
      <c r="F28" s="4" t="str">
        <f aca="false">IF($E28="","",IFERROR(VLOOKUP($E28,Machine_List!$B:$G,6,0),""))</f>
        <v>General Workman</v>
      </c>
      <c r="G28" s="55" t="n">
        <f aca="false">IF($E28="","",IFERROR(VLOOKUP($E28,Machine_List!$B:$C,2,0),""))</f>
        <v>46518</v>
      </c>
      <c r="H28" s="4" t="n">
        <f aca="false">IF($E28="","",IFERROR(VLOOKUP($E28,Machine_List!$B:$D,3,0),""))</f>
        <v>6</v>
      </c>
      <c r="I28" s="56"/>
      <c r="J28" s="57" t="n">
        <f aca="true">IF($A28="","",IF($I28&lt;&gt;"",$I28,MAX(FID_Plan!$M28,IFERROR(LOOKUP(2,1/($E$3:INDIRECT("E"&amp;(ROW()-1))=$E28),$M$3:INDIRECT("M"&amp;(ROW()-1))),FID_Plan!$M28))))</f>
        <v>46360.9371693122</v>
      </c>
      <c r="K28" s="4" t="n">
        <f aca="false">IF($A28="","",IFERROR(VLOOKUP(B28,CHOOSE(MATCH(C28,Settings!$L$4:$L$10,0),OPR_2P!$A$4:$I$18,SEG_6P!$A$4:$I$18,SOL_4P!$A$4:$I$18,RW_2P!$A$4:$I$18,RW2_4P!$A$4:$I$18,FLAP_4P!$A$4:$I$18,TUBE_4P!$A$4:$I$18),8,0),0))</f>
        <v>47</v>
      </c>
      <c r="L28" s="4" t="n">
        <f aca="false">IF($A28="","",K28*D28)</f>
        <v>94</v>
      </c>
      <c r="M28" s="57" t="n">
        <f aca="false">IF($A28="","",$J28+($L28/(IF(F28="Contract Workman",Settings!$K$5,Settings!$K$4))))</f>
        <v>46365.289021164</v>
      </c>
      <c r="N28" s="4" t="str">
        <f aca="false">IF($A28="","",IF(F28="Contract Workman",IF(AND(MOD(M28,1)&gt;=8/24,MOD(M28,1)&lt;20/24),"Shift S1","Shift S2"),IF(AND(MOD(M28,1)&gt;=7/24,MOD(M28,1)&lt;15/24),"Shift A",IF(AND(MOD(M28,1)&gt;=15/24,MOD(M28,1)&lt;23/24),"Shift B","Shift C"))))</f>
        <v>Shift C</v>
      </c>
      <c r="O28" s="52" t="str">
        <f aca="false"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3" t="str">
        <f aca="false">IF(AND(Q$3&gt;=$J28, Q$3&lt;$M28), $A28, "")</f>
        <v/>
      </c>
      <c r="Q28" s="53" t="str">
        <f aca="false">IF(AND(R$3&gt;=$J28, R$3&lt;$M28), $A28, "")</f>
        <v/>
      </c>
      <c r="R28" s="53" t="str">
        <f aca="false">IF(AND(S$3&gt;=$J28, S$3&lt;$M28), $A28, "")</f>
        <v/>
      </c>
      <c r="S28" s="53" t="str">
        <f aca="false">IF(AND(T$3&gt;=$J28, T$3&lt;$M28), $A28, "")</f>
        <v/>
      </c>
      <c r="T28" s="53" t="str">
        <f aca="false">IF(AND(U$3&gt;=$J28, U$3&lt;$M28), $A28, "")</f>
        <v/>
      </c>
      <c r="U28" s="53" t="str">
        <f aca="false">IF(AND(V$3&gt;=$J28, V$3&lt;$M28), $A28, "")</f>
        <v/>
      </c>
      <c r="V28" s="53" t="str">
        <f aca="false">IF(AND(W$3&gt;=$J28, W$3&lt;$M28), $A28, "")</f>
        <v/>
      </c>
      <c r="W28" s="53" t="str">
        <f aca="false">IF(AND(X$3&gt;=$J28, X$3&lt;$M28), $A28, "")</f>
        <v/>
      </c>
      <c r="X28" s="53" t="str">
        <f aca="false">IF(AND(Y$3&gt;=$J28, Y$3&lt;$M28), $A28, "")</f>
        <v/>
      </c>
      <c r="Y28" s="53" t="str">
        <f aca="false">IF(AND(Z$3&gt;=$J28, Z$3&lt;$M28), $A28, "")</f>
        <v/>
      </c>
      <c r="Z28" s="53" t="str">
        <f aca="false">IF(AND(AA$3&gt;=$J28, AA$3&lt;$M28), $A28, "")</f>
        <v/>
      </c>
      <c r="AA28" s="53" t="str">
        <f aca="false">IF(AND(AB$3&gt;=$J28, AB$3&lt;$M28), $A28, "")</f>
        <v/>
      </c>
      <c r="AB28" s="53" t="str">
        <f aca="false">IF(AND(AC$3&gt;=$J28, AC$3&lt;$M28), $A28, "")</f>
        <v/>
      </c>
      <c r="AC28" s="53" t="str">
        <f aca="false">IF(AND(AD$3&gt;=$J28, AD$3&lt;$M28), $A28, "")</f>
        <v/>
      </c>
      <c r="AD28" s="53" t="str">
        <f aca="false">IF(AND(AE$3&gt;=$J28, AE$3&lt;$M28), $A28, "")</f>
        <v/>
      </c>
      <c r="AE28" s="53" t="str">
        <f aca="false">IF(AND(AF$3&gt;=$J28, AF$3&lt;$M28), $A28, "")</f>
        <v/>
      </c>
      <c r="AF28" s="53" t="str">
        <f aca="false">IF(AND(AG$3&gt;=$J28, AG$3&lt;$M28), $A28, "")</f>
        <v/>
      </c>
      <c r="AG28" s="53" t="str">
        <f aca="false">IF(AND(AH$3&gt;=$J28, AH$3&lt;$M28), $A28, "")</f>
        <v/>
      </c>
      <c r="AH28" s="53" t="str">
        <f aca="false">IF(AND(AI$3&gt;=$J28, AI$3&lt;$M28), $A28, "")</f>
        <v/>
      </c>
      <c r="AI28" s="53" t="str">
        <f aca="false">IF(AND(AJ$3&gt;=$J28, AJ$3&lt;$M28), $A28, "")</f>
        <v/>
      </c>
      <c r="AJ28" s="53" t="str">
        <f aca="false">IF(AND(AK$3&gt;=$J28, AK$3&lt;$M28), $A28, "")</f>
        <v/>
      </c>
      <c r="AK28" s="53" t="str">
        <f aca="false">IF(AND(AL$3&gt;=$J28, AL$3&lt;$M28), $A28, "")</f>
        <v/>
      </c>
      <c r="AL28" s="53" t="str">
        <f aca="false">IF(AND(AM$3&gt;=$J28, AM$3&lt;$M28), $A28, "")</f>
        <v/>
      </c>
      <c r="AM28" s="53" t="str">
        <f aca="false">IF(AND(AN$3&gt;=$J28, AN$3&lt;$M28), $A28, "")</f>
        <v/>
      </c>
      <c r="AN28" s="53" t="str">
        <f aca="false">IF(AND(AO$3&gt;=$J28, AO$3&lt;$M28), $A28, "")</f>
        <v/>
      </c>
      <c r="AO28" s="53" t="str">
        <f aca="false">IF(AND(AP$3&gt;=$J28, AP$3&lt;$M28), $A28, "")</f>
        <v/>
      </c>
      <c r="AP28" s="53" t="str">
        <f aca="false">IF(AND(AQ$3&gt;=$J28, AQ$3&lt;$M28), $A28, "")</f>
        <v/>
      </c>
      <c r="AQ28" s="53" t="str">
        <f aca="false">IF(AND(AR$3&gt;=$J28, AR$3&lt;$M28), $A28, "")</f>
        <v/>
      </c>
      <c r="AR28" s="53" t="str">
        <f aca="false">IF(AND(AS$3&gt;=$J28, AS$3&lt;$M28), $A28, "")</f>
        <v/>
      </c>
      <c r="AS28" s="53" t="str">
        <f aca="false">IF(AND(AT$3&gt;=$J28, AT$3&lt;$M28), $A28, "")</f>
        <v/>
      </c>
      <c r="AT28" s="53" t="str">
        <f aca="false">IF(AND(AU$3&gt;=$J28, AU$3&lt;$M28), $A28, "")</f>
        <v/>
      </c>
      <c r="AU28" s="53" t="str">
        <f aca="false">IF(AND(AV$3&gt;=$J28, AV$3&lt;$M28), $A28, "")</f>
        <v/>
      </c>
      <c r="AV28" s="53" t="str">
        <f aca="false">IF(AND(AW$3&gt;=$J28, AW$3&lt;$M28), $A28, "")</f>
        <v/>
      </c>
      <c r="AW28" s="53" t="str">
        <f aca="false">IF(AND(AX$3&gt;=$J28, AX$3&lt;$M28), $A28, "")</f>
        <v/>
      </c>
      <c r="AX28" s="53" t="str">
        <f aca="false">IF(AND(AY$3&gt;=$J28, AY$3&lt;$M28), $A28, "")</f>
        <v/>
      </c>
      <c r="AY28" s="53" t="str">
        <f aca="false">IF(AND(AZ$3&gt;=$J28, AZ$3&lt;$M28), $A28, "")</f>
        <v/>
      </c>
      <c r="AZ28" s="53" t="str">
        <f aca="false">IF(AND(BA$3&gt;=$J28, BA$3&lt;$M28), $A28, "")</f>
        <v/>
      </c>
      <c r="BA28" s="53" t="str">
        <f aca="false">IF(AND(BB$3&gt;=$J28, BB$3&lt;$M28), $A28, "")</f>
        <v/>
      </c>
      <c r="BB28" s="53" t="str">
        <f aca="false">IF(AND(BC$3&gt;=$J28, BC$3&lt;$M28), $A28, "")</f>
        <v/>
      </c>
      <c r="BC28" s="53" t="str">
        <f aca="false">IF(AND(BD$3&gt;=$J28, BD$3&lt;$M28), $A28, "")</f>
        <v/>
      </c>
      <c r="BD28" s="53" t="str">
        <f aca="false">IF(AND(BE$3&gt;=$J28, BE$3&lt;$M28), $A28, "")</f>
        <v/>
      </c>
      <c r="BE28" s="53" t="str">
        <f aca="false">IF(AND(BF$3&gt;=$J28, BF$3&lt;$M28), $A28, "")</f>
        <v/>
      </c>
      <c r="BF28" s="53" t="str">
        <f aca="false">IF(AND(BG$3&gt;=$J28, BG$3&lt;$M28), $A28, "")</f>
        <v/>
      </c>
      <c r="BG28" s="53" t="str">
        <f aca="false">IF(AND(BH$3&gt;=$J28, BH$3&lt;$M28), $A28, "")</f>
        <v/>
      </c>
      <c r="BH28" s="53" t="str">
        <f aca="false">IF(AND(BI$3&gt;=$J28, BI$3&lt;$M28), $A28, "")</f>
        <v/>
      </c>
      <c r="BI28" s="53" t="str">
        <f aca="false">IF(AND(BJ$3&gt;=$J28, BJ$3&lt;$M28), $A28, "")</f>
        <v/>
      </c>
      <c r="BJ28" s="53" t="str">
        <f aca="false">IF(AND(BK$3&gt;=$J28, BK$3&lt;$M28), $A28, "")</f>
        <v/>
      </c>
      <c r="BK28" s="53" t="str">
        <f aca="false">IF(AND(BL$3&gt;=$J28, BL$3&lt;$M28), $A28, "")</f>
        <v/>
      </c>
      <c r="BL28" s="53" t="str">
        <f aca="false">IF(AND(BM$3&gt;=$J28, BM$3&lt;$M28), $A28, "")</f>
        <v/>
      </c>
      <c r="BM28" s="53" t="str">
        <f aca="false">IF(AND(BN$3&gt;=$J28, BN$3&lt;$M28), $A28, "")</f>
        <v/>
      </c>
      <c r="BN28" s="1" t="str">
        <f aca="false">IF(AND(BO$3&gt;=$J28, BO$3&lt;$M28), $A28, "")</f>
        <v/>
      </c>
      <c r="BO28" s="1" t="str">
        <f aca="false">IF(AND(BP$3&gt;=$J28, BP$3&lt;$M28), $A28, "")</f>
        <v/>
      </c>
      <c r="BP28" s="1" t="str">
        <f aca="false">IF(AND(BQ$3&gt;=$J28, BQ$3&lt;$M28), $A28, "")</f>
        <v/>
      </c>
    </row>
    <row r="29" customFormat="false" ht="15" hidden="false" customHeight="true" outlineLevel="0" collapsed="false">
      <c r="A29" s="46" t="str">
        <f aca="false">IF(Job_Master!A29="","",Job_Master!A29)</f>
        <v>BJ-126</v>
      </c>
      <c r="B29" s="4" t="n">
        <f aca="false">IF($A29="","",Job_Master!B29)</f>
        <v>42</v>
      </c>
      <c r="C29" s="4" t="str">
        <f aca="false">IF($A29="","",Job_Master!C29)</f>
        <v>2P</v>
      </c>
      <c r="D29" s="4" t="n">
        <f aca="false">IF($A29="","",Job_Master!D29)</f>
        <v>2</v>
      </c>
      <c r="E29" s="48" t="str">
        <f aca="false">IF($A29="","",IFERROR(INDEX(Machine_List!$B$82:$B$86,MATCH("*"&amp;$B29&amp;"*",Machine_List!$J$82:$J$86,0)),"NO COMPATIBLE MACHINE"))</f>
        <v>QC-MC-01</v>
      </c>
      <c r="F29" s="4" t="str">
        <f aca="false">IF($E29="","",IFERROR(VLOOKUP($E29,Machine_List!$B:$G,6,0),""))</f>
        <v>General Workman</v>
      </c>
      <c r="G29" s="55" t="n">
        <f aca="false">IF($E29="","",IFERROR(VLOOKUP($E29,Machine_List!$B:$C,2,0),""))</f>
        <v>46518</v>
      </c>
      <c r="H29" s="4" t="n">
        <f aca="false">IF($E29="","",IFERROR(VLOOKUP($E29,Machine_List!$B:$D,3,0),""))</f>
        <v>6</v>
      </c>
      <c r="I29" s="56"/>
      <c r="J29" s="57" t="n">
        <f aca="true">IF($A29="","",IF($I29&lt;&gt;"",$I29,MAX(FID_Plan!$M29,IFERROR(LOOKUP(2,1/($E$3:INDIRECT("E"&amp;(ROW()-1))=$E29),$M$3:INDIRECT("M"&amp;(ROW()-1))),FID_Plan!$M29))))</f>
        <v>46365.289021164</v>
      </c>
      <c r="K29" s="4" t="n">
        <f aca="false">IF($A29="","",IFERROR(VLOOKUP(B29,CHOOSE(MATCH(C29,Settings!$L$4:$L$10,0),OPR_2P!$A$4:$I$18,SEG_6P!$A$4:$I$18,SOL_4P!$A$4:$I$18,RW_2P!$A$4:$I$18,RW2_4P!$A$4:$I$18,FLAP_4P!$A$4:$I$18,TUBE_4P!$A$4:$I$18),8,0),0))</f>
        <v>47</v>
      </c>
      <c r="L29" s="4" t="n">
        <f aca="false">IF($A29="","",K29*D29)</f>
        <v>94</v>
      </c>
      <c r="M29" s="57" t="n">
        <f aca="false">IF($A29="","",$J29+($L29/(IF(F29="Contract Workman",Settings!$K$5,Settings!$K$4))))</f>
        <v>46369.6408730159</v>
      </c>
      <c r="N29" s="4" t="str">
        <f aca="false">IF($A29="","",IF(F29="Contract Workman",IF(AND(MOD(M29,1)&gt;=8/24,MOD(M29,1)&lt;20/24),"Shift S1","Shift S2"),IF(AND(MOD(M29,1)&gt;=7/24,MOD(M29,1)&lt;15/24),"Shift A",IF(AND(MOD(M29,1)&gt;=15/24,MOD(M29,1)&lt;23/24),"Shift B","Shift C"))))</f>
        <v>Shift B</v>
      </c>
      <c r="O29" s="52" t="str">
        <f aca="false"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3" t="str">
        <f aca="false">IF(AND(Q$3&gt;=$J29, Q$3&lt;$M29), $A29, "")</f>
        <v/>
      </c>
      <c r="Q29" s="53" t="str">
        <f aca="false">IF(AND(R$3&gt;=$J29, R$3&lt;$M29), $A29, "")</f>
        <v/>
      </c>
      <c r="R29" s="53" t="str">
        <f aca="false">IF(AND(S$3&gt;=$J29, S$3&lt;$M29), $A29, "")</f>
        <v/>
      </c>
      <c r="S29" s="53" t="str">
        <f aca="false">IF(AND(T$3&gt;=$J29, T$3&lt;$M29), $A29, "")</f>
        <v/>
      </c>
      <c r="T29" s="53" t="str">
        <f aca="false">IF(AND(U$3&gt;=$J29, U$3&lt;$M29), $A29, "")</f>
        <v/>
      </c>
      <c r="U29" s="53" t="str">
        <f aca="false">IF(AND(V$3&gt;=$J29, V$3&lt;$M29), $A29, "")</f>
        <v/>
      </c>
      <c r="V29" s="53" t="str">
        <f aca="false">IF(AND(W$3&gt;=$J29, W$3&lt;$M29), $A29, "")</f>
        <v/>
      </c>
      <c r="W29" s="53" t="str">
        <f aca="false">IF(AND(X$3&gt;=$J29, X$3&lt;$M29), $A29, "")</f>
        <v/>
      </c>
      <c r="X29" s="53" t="str">
        <f aca="false">IF(AND(Y$3&gt;=$J29, Y$3&lt;$M29), $A29, "")</f>
        <v/>
      </c>
      <c r="Y29" s="53" t="str">
        <f aca="false">IF(AND(Z$3&gt;=$J29, Z$3&lt;$M29), $A29, "")</f>
        <v/>
      </c>
      <c r="Z29" s="53" t="str">
        <f aca="false">IF(AND(AA$3&gt;=$J29, AA$3&lt;$M29), $A29, "")</f>
        <v/>
      </c>
      <c r="AA29" s="53" t="str">
        <f aca="false">IF(AND(AB$3&gt;=$J29, AB$3&lt;$M29), $A29, "")</f>
        <v/>
      </c>
      <c r="AB29" s="53" t="str">
        <f aca="false">IF(AND(AC$3&gt;=$J29, AC$3&lt;$M29), $A29, "")</f>
        <v/>
      </c>
      <c r="AC29" s="53" t="str">
        <f aca="false">IF(AND(AD$3&gt;=$J29, AD$3&lt;$M29), $A29, "")</f>
        <v/>
      </c>
      <c r="AD29" s="53" t="str">
        <f aca="false">IF(AND(AE$3&gt;=$J29, AE$3&lt;$M29), $A29, "")</f>
        <v/>
      </c>
      <c r="AE29" s="53" t="str">
        <f aca="false">IF(AND(AF$3&gt;=$J29, AF$3&lt;$M29), $A29, "")</f>
        <v/>
      </c>
      <c r="AF29" s="53" t="str">
        <f aca="false">IF(AND(AG$3&gt;=$J29, AG$3&lt;$M29), $A29, "")</f>
        <v/>
      </c>
      <c r="AG29" s="53" t="str">
        <f aca="false">IF(AND(AH$3&gt;=$J29, AH$3&lt;$M29), $A29, "")</f>
        <v/>
      </c>
      <c r="AH29" s="53" t="str">
        <f aca="false">IF(AND(AI$3&gt;=$J29, AI$3&lt;$M29), $A29, "")</f>
        <v/>
      </c>
      <c r="AI29" s="53" t="str">
        <f aca="false">IF(AND(AJ$3&gt;=$J29, AJ$3&lt;$M29), $A29, "")</f>
        <v/>
      </c>
      <c r="AJ29" s="53" t="str">
        <f aca="false">IF(AND(AK$3&gt;=$J29, AK$3&lt;$M29), $A29, "")</f>
        <v/>
      </c>
      <c r="AK29" s="53" t="str">
        <f aca="false">IF(AND(AL$3&gt;=$J29, AL$3&lt;$M29), $A29, "")</f>
        <v/>
      </c>
      <c r="AL29" s="53" t="str">
        <f aca="false">IF(AND(AM$3&gt;=$J29, AM$3&lt;$M29), $A29, "")</f>
        <v/>
      </c>
      <c r="AM29" s="53" t="str">
        <f aca="false">IF(AND(AN$3&gt;=$J29, AN$3&lt;$M29), $A29, "")</f>
        <v/>
      </c>
      <c r="AN29" s="53" t="str">
        <f aca="false">IF(AND(AO$3&gt;=$J29, AO$3&lt;$M29), $A29, "")</f>
        <v/>
      </c>
      <c r="AO29" s="53" t="str">
        <f aca="false">IF(AND(AP$3&gt;=$J29, AP$3&lt;$M29), $A29, "")</f>
        <v/>
      </c>
      <c r="AP29" s="53" t="str">
        <f aca="false">IF(AND(AQ$3&gt;=$J29, AQ$3&lt;$M29), $A29, "")</f>
        <v/>
      </c>
      <c r="AQ29" s="53" t="str">
        <f aca="false">IF(AND(AR$3&gt;=$J29, AR$3&lt;$M29), $A29, "")</f>
        <v/>
      </c>
      <c r="AR29" s="53" t="str">
        <f aca="false">IF(AND(AS$3&gt;=$J29, AS$3&lt;$M29), $A29, "")</f>
        <v/>
      </c>
      <c r="AS29" s="53" t="str">
        <f aca="false">IF(AND(AT$3&gt;=$J29, AT$3&lt;$M29), $A29, "")</f>
        <v/>
      </c>
      <c r="AT29" s="53" t="str">
        <f aca="false">IF(AND(AU$3&gt;=$J29, AU$3&lt;$M29), $A29, "")</f>
        <v/>
      </c>
      <c r="AU29" s="53" t="str">
        <f aca="false">IF(AND(AV$3&gt;=$J29, AV$3&lt;$M29), $A29, "")</f>
        <v/>
      </c>
      <c r="AV29" s="53" t="str">
        <f aca="false">IF(AND(AW$3&gt;=$J29, AW$3&lt;$M29), $A29, "")</f>
        <v/>
      </c>
      <c r="AW29" s="53" t="str">
        <f aca="false">IF(AND(AX$3&gt;=$J29, AX$3&lt;$M29), $A29, "")</f>
        <v/>
      </c>
      <c r="AX29" s="53" t="str">
        <f aca="false">IF(AND(AY$3&gt;=$J29, AY$3&lt;$M29), $A29, "")</f>
        <v/>
      </c>
      <c r="AY29" s="53" t="str">
        <f aca="false">IF(AND(AZ$3&gt;=$J29, AZ$3&lt;$M29), $A29, "")</f>
        <v/>
      </c>
      <c r="AZ29" s="53" t="str">
        <f aca="false">IF(AND(BA$3&gt;=$J29, BA$3&lt;$M29), $A29, "")</f>
        <v/>
      </c>
      <c r="BA29" s="53" t="str">
        <f aca="false">IF(AND(BB$3&gt;=$J29, BB$3&lt;$M29), $A29, "")</f>
        <v/>
      </c>
      <c r="BB29" s="53" t="str">
        <f aca="false">IF(AND(BC$3&gt;=$J29, BC$3&lt;$M29), $A29, "")</f>
        <v/>
      </c>
      <c r="BC29" s="53" t="str">
        <f aca="false">IF(AND(BD$3&gt;=$J29, BD$3&lt;$M29), $A29, "")</f>
        <v/>
      </c>
      <c r="BD29" s="53" t="str">
        <f aca="false">IF(AND(BE$3&gt;=$J29, BE$3&lt;$M29), $A29, "")</f>
        <v/>
      </c>
      <c r="BE29" s="53" t="str">
        <f aca="false">IF(AND(BF$3&gt;=$J29, BF$3&lt;$M29), $A29, "")</f>
        <v/>
      </c>
      <c r="BF29" s="53" t="str">
        <f aca="false">IF(AND(BG$3&gt;=$J29, BG$3&lt;$M29), $A29, "")</f>
        <v/>
      </c>
      <c r="BG29" s="53" t="str">
        <f aca="false">IF(AND(BH$3&gt;=$J29, BH$3&lt;$M29), $A29, "")</f>
        <v/>
      </c>
      <c r="BH29" s="53" t="str">
        <f aca="false">IF(AND(BI$3&gt;=$J29, BI$3&lt;$M29), $A29, "")</f>
        <v/>
      </c>
      <c r="BI29" s="53" t="str">
        <f aca="false">IF(AND(BJ$3&gt;=$J29, BJ$3&lt;$M29), $A29, "")</f>
        <v/>
      </c>
      <c r="BJ29" s="53" t="str">
        <f aca="false">IF(AND(BK$3&gt;=$J29, BK$3&lt;$M29), $A29, "")</f>
        <v/>
      </c>
      <c r="BK29" s="53" t="str">
        <f aca="false">IF(AND(BL$3&gt;=$J29, BL$3&lt;$M29), $A29, "")</f>
        <v/>
      </c>
      <c r="BL29" s="53" t="str">
        <f aca="false">IF(AND(BM$3&gt;=$J29, BM$3&lt;$M29), $A29, "")</f>
        <v/>
      </c>
      <c r="BM29" s="53" t="str">
        <f aca="false">IF(AND(BN$3&gt;=$J29, BN$3&lt;$M29), $A29, "")</f>
        <v/>
      </c>
      <c r="BN29" s="1" t="str">
        <f aca="false">IF(AND(BO$3&gt;=$J29, BO$3&lt;$M29), $A29, "")</f>
        <v/>
      </c>
      <c r="BO29" s="1" t="str">
        <f aca="false">IF(AND(BP$3&gt;=$J29, BP$3&lt;$M29), $A29, "")</f>
        <v/>
      </c>
      <c r="BP29" s="1" t="str">
        <f aca="false">IF(AND(BQ$3&gt;=$J29, BQ$3&lt;$M29), $A29, "")</f>
        <v/>
      </c>
    </row>
    <row r="30" customFormat="false" ht="15" hidden="false" customHeight="true" outlineLevel="0" collapsed="false">
      <c r="A30" s="46" t="str">
        <f aca="false">IF(Job_Master!A30="","",Job_Master!A30)</f>
        <v>BJ-127</v>
      </c>
      <c r="B30" s="4" t="n">
        <f aca="false">IF($A30="","",Job_Master!B30)</f>
        <v>15</v>
      </c>
      <c r="C30" s="4" t="str">
        <f aca="false">IF($A30="","",Job_Master!C30)</f>
        <v>RW</v>
      </c>
      <c r="D30" s="4" t="n">
        <f aca="false">IF($A30="","",Job_Master!D30)</f>
        <v>2</v>
      </c>
      <c r="E30" s="48" t="str">
        <f aca="false">IF($A30="","",IFERROR(INDEX(Machine_List!$B$82:$B$86,MATCH("*"&amp;$B30&amp;"*",Machine_List!$J$82:$J$86,0)),"NO COMPATIBLE MACHINE"))</f>
        <v>QC-MC-01</v>
      </c>
      <c r="F30" s="4" t="str">
        <f aca="false">IF($E30="","",IFERROR(VLOOKUP($E30,Machine_List!$B:$G,6,0),""))</f>
        <v>General Workman</v>
      </c>
      <c r="G30" s="55" t="n">
        <f aca="false">IF($E30="","",IFERROR(VLOOKUP($E30,Machine_List!$B:$C,2,0),""))</f>
        <v>46518</v>
      </c>
      <c r="H30" s="4" t="n">
        <f aca="false">IF($E30="","",IFERROR(VLOOKUP($E30,Machine_List!$B:$D,3,0),""))</f>
        <v>6</v>
      </c>
      <c r="I30" s="56"/>
      <c r="J30" s="57" t="n">
        <f aca="true">IF($A30="","",IF($I30&lt;&gt;"",$I30,MAX(FID_Plan!$M30,IFERROR(LOOKUP(2,1/($E$3:INDIRECT("E"&amp;(ROW()-1))=$E30),$M$3:INDIRECT("M"&amp;(ROW()-1))),FID_Plan!$M30))))</f>
        <v>46369.6408730159</v>
      </c>
      <c r="K30" s="4" t="n">
        <f aca="false">IF($A30="","",IFERROR(VLOOKUP(B30,CHOOSE(MATCH(C30,Settings!$L$4:$L$10,0),OPR_2P!$A$4:$I$18,SEG_6P!$A$4:$I$18,SOL_4P!$A$4:$I$18,RW_2P!$A$4:$I$18,RW2_4P!$A$4:$I$18,FLAP_4P!$A$4:$I$18,TUBE_4P!$A$4:$I$18),8,0),0))</f>
        <v>7</v>
      </c>
      <c r="L30" s="4" t="n">
        <f aca="false">IF($A30="","",K30*D30)</f>
        <v>14</v>
      </c>
      <c r="M30" s="57" t="n">
        <f aca="false">IF($A30="","",$J30+($L30/(IF(F30="Contract Workman",Settings!$K$5,Settings!$K$4))))</f>
        <v>46370.289021164</v>
      </c>
      <c r="N30" s="4" t="str">
        <f aca="false">IF($A30="","",IF(F30="Contract Workman",IF(AND(MOD(M30,1)&gt;=8/24,MOD(M30,1)&lt;20/24),"Shift S1","Shift S2"),IF(AND(MOD(M30,1)&gt;=7/24,MOD(M30,1)&lt;15/24),"Shift A",IF(AND(MOD(M30,1)&gt;=15/24,MOD(M30,1)&lt;23/24),"Shift B","Shift C"))))</f>
        <v>Shift C</v>
      </c>
      <c r="O30" s="52" t="str">
        <f aca="false"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3" t="str">
        <f aca="false">IF(AND(Q$3&gt;=$J30, Q$3&lt;$M30), $A30, "")</f>
        <v/>
      </c>
      <c r="Q30" s="53" t="str">
        <f aca="false">IF(AND(R$3&gt;=$J30, R$3&lt;$M30), $A30, "")</f>
        <v/>
      </c>
      <c r="R30" s="53" t="str">
        <f aca="false">IF(AND(S$3&gt;=$J30, S$3&lt;$M30), $A30, "")</f>
        <v/>
      </c>
      <c r="S30" s="53" t="str">
        <f aca="false">IF(AND(T$3&gt;=$J30, T$3&lt;$M30), $A30, "")</f>
        <v/>
      </c>
      <c r="T30" s="53" t="str">
        <f aca="false">IF(AND(U$3&gt;=$J30, U$3&lt;$M30), $A30, "")</f>
        <v/>
      </c>
      <c r="U30" s="53" t="str">
        <f aca="false">IF(AND(V$3&gt;=$J30, V$3&lt;$M30), $A30, "")</f>
        <v/>
      </c>
      <c r="V30" s="53" t="str">
        <f aca="false">IF(AND(W$3&gt;=$J30, W$3&lt;$M30), $A30, "")</f>
        <v/>
      </c>
      <c r="W30" s="53" t="str">
        <f aca="false">IF(AND(X$3&gt;=$J30, X$3&lt;$M30), $A30, "")</f>
        <v/>
      </c>
      <c r="X30" s="53" t="str">
        <f aca="false">IF(AND(Y$3&gt;=$J30, Y$3&lt;$M30), $A30, "")</f>
        <v/>
      </c>
      <c r="Y30" s="53" t="str">
        <f aca="false">IF(AND(Z$3&gt;=$J30, Z$3&lt;$M30), $A30, "")</f>
        <v/>
      </c>
      <c r="Z30" s="53" t="str">
        <f aca="false">IF(AND(AA$3&gt;=$J30, AA$3&lt;$M30), $A30, "")</f>
        <v/>
      </c>
      <c r="AA30" s="53" t="str">
        <f aca="false">IF(AND(AB$3&gt;=$J30, AB$3&lt;$M30), $A30, "")</f>
        <v/>
      </c>
      <c r="AB30" s="53" t="str">
        <f aca="false">IF(AND(AC$3&gt;=$J30, AC$3&lt;$M30), $A30, "")</f>
        <v/>
      </c>
      <c r="AC30" s="53" t="str">
        <f aca="false">IF(AND(AD$3&gt;=$J30, AD$3&lt;$M30), $A30, "")</f>
        <v/>
      </c>
      <c r="AD30" s="53" t="str">
        <f aca="false">IF(AND(AE$3&gt;=$J30, AE$3&lt;$M30), $A30, "")</f>
        <v/>
      </c>
      <c r="AE30" s="53" t="str">
        <f aca="false">IF(AND(AF$3&gt;=$J30, AF$3&lt;$M30), $A30, "")</f>
        <v/>
      </c>
      <c r="AF30" s="53" t="str">
        <f aca="false">IF(AND(AG$3&gt;=$J30, AG$3&lt;$M30), $A30, "")</f>
        <v/>
      </c>
      <c r="AG30" s="53" t="str">
        <f aca="false">IF(AND(AH$3&gt;=$J30, AH$3&lt;$M30), $A30, "")</f>
        <v/>
      </c>
      <c r="AH30" s="53" t="str">
        <f aca="false">IF(AND(AI$3&gt;=$J30, AI$3&lt;$M30), $A30, "")</f>
        <v/>
      </c>
      <c r="AI30" s="53" t="str">
        <f aca="false">IF(AND(AJ$3&gt;=$J30, AJ$3&lt;$M30), $A30, "")</f>
        <v/>
      </c>
      <c r="AJ30" s="53" t="str">
        <f aca="false">IF(AND(AK$3&gt;=$J30, AK$3&lt;$M30), $A30, "")</f>
        <v/>
      </c>
      <c r="AK30" s="53" t="str">
        <f aca="false">IF(AND(AL$3&gt;=$J30, AL$3&lt;$M30), $A30, "")</f>
        <v/>
      </c>
      <c r="AL30" s="53" t="str">
        <f aca="false">IF(AND(AM$3&gt;=$J30, AM$3&lt;$M30), $A30, "")</f>
        <v/>
      </c>
      <c r="AM30" s="53" t="str">
        <f aca="false">IF(AND(AN$3&gt;=$J30, AN$3&lt;$M30), $A30, "")</f>
        <v/>
      </c>
      <c r="AN30" s="53" t="str">
        <f aca="false">IF(AND(AO$3&gt;=$J30, AO$3&lt;$M30), $A30, "")</f>
        <v/>
      </c>
      <c r="AO30" s="53" t="str">
        <f aca="false">IF(AND(AP$3&gt;=$J30, AP$3&lt;$M30), $A30, "")</f>
        <v/>
      </c>
      <c r="AP30" s="53" t="str">
        <f aca="false">IF(AND(AQ$3&gt;=$J30, AQ$3&lt;$M30), $A30, "")</f>
        <v/>
      </c>
      <c r="AQ30" s="53" t="str">
        <f aca="false">IF(AND(AR$3&gt;=$J30, AR$3&lt;$M30), $A30, "")</f>
        <v/>
      </c>
      <c r="AR30" s="53" t="str">
        <f aca="false">IF(AND(AS$3&gt;=$J30, AS$3&lt;$M30), $A30, "")</f>
        <v/>
      </c>
      <c r="AS30" s="53" t="str">
        <f aca="false">IF(AND(AT$3&gt;=$J30, AT$3&lt;$M30), $A30, "")</f>
        <v/>
      </c>
      <c r="AT30" s="53" t="str">
        <f aca="false">IF(AND(AU$3&gt;=$J30, AU$3&lt;$M30), $A30, "")</f>
        <v/>
      </c>
      <c r="AU30" s="53" t="str">
        <f aca="false">IF(AND(AV$3&gt;=$J30, AV$3&lt;$M30), $A30, "")</f>
        <v/>
      </c>
      <c r="AV30" s="53" t="str">
        <f aca="false">IF(AND(AW$3&gt;=$J30, AW$3&lt;$M30), $A30, "")</f>
        <v/>
      </c>
      <c r="AW30" s="53" t="str">
        <f aca="false">IF(AND(AX$3&gt;=$J30, AX$3&lt;$M30), $A30, "")</f>
        <v/>
      </c>
      <c r="AX30" s="53" t="str">
        <f aca="false">IF(AND(AY$3&gt;=$J30, AY$3&lt;$M30), $A30, "")</f>
        <v/>
      </c>
      <c r="AY30" s="53" t="str">
        <f aca="false">IF(AND(AZ$3&gt;=$J30, AZ$3&lt;$M30), $A30, "")</f>
        <v/>
      </c>
      <c r="AZ30" s="53" t="str">
        <f aca="false">IF(AND(BA$3&gt;=$J30, BA$3&lt;$M30), $A30, "")</f>
        <v/>
      </c>
      <c r="BA30" s="53" t="str">
        <f aca="false">IF(AND(BB$3&gt;=$J30, BB$3&lt;$M30), $A30, "")</f>
        <v/>
      </c>
      <c r="BB30" s="53" t="str">
        <f aca="false">IF(AND(BC$3&gt;=$J30, BC$3&lt;$M30), $A30, "")</f>
        <v/>
      </c>
      <c r="BC30" s="53" t="str">
        <f aca="false">IF(AND(BD$3&gt;=$J30, BD$3&lt;$M30), $A30, "")</f>
        <v/>
      </c>
      <c r="BD30" s="53" t="str">
        <f aca="false">IF(AND(BE$3&gt;=$J30, BE$3&lt;$M30), $A30, "")</f>
        <v/>
      </c>
      <c r="BE30" s="53" t="str">
        <f aca="false">IF(AND(BF$3&gt;=$J30, BF$3&lt;$M30), $A30, "")</f>
        <v/>
      </c>
      <c r="BF30" s="53" t="str">
        <f aca="false">IF(AND(BG$3&gt;=$J30, BG$3&lt;$M30), $A30, "")</f>
        <v/>
      </c>
      <c r="BG30" s="53" t="str">
        <f aca="false">IF(AND(BH$3&gt;=$J30, BH$3&lt;$M30), $A30, "")</f>
        <v/>
      </c>
      <c r="BH30" s="53" t="str">
        <f aca="false">IF(AND(BI$3&gt;=$J30, BI$3&lt;$M30), $A30, "")</f>
        <v/>
      </c>
      <c r="BI30" s="53" t="str">
        <f aca="false">IF(AND(BJ$3&gt;=$J30, BJ$3&lt;$M30), $A30, "")</f>
        <v/>
      </c>
      <c r="BJ30" s="53" t="str">
        <f aca="false">IF(AND(BK$3&gt;=$J30, BK$3&lt;$M30), $A30, "")</f>
        <v/>
      </c>
      <c r="BK30" s="53" t="str">
        <f aca="false">IF(AND(BL$3&gt;=$J30, BL$3&lt;$M30), $A30, "")</f>
        <v/>
      </c>
      <c r="BL30" s="53" t="str">
        <f aca="false">IF(AND(BM$3&gt;=$J30, BM$3&lt;$M30), $A30, "")</f>
        <v/>
      </c>
      <c r="BM30" s="53" t="str">
        <f aca="false">IF(AND(BN$3&gt;=$J30, BN$3&lt;$M30), $A30, "")</f>
        <v/>
      </c>
      <c r="BN30" s="1" t="str">
        <f aca="false">IF(AND(BO$3&gt;=$J30, BO$3&lt;$M30), $A30, "")</f>
        <v/>
      </c>
      <c r="BO30" s="1" t="str">
        <f aca="false">IF(AND(BP$3&gt;=$J30, BP$3&lt;$M30), $A30, "")</f>
        <v/>
      </c>
      <c r="BP30" s="1" t="str">
        <f aca="false">IF(AND(BQ$3&gt;=$J30, BQ$3&lt;$M30), $A30, "")</f>
        <v/>
      </c>
    </row>
    <row r="31" customFormat="false" ht="15" hidden="false" customHeight="true" outlineLevel="0" collapsed="false">
      <c r="A31" s="46" t="str">
        <f aca="false">IF(Job_Master!A31="","",Job_Master!A31)</f>
        <v>BJ-128</v>
      </c>
      <c r="B31" s="4" t="n">
        <f aca="false">IF($A31="","",Job_Master!B31)</f>
        <v>46</v>
      </c>
      <c r="C31" s="4" t="str">
        <f aca="false">IF($A31="","",Job_Master!C31)</f>
        <v>2P</v>
      </c>
      <c r="D31" s="4" t="n">
        <f aca="false">IF($A31="","",Job_Master!D31)</f>
        <v>2</v>
      </c>
      <c r="E31" s="48" t="str">
        <f aca="false">IF($A31="","",IFERROR(INDEX(Machine_List!$B$82:$B$86,MATCH("*"&amp;$B31&amp;"*",Machine_List!$J$82:$J$86,0)),"NO COMPATIBLE MACHINE"))</f>
        <v>QC-MC-01</v>
      </c>
      <c r="F31" s="4" t="str">
        <f aca="false">IF($E31="","",IFERROR(VLOOKUP($E31,Machine_List!$B:$G,6,0),""))</f>
        <v>General Workman</v>
      </c>
      <c r="G31" s="55" t="n">
        <f aca="false">IF($E31="","",IFERROR(VLOOKUP($E31,Machine_List!$B:$C,2,0),""))</f>
        <v>46518</v>
      </c>
      <c r="H31" s="4" t="n">
        <f aca="false">IF($E31="","",IFERROR(VLOOKUP($E31,Machine_List!$B:$D,3,0),""))</f>
        <v>6</v>
      </c>
      <c r="I31" s="56"/>
      <c r="J31" s="57" t="n">
        <f aca="true">IF($A31="","",IF($I31&lt;&gt;"",$I31,MAX(FID_Plan!$M31,IFERROR(LOOKUP(2,1/($E$3:INDIRECT("E"&amp;(ROW()-1))=$E31),$M$3:INDIRECT("M"&amp;(ROW()-1))),FID_Plan!$M31))))</f>
        <v>46370.289021164</v>
      </c>
      <c r="K31" s="4" t="n">
        <f aca="false">IF($A31="","",IFERROR(VLOOKUP(B31,CHOOSE(MATCH(C31,Settings!$L$4:$L$10,0),OPR_2P!$A$4:$I$18,SEG_6P!$A$4:$I$18,SOL_4P!$A$4:$I$18,RW_2P!$A$4:$I$18,RW2_4P!$A$4:$I$18,FLAP_4P!$A$4:$I$18,TUBE_4P!$A$4:$I$18),8,0),0))</f>
        <v>35</v>
      </c>
      <c r="L31" s="4" t="n">
        <f aca="false">IF($A31="","",K31*D31)</f>
        <v>70</v>
      </c>
      <c r="M31" s="57" t="n">
        <f aca="false">IF($A31="","",$J31+($L31/(IF(F31="Contract Workman",Settings!$K$5,Settings!$K$4))))</f>
        <v>46373.5297619048</v>
      </c>
      <c r="N31" s="4" t="str">
        <f aca="false">IF($A31="","",IF(F31="Contract Workman",IF(AND(MOD(M31,1)&gt;=8/24,MOD(M31,1)&lt;20/24),"Shift S1","Shift S2"),IF(AND(MOD(M31,1)&gt;=7/24,MOD(M31,1)&lt;15/24),"Shift A",IF(AND(MOD(M31,1)&gt;=15/24,MOD(M31,1)&lt;23/24),"Shift B","Shift C"))))</f>
        <v>Shift A</v>
      </c>
      <c r="O31" s="52" t="str">
        <f aca="false"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3" t="str">
        <f aca="false">IF(AND(Q$3&gt;=$J31, Q$3&lt;$M31), $A31, "")</f>
        <v/>
      </c>
      <c r="Q31" s="53" t="str">
        <f aca="false">IF(AND(R$3&gt;=$J31, R$3&lt;$M31), $A31, "")</f>
        <v/>
      </c>
      <c r="R31" s="53" t="str">
        <f aca="false">IF(AND(S$3&gt;=$J31, S$3&lt;$M31), $A31, "")</f>
        <v/>
      </c>
      <c r="S31" s="53" t="str">
        <f aca="false">IF(AND(T$3&gt;=$J31, T$3&lt;$M31), $A31, "")</f>
        <v/>
      </c>
      <c r="T31" s="53" t="str">
        <f aca="false">IF(AND(U$3&gt;=$J31, U$3&lt;$M31), $A31, "")</f>
        <v/>
      </c>
      <c r="U31" s="53" t="str">
        <f aca="false">IF(AND(V$3&gt;=$J31, V$3&lt;$M31), $A31, "")</f>
        <v/>
      </c>
      <c r="V31" s="53" t="str">
        <f aca="false">IF(AND(W$3&gt;=$J31, W$3&lt;$M31), $A31, "")</f>
        <v/>
      </c>
      <c r="W31" s="53" t="str">
        <f aca="false">IF(AND(X$3&gt;=$J31, X$3&lt;$M31), $A31, "")</f>
        <v/>
      </c>
      <c r="X31" s="53" t="str">
        <f aca="false">IF(AND(Y$3&gt;=$J31, Y$3&lt;$M31), $A31, "")</f>
        <v/>
      </c>
      <c r="Y31" s="53" t="str">
        <f aca="false">IF(AND(Z$3&gt;=$J31, Z$3&lt;$M31), $A31, "")</f>
        <v/>
      </c>
      <c r="Z31" s="53" t="str">
        <f aca="false">IF(AND(AA$3&gt;=$J31, AA$3&lt;$M31), $A31, "")</f>
        <v/>
      </c>
      <c r="AA31" s="53" t="str">
        <f aca="false">IF(AND(AB$3&gt;=$J31, AB$3&lt;$M31), $A31, "")</f>
        <v/>
      </c>
      <c r="AB31" s="53" t="str">
        <f aca="false">IF(AND(AC$3&gt;=$J31, AC$3&lt;$M31), $A31, "")</f>
        <v/>
      </c>
      <c r="AC31" s="53" t="str">
        <f aca="false">IF(AND(AD$3&gt;=$J31, AD$3&lt;$M31), $A31, "")</f>
        <v/>
      </c>
      <c r="AD31" s="53" t="str">
        <f aca="false">IF(AND(AE$3&gt;=$J31, AE$3&lt;$M31), $A31, "")</f>
        <v/>
      </c>
      <c r="AE31" s="53" t="str">
        <f aca="false">IF(AND(AF$3&gt;=$J31, AF$3&lt;$M31), $A31, "")</f>
        <v/>
      </c>
      <c r="AF31" s="53" t="str">
        <f aca="false">IF(AND(AG$3&gt;=$J31, AG$3&lt;$M31), $A31, "")</f>
        <v/>
      </c>
      <c r="AG31" s="53" t="str">
        <f aca="false">IF(AND(AH$3&gt;=$J31, AH$3&lt;$M31), $A31, "")</f>
        <v/>
      </c>
      <c r="AH31" s="53" t="str">
        <f aca="false">IF(AND(AI$3&gt;=$J31, AI$3&lt;$M31), $A31, "")</f>
        <v/>
      </c>
      <c r="AI31" s="53" t="str">
        <f aca="false">IF(AND(AJ$3&gt;=$J31, AJ$3&lt;$M31), $A31, "")</f>
        <v/>
      </c>
      <c r="AJ31" s="53" t="str">
        <f aca="false">IF(AND(AK$3&gt;=$J31, AK$3&lt;$M31), $A31, "")</f>
        <v/>
      </c>
      <c r="AK31" s="53" t="str">
        <f aca="false">IF(AND(AL$3&gt;=$J31, AL$3&lt;$M31), $A31, "")</f>
        <v/>
      </c>
      <c r="AL31" s="53" t="str">
        <f aca="false">IF(AND(AM$3&gt;=$J31, AM$3&lt;$M31), $A31, "")</f>
        <v/>
      </c>
      <c r="AM31" s="53" t="str">
        <f aca="false">IF(AND(AN$3&gt;=$J31, AN$3&lt;$M31), $A31, "")</f>
        <v/>
      </c>
      <c r="AN31" s="53" t="str">
        <f aca="false">IF(AND(AO$3&gt;=$J31, AO$3&lt;$M31), $A31, "")</f>
        <v/>
      </c>
      <c r="AO31" s="53" t="str">
        <f aca="false">IF(AND(AP$3&gt;=$J31, AP$3&lt;$M31), $A31, "")</f>
        <v/>
      </c>
      <c r="AP31" s="53" t="str">
        <f aca="false">IF(AND(AQ$3&gt;=$J31, AQ$3&lt;$M31), $A31, "")</f>
        <v/>
      </c>
      <c r="AQ31" s="53" t="str">
        <f aca="false">IF(AND(AR$3&gt;=$J31, AR$3&lt;$M31), $A31, "")</f>
        <v/>
      </c>
      <c r="AR31" s="53" t="str">
        <f aca="false">IF(AND(AS$3&gt;=$J31, AS$3&lt;$M31), $A31, "")</f>
        <v/>
      </c>
      <c r="AS31" s="53" t="str">
        <f aca="false">IF(AND(AT$3&gt;=$J31, AT$3&lt;$M31), $A31, "")</f>
        <v/>
      </c>
      <c r="AT31" s="53" t="str">
        <f aca="false">IF(AND(AU$3&gt;=$J31, AU$3&lt;$M31), $A31, "")</f>
        <v/>
      </c>
      <c r="AU31" s="53" t="str">
        <f aca="false">IF(AND(AV$3&gt;=$J31, AV$3&lt;$M31), $A31, "")</f>
        <v/>
      </c>
      <c r="AV31" s="53" t="str">
        <f aca="false">IF(AND(AW$3&gt;=$J31, AW$3&lt;$M31), $A31, "")</f>
        <v/>
      </c>
      <c r="AW31" s="53" t="str">
        <f aca="false">IF(AND(AX$3&gt;=$J31, AX$3&lt;$M31), $A31, "")</f>
        <v/>
      </c>
      <c r="AX31" s="53" t="str">
        <f aca="false">IF(AND(AY$3&gt;=$J31, AY$3&lt;$M31), $A31, "")</f>
        <v/>
      </c>
      <c r="AY31" s="53" t="str">
        <f aca="false">IF(AND(AZ$3&gt;=$J31, AZ$3&lt;$M31), $A31, "")</f>
        <v/>
      </c>
      <c r="AZ31" s="53" t="str">
        <f aca="false">IF(AND(BA$3&gt;=$J31, BA$3&lt;$M31), $A31, "")</f>
        <v/>
      </c>
      <c r="BA31" s="53" t="str">
        <f aca="false">IF(AND(BB$3&gt;=$J31, BB$3&lt;$M31), $A31, "")</f>
        <v/>
      </c>
      <c r="BB31" s="53" t="str">
        <f aca="false">IF(AND(BC$3&gt;=$J31, BC$3&lt;$M31), $A31, "")</f>
        <v/>
      </c>
      <c r="BC31" s="53" t="str">
        <f aca="false">IF(AND(BD$3&gt;=$J31, BD$3&lt;$M31), $A31, "")</f>
        <v/>
      </c>
      <c r="BD31" s="53" t="str">
        <f aca="false">IF(AND(BE$3&gt;=$J31, BE$3&lt;$M31), $A31, "")</f>
        <v/>
      </c>
      <c r="BE31" s="53" t="str">
        <f aca="false">IF(AND(BF$3&gt;=$J31, BF$3&lt;$M31), $A31, "")</f>
        <v/>
      </c>
      <c r="BF31" s="53" t="str">
        <f aca="false">IF(AND(BG$3&gt;=$J31, BG$3&lt;$M31), $A31, "")</f>
        <v/>
      </c>
      <c r="BG31" s="53" t="str">
        <f aca="false">IF(AND(BH$3&gt;=$J31, BH$3&lt;$M31), $A31, "")</f>
        <v/>
      </c>
      <c r="BH31" s="53" t="str">
        <f aca="false">IF(AND(BI$3&gt;=$J31, BI$3&lt;$M31), $A31, "")</f>
        <v/>
      </c>
      <c r="BI31" s="53" t="str">
        <f aca="false">IF(AND(BJ$3&gt;=$J31, BJ$3&lt;$M31), $A31, "")</f>
        <v/>
      </c>
      <c r="BJ31" s="53" t="str">
        <f aca="false">IF(AND(BK$3&gt;=$J31, BK$3&lt;$M31), $A31, "")</f>
        <v/>
      </c>
      <c r="BK31" s="53" t="str">
        <f aca="false">IF(AND(BL$3&gt;=$J31, BL$3&lt;$M31), $A31, "")</f>
        <v/>
      </c>
      <c r="BL31" s="53" t="str">
        <f aca="false">IF(AND(BM$3&gt;=$J31, BM$3&lt;$M31), $A31, "")</f>
        <v/>
      </c>
      <c r="BM31" s="53" t="str">
        <f aca="false">IF(AND(BN$3&gt;=$J31, BN$3&lt;$M31), $A31, "")</f>
        <v/>
      </c>
      <c r="BN31" s="1" t="str">
        <f aca="false">IF(AND(BO$3&gt;=$J31, BO$3&lt;$M31), $A31, "")</f>
        <v/>
      </c>
      <c r="BO31" s="1" t="str">
        <f aca="false">IF(AND(BP$3&gt;=$J31, BP$3&lt;$M31), $A31, "")</f>
        <v/>
      </c>
      <c r="BP31" s="1" t="str">
        <f aca="false">IF(AND(BQ$3&gt;=$J31, BQ$3&lt;$M31), $A31, "")</f>
        <v/>
      </c>
    </row>
    <row r="32" customFormat="false" ht="15" hidden="false" customHeight="true" outlineLevel="0" collapsed="false">
      <c r="A32" s="46" t="str">
        <f aca="false">IF(Job_Master!A32="","",Job_Master!A32)</f>
        <v>BJ-125</v>
      </c>
      <c r="B32" s="4" t="n">
        <f aca="false">IF($A32="","",Job_Master!B32)</f>
        <v>25</v>
      </c>
      <c r="C32" s="4" t="str">
        <f aca="false">IF($A32="","",Job_Master!C32)</f>
        <v>SEG</v>
      </c>
      <c r="D32" s="4" t="n">
        <f aca="false">IF($A32="","",Job_Master!D32)</f>
        <v>6</v>
      </c>
      <c r="E32" s="48" t="str">
        <f aca="false">IF($A32="","",IFERROR(INDEX(Machine_List!$B$82:$B$86,MATCH("*"&amp;$B32&amp;"*",Machine_List!$J$82:$J$86,0)),"NO COMPATIBLE MACHINE"))</f>
        <v>QC-MC-01</v>
      </c>
      <c r="F32" s="4" t="str">
        <f aca="false">IF($E32="","",IFERROR(VLOOKUP($E32,Machine_List!$B:$G,6,0),""))</f>
        <v>General Workman</v>
      </c>
      <c r="G32" s="55" t="n">
        <f aca="false">IF($E32="","",IFERROR(VLOOKUP($E32,Machine_List!$B:$C,2,0),""))</f>
        <v>46518</v>
      </c>
      <c r="H32" s="4" t="n">
        <f aca="false">IF($E32="","",IFERROR(VLOOKUP($E32,Machine_List!$B:$D,3,0),""))</f>
        <v>6</v>
      </c>
      <c r="I32" s="56"/>
      <c r="J32" s="57" t="n">
        <f aca="true">IF($A32="","",IF($I32&lt;&gt;"",$I32,MAX(FID_Plan!$M32,IFERROR(LOOKUP(2,1/($E$3:INDIRECT("E"&amp;(ROW()-1))=$E32),$M$3:INDIRECT("M"&amp;(ROW()-1))),FID_Plan!$M32))))</f>
        <v>46373.5297619048</v>
      </c>
      <c r="K32" s="4" t="n">
        <f aca="false">IF($A32="","",IFERROR(VLOOKUP(B32,CHOOSE(MATCH(C32,Settings!$L$4:$L$10,0),OPR_2P!$A$4:$I$18,SEG_6P!$A$4:$I$18,SOL_4P!$A$4:$I$18,RW_2P!$A$4:$I$18,RW2_4P!$A$4:$I$18,FLAP_4P!$A$4:$I$18,TUBE_4P!$A$4:$I$18),8,0),0))</f>
        <v>23</v>
      </c>
      <c r="L32" s="4" t="n">
        <f aca="false">IF($A32="","",K32*D32)</f>
        <v>138</v>
      </c>
      <c r="M32" s="57" t="n">
        <f aca="false">IF($A32="","",$J32+($L32/(IF(F32="Contract Workman",Settings!$K$5,Settings!$K$4))))</f>
        <v>46379.9186507937</v>
      </c>
      <c r="N32" s="4" t="str">
        <f aca="false">IF($A32="","",IF(F32="Contract Workman",IF(AND(MOD(M32,1)&gt;=8/24,MOD(M32,1)&lt;20/24),"Shift S1","Shift S2"),IF(AND(MOD(M32,1)&gt;=7/24,MOD(M32,1)&lt;15/24),"Shift A",IF(AND(MOD(M32,1)&gt;=15/24,MOD(M32,1)&lt;23/24),"Shift B","Shift C"))))</f>
        <v>Shift B</v>
      </c>
      <c r="O32" s="52" t="str">
        <f aca="false"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3" t="str">
        <f aca="false">IF(AND(Q$3&gt;=$J32, Q$3&lt;$M32), $A32, "")</f>
        <v/>
      </c>
      <c r="Q32" s="53" t="str">
        <f aca="false">IF(AND(R$3&gt;=$J32, R$3&lt;$M32), $A32, "")</f>
        <v/>
      </c>
      <c r="R32" s="53" t="str">
        <f aca="false">IF(AND(S$3&gt;=$J32, S$3&lt;$M32), $A32, "")</f>
        <v/>
      </c>
      <c r="S32" s="53" t="str">
        <f aca="false">IF(AND(T$3&gt;=$J32, T$3&lt;$M32), $A32, "")</f>
        <v/>
      </c>
      <c r="T32" s="53" t="str">
        <f aca="false">IF(AND(U$3&gt;=$J32, U$3&lt;$M32), $A32, "")</f>
        <v/>
      </c>
      <c r="U32" s="53" t="str">
        <f aca="false">IF(AND(V$3&gt;=$J32, V$3&lt;$M32), $A32, "")</f>
        <v/>
      </c>
      <c r="V32" s="53" t="str">
        <f aca="false">IF(AND(W$3&gt;=$J32, W$3&lt;$M32), $A32, "")</f>
        <v/>
      </c>
      <c r="W32" s="53" t="str">
        <f aca="false">IF(AND(X$3&gt;=$J32, X$3&lt;$M32), $A32, "")</f>
        <v/>
      </c>
      <c r="X32" s="53" t="str">
        <f aca="false">IF(AND(Y$3&gt;=$J32, Y$3&lt;$M32), $A32, "")</f>
        <v/>
      </c>
      <c r="Y32" s="53" t="str">
        <f aca="false">IF(AND(Z$3&gt;=$J32, Z$3&lt;$M32), $A32, "")</f>
        <v/>
      </c>
      <c r="Z32" s="53" t="str">
        <f aca="false">IF(AND(AA$3&gt;=$J32, AA$3&lt;$M32), $A32, "")</f>
        <v/>
      </c>
      <c r="AA32" s="53" t="str">
        <f aca="false">IF(AND(AB$3&gt;=$J32, AB$3&lt;$M32), $A32, "")</f>
        <v/>
      </c>
      <c r="AB32" s="53" t="str">
        <f aca="false">IF(AND(AC$3&gt;=$J32, AC$3&lt;$M32), $A32, "")</f>
        <v/>
      </c>
      <c r="AC32" s="53" t="str">
        <f aca="false">IF(AND(AD$3&gt;=$J32, AD$3&lt;$M32), $A32, "")</f>
        <v/>
      </c>
      <c r="AD32" s="53" t="str">
        <f aca="false">IF(AND(AE$3&gt;=$J32, AE$3&lt;$M32), $A32, "")</f>
        <v/>
      </c>
      <c r="AE32" s="53" t="str">
        <f aca="false">IF(AND(AF$3&gt;=$J32, AF$3&lt;$M32), $A32, "")</f>
        <v/>
      </c>
      <c r="AF32" s="53" t="str">
        <f aca="false">IF(AND(AG$3&gt;=$J32, AG$3&lt;$M32), $A32, "")</f>
        <v/>
      </c>
      <c r="AG32" s="53" t="str">
        <f aca="false">IF(AND(AH$3&gt;=$J32, AH$3&lt;$M32), $A32, "")</f>
        <v/>
      </c>
      <c r="AH32" s="53" t="str">
        <f aca="false">IF(AND(AI$3&gt;=$J32, AI$3&lt;$M32), $A32, "")</f>
        <v/>
      </c>
      <c r="AI32" s="53" t="str">
        <f aca="false">IF(AND(AJ$3&gt;=$J32, AJ$3&lt;$M32), $A32, "")</f>
        <v/>
      </c>
      <c r="AJ32" s="53" t="str">
        <f aca="false">IF(AND(AK$3&gt;=$J32, AK$3&lt;$M32), $A32, "")</f>
        <v/>
      </c>
      <c r="AK32" s="53" t="str">
        <f aca="false">IF(AND(AL$3&gt;=$J32, AL$3&lt;$M32), $A32, "")</f>
        <v/>
      </c>
      <c r="AL32" s="53" t="str">
        <f aca="false">IF(AND(AM$3&gt;=$J32, AM$3&lt;$M32), $A32, "")</f>
        <v/>
      </c>
      <c r="AM32" s="53" t="str">
        <f aca="false">IF(AND(AN$3&gt;=$J32, AN$3&lt;$M32), $A32, "")</f>
        <v/>
      </c>
      <c r="AN32" s="53" t="str">
        <f aca="false">IF(AND(AO$3&gt;=$J32, AO$3&lt;$M32), $A32, "")</f>
        <v/>
      </c>
      <c r="AO32" s="53" t="str">
        <f aca="false">IF(AND(AP$3&gt;=$J32, AP$3&lt;$M32), $A32, "")</f>
        <v/>
      </c>
      <c r="AP32" s="53" t="str">
        <f aca="false">IF(AND(AQ$3&gt;=$J32, AQ$3&lt;$M32), $A32, "")</f>
        <v/>
      </c>
      <c r="AQ32" s="53" t="str">
        <f aca="false">IF(AND(AR$3&gt;=$J32, AR$3&lt;$M32), $A32, "")</f>
        <v/>
      </c>
      <c r="AR32" s="53" t="str">
        <f aca="false">IF(AND(AS$3&gt;=$J32, AS$3&lt;$M32), $A32, "")</f>
        <v/>
      </c>
      <c r="AS32" s="53" t="str">
        <f aca="false">IF(AND(AT$3&gt;=$J32, AT$3&lt;$M32), $A32, "")</f>
        <v/>
      </c>
      <c r="AT32" s="53" t="str">
        <f aca="false">IF(AND(AU$3&gt;=$J32, AU$3&lt;$M32), $A32, "")</f>
        <v/>
      </c>
      <c r="AU32" s="53" t="str">
        <f aca="false">IF(AND(AV$3&gt;=$J32, AV$3&lt;$M32), $A32, "")</f>
        <v/>
      </c>
      <c r="AV32" s="53" t="str">
        <f aca="false">IF(AND(AW$3&gt;=$J32, AW$3&lt;$M32), $A32, "")</f>
        <v/>
      </c>
      <c r="AW32" s="53" t="str">
        <f aca="false">IF(AND(AX$3&gt;=$J32, AX$3&lt;$M32), $A32, "")</f>
        <v/>
      </c>
      <c r="AX32" s="53" t="str">
        <f aca="false">IF(AND(AY$3&gt;=$J32, AY$3&lt;$M32), $A32, "")</f>
        <v/>
      </c>
      <c r="AY32" s="53" t="str">
        <f aca="false">IF(AND(AZ$3&gt;=$J32, AZ$3&lt;$M32), $A32, "")</f>
        <v/>
      </c>
      <c r="AZ32" s="53" t="str">
        <f aca="false">IF(AND(BA$3&gt;=$J32, BA$3&lt;$M32), $A32, "")</f>
        <v/>
      </c>
      <c r="BA32" s="53" t="str">
        <f aca="false">IF(AND(BB$3&gt;=$J32, BB$3&lt;$M32), $A32, "")</f>
        <v/>
      </c>
      <c r="BB32" s="53" t="str">
        <f aca="false">IF(AND(BC$3&gt;=$J32, BC$3&lt;$M32), $A32, "")</f>
        <v/>
      </c>
      <c r="BC32" s="53" t="str">
        <f aca="false">IF(AND(BD$3&gt;=$J32, BD$3&lt;$M32), $A32, "")</f>
        <v/>
      </c>
      <c r="BD32" s="53" t="str">
        <f aca="false">IF(AND(BE$3&gt;=$J32, BE$3&lt;$M32), $A32, "")</f>
        <v/>
      </c>
      <c r="BE32" s="53" t="str">
        <f aca="false">IF(AND(BF$3&gt;=$J32, BF$3&lt;$M32), $A32, "")</f>
        <v/>
      </c>
      <c r="BF32" s="53" t="str">
        <f aca="false">IF(AND(BG$3&gt;=$J32, BG$3&lt;$M32), $A32, "")</f>
        <v/>
      </c>
      <c r="BG32" s="53" t="str">
        <f aca="false">IF(AND(BH$3&gt;=$J32, BH$3&lt;$M32), $A32, "")</f>
        <v/>
      </c>
      <c r="BH32" s="53" t="str">
        <f aca="false">IF(AND(BI$3&gt;=$J32, BI$3&lt;$M32), $A32, "")</f>
        <v/>
      </c>
      <c r="BI32" s="53" t="str">
        <f aca="false">IF(AND(BJ$3&gt;=$J32, BJ$3&lt;$M32), $A32, "")</f>
        <v/>
      </c>
      <c r="BJ32" s="53" t="str">
        <f aca="false">IF(AND(BK$3&gt;=$J32, BK$3&lt;$M32), $A32, "")</f>
        <v/>
      </c>
      <c r="BK32" s="53" t="str">
        <f aca="false">IF(AND(BL$3&gt;=$J32, BL$3&lt;$M32), $A32, "")</f>
        <v/>
      </c>
      <c r="BL32" s="53" t="str">
        <f aca="false">IF(AND(BM$3&gt;=$J32, BM$3&lt;$M32), $A32, "")</f>
        <v/>
      </c>
      <c r="BM32" s="53" t="str">
        <f aca="false">IF(AND(BN$3&gt;=$J32, BN$3&lt;$M32), $A32, "")</f>
        <v/>
      </c>
      <c r="BN32" s="1" t="str">
        <f aca="false">IF(AND(BO$3&gt;=$J32, BO$3&lt;$M32), $A32, "")</f>
        <v/>
      </c>
      <c r="BO32" s="1" t="str">
        <f aca="false">IF(AND(BP$3&gt;=$J32, BP$3&lt;$M32), $A32, "")</f>
        <v/>
      </c>
      <c r="BP32" s="1" t="str">
        <f aca="false">IF(AND(BQ$3&gt;=$J32, BQ$3&lt;$M32), $A32, "")</f>
        <v/>
      </c>
    </row>
    <row r="33" customFormat="false" ht="15" hidden="false" customHeight="true" outlineLevel="0" collapsed="false">
      <c r="A33" s="46" t="str">
        <f aca="false">IF(Job_Master!A33="","",Job_Master!A33)</f>
        <v>BJ-129</v>
      </c>
      <c r="B33" s="4" t="n">
        <f aca="false">IF($A33="","",Job_Master!B33)</f>
        <v>9</v>
      </c>
      <c r="C33" s="4" t="str">
        <f aca="false">IF($A33="","",Job_Master!C33)</f>
        <v>RW</v>
      </c>
      <c r="D33" s="4" t="n">
        <f aca="false">IF($A33="","",Job_Master!D33)</f>
        <v>2</v>
      </c>
      <c r="E33" s="48" t="str">
        <f aca="false">IF($A33="","",IFERROR(INDEX(Machine_List!$B$82:$B$86,MATCH("*"&amp;$B33&amp;"*",Machine_List!$J$82:$J$86,0)),"NO COMPATIBLE MACHINE"))</f>
        <v>QC-MC-01</v>
      </c>
      <c r="F33" s="4" t="str">
        <f aca="false">IF($E33="","",IFERROR(VLOOKUP($E33,Machine_List!$B:$G,6,0),""))</f>
        <v>General Workman</v>
      </c>
      <c r="G33" s="55" t="n">
        <f aca="false">IF($E33="","",IFERROR(VLOOKUP($E33,Machine_List!$B:$C,2,0),""))</f>
        <v>46518</v>
      </c>
      <c r="H33" s="4" t="n">
        <f aca="false">IF($E33="","",IFERROR(VLOOKUP($E33,Machine_List!$B:$D,3,0),""))</f>
        <v>6</v>
      </c>
      <c r="I33" s="56"/>
      <c r="J33" s="57" t="n">
        <f aca="true">IF($A33="","",IF($I33&lt;&gt;"",$I33,MAX(FID_Plan!$M33,IFERROR(LOOKUP(2,1/($E$3:INDIRECT("E"&amp;(ROW()-1))=$E33),$M$3:INDIRECT("M"&amp;(ROW()-1))),FID_Plan!$M33))))</f>
        <v>46379.9186507937</v>
      </c>
      <c r="K33" s="4" t="n">
        <f aca="false">IF($A33="","",IFERROR(VLOOKUP(B33,CHOOSE(MATCH(C33,Settings!$L$4:$L$10,0),OPR_2P!$A$4:$I$18,SEG_6P!$A$4:$I$18,SOL_4P!$A$4:$I$18,RW_2P!$A$4:$I$18,RW2_4P!$A$4:$I$18,FLAP_4P!$A$4:$I$18,TUBE_4P!$A$4:$I$18),8,0),0))</f>
        <v>5</v>
      </c>
      <c r="L33" s="4" t="n">
        <f aca="false">IF($A33="","",K33*D33)</f>
        <v>10</v>
      </c>
      <c r="M33" s="57" t="n">
        <f aca="false">IF($A33="","",$J33+($L33/(IF(F33="Contract Workman",Settings!$K$5,Settings!$K$4))))</f>
        <v>46380.3816137566</v>
      </c>
      <c r="N33" s="4" t="str">
        <f aca="false">IF($A33="","",IF(F33="Contract Workman",IF(AND(MOD(M33,1)&gt;=8/24,MOD(M33,1)&lt;20/24),"Shift S1","Shift S2"),IF(AND(MOD(M33,1)&gt;=7/24,MOD(M33,1)&lt;15/24),"Shift A",IF(AND(MOD(M33,1)&gt;=15/24,MOD(M33,1)&lt;23/24),"Shift B","Shift C"))))</f>
        <v>Shift A</v>
      </c>
      <c r="O33" s="52" t="str">
        <f aca="false"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3" t="str">
        <f aca="false">IF(AND(Q$3&gt;=$J33, Q$3&lt;$M33), $A33, "")</f>
        <v/>
      </c>
      <c r="Q33" s="53" t="str">
        <f aca="false">IF(AND(R$3&gt;=$J33, R$3&lt;$M33), $A33, "")</f>
        <v/>
      </c>
      <c r="R33" s="53" t="str">
        <f aca="false">IF(AND(S$3&gt;=$J33, S$3&lt;$M33), $A33, "")</f>
        <v/>
      </c>
      <c r="S33" s="53" t="str">
        <f aca="false">IF(AND(T$3&gt;=$J33, T$3&lt;$M33), $A33, "")</f>
        <v/>
      </c>
      <c r="T33" s="53" t="str">
        <f aca="false">IF(AND(U$3&gt;=$J33, U$3&lt;$M33), $A33, "")</f>
        <v/>
      </c>
      <c r="U33" s="53" t="str">
        <f aca="false">IF(AND(V$3&gt;=$J33, V$3&lt;$M33), $A33, "")</f>
        <v/>
      </c>
      <c r="V33" s="53" t="str">
        <f aca="false">IF(AND(W$3&gt;=$J33, W$3&lt;$M33), $A33, "")</f>
        <v/>
      </c>
      <c r="W33" s="53" t="str">
        <f aca="false">IF(AND(X$3&gt;=$J33, X$3&lt;$M33), $A33, "")</f>
        <v/>
      </c>
      <c r="X33" s="53" t="str">
        <f aca="false">IF(AND(Y$3&gt;=$J33, Y$3&lt;$M33), $A33, "")</f>
        <v/>
      </c>
      <c r="Y33" s="53" t="str">
        <f aca="false">IF(AND(Z$3&gt;=$J33, Z$3&lt;$M33), $A33, "")</f>
        <v/>
      </c>
      <c r="Z33" s="53" t="str">
        <f aca="false">IF(AND(AA$3&gt;=$J33, AA$3&lt;$M33), $A33, "")</f>
        <v/>
      </c>
      <c r="AA33" s="53" t="str">
        <f aca="false">IF(AND(AB$3&gt;=$J33, AB$3&lt;$M33), $A33, "")</f>
        <v/>
      </c>
      <c r="AB33" s="53" t="str">
        <f aca="false">IF(AND(AC$3&gt;=$J33, AC$3&lt;$M33), $A33, "")</f>
        <v/>
      </c>
      <c r="AC33" s="53" t="str">
        <f aca="false">IF(AND(AD$3&gt;=$J33, AD$3&lt;$M33), $A33, "")</f>
        <v/>
      </c>
      <c r="AD33" s="53" t="str">
        <f aca="false">IF(AND(AE$3&gt;=$J33, AE$3&lt;$M33), $A33, "")</f>
        <v/>
      </c>
      <c r="AE33" s="53" t="str">
        <f aca="false">IF(AND(AF$3&gt;=$J33, AF$3&lt;$M33), $A33, "")</f>
        <v/>
      </c>
      <c r="AF33" s="53" t="str">
        <f aca="false">IF(AND(AG$3&gt;=$J33, AG$3&lt;$M33), $A33, "")</f>
        <v/>
      </c>
      <c r="AG33" s="53" t="str">
        <f aca="false">IF(AND(AH$3&gt;=$J33, AH$3&lt;$M33), $A33, "")</f>
        <v/>
      </c>
      <c r="AH33" s="53" t="str">
        <f aca="false">IF(AND(AI$3&gt;=$J33, AI$3&lt;$M33), $A33, "")</f>
        <v/>
      </c>
      <c r="AI33" s="53" t="str">
        <f aca="false">IF(AND(AJ$3&gt;=$J33, AJ$3&lt;$M33), $A33, "")</f>
        <v/>
      </c>
      <c r="AJ33" s="53" t="str">
        <f aca="false">IF(AND(AK$3&gt;=$J33, AK$3&lt;$M33), $A33, "")</f>
        <v/>
      </c>
      <c r="AK33" s="53" t="str">
        <f aca="false">IF(AND(AL$3&gt;=$J33, AL$3&lt;$M33), $A33, "")</f>
        <v/>
      </c>
      <c r="AL33" s="53" t="str">
        <f aca="false">IF(AND(AM$3&gt;=$J33, AM$3&lt;$M33), $A33, "")</f>
        <v/>
      </c>
      <c r="AM33" s="53" t="str">
        <f aca="false">IF(AND(AN$3&gt;=$J33, AN$3&lt;$M33), $A33, "")</f>
        <v/>
      </c>
      <c r="AN33" s="53" t="str">
        <f aca="false">IF(AND(AO$3&gt;=$J33, AO$3&lt;$M33), $A33, "")</f>
        <v/>
      </c>
      <c r="AO33" s="53" t="str">
        <f aca="false">IF(AND(AP$3&gt;=$J33, AP$3&lt;$M33), $A33, "")</f>
        <v/>
      </c>
      <c r="AP33" s="53" t="str">
        <f aca="false">IF(AND(AQ$3&gt;=$J33, AQ$3&lt;$M33), $A33, "")</f>
        <v/>
      </c>
      <c r="AQ33" s="53" t="str">
        <f aca="false">IF(AND(AR$3&gt;=$J33, AR$3&lt;$M33), $A33, "")</f>
        <v/>
      </c>
      <c r="AR33" s="53" t="str">
        <f aca="false">IF(AND(AS$3&gt;=$J33, AS$3&lt;$M33), $A33, "")</f>
        <v/>
      </c>
      <c r="AS33" s="53" t="str">
        <f aca="false">IF(AND(AT$3&gt;=$J33, AT$3&lt;$M33), $A33, "")</f>
        <v/>
      </c>
      <c r="AT33" s="53" t="str">
        <f aca="false">IF(AND(AU$3&gt;=$J33, AU$3&lt;$M33), $A33, "")</f>
        <v/>
      </c>
      <c r="AU33" s="53" t="str">
        <f aca="false">IF(AND(AV$3&gt;=$J33, AV$3&lt;$M33), $A33, "")</f>
        <v/>
      </c>
      <c r="AV33" s="53" t="str">
        <f aca="false">IF(AND(AW$3&gt;=$J33, AW$3&lt;$M33), $A33, "")</f>
        <v/>
      </c>
      <c r="AW33" s="53" t="str">
        <f aca="false">IF(AND(AX$3&gt;=$J33, AX$3&lt;$M33), $A33, "")</f>
        <v/>
      </c>
      <c r="AX33" s="53" t="str">
        <f aca="false">IF(AND(AY$3&gt;=$J33, AY$3&lt;$M33), $A33, "")</f>
        <v/>
      </c>
      <c r="AY33" s="53" t="str">
        <f aca="false">IF(AND(AZ$3&gt;=$J33, AZ$3&lt;$M33), $A33, "")</f>
        <v/>
      </c>
      <c r="AZ33" s="53" t="str">
        <f aca="false">IF(AND(BA$3&gt;=$J33, BA$3&lt;$M33), $A33, "")</f>
        <v/>
      </c>
      <c r="BA33" s="53" t="str">
        <f aca="false">IF(AND(BB$3&gt;=$J33, BB$3&lt;$M33), $A33, "")</f>
        <v/>
      </c>
      <c r="BB33" s="53" t="str">
        <f aca="false">IF(AND(BC$3&gt;=$J33, BC$3&lt;$M33), $A33, "")</f>
        <v/>
      </c>
      <c r="BC33" s="53" t="str">
        <f aca="false">IF(AND(BD$3&gt;=$J33, BD$3&lt;$M33), $A33, "")</f>
        <v/>
      </c>
      <c r="BD33" s="53" t="str">
        <f aca="false">IF(AND(BE$3&gt;=$J33, BE$3&lt;$M33), $A33, "")</f>
        <v/>
      </c>
      <c r="BE33" s="53" t="str">
        <f aca="false">IF(AND(BF$3&gt;=$J33, BF$3&lt;$M33), $A33, "")</f>
        <v/>
      </c>
      <c r="BF33" s="53" t="str">
        <f aca="false">IF(AND(BG$3&gt;=$J33, BG$3&lt;$M33), $A33, "")</f>
        <v/>
      </c>
      <c r="BG33" s="53" t="str">
        <f aca="false">IF(AND(BH$3&gt;=$J33, BH$3&lt;$M33), $A33, "")</f>
        <v/>
      </c>
      <c r="BH33" s="53" t="str">
        <f aca="false">IF(AND(BI$3&gt;=$J33, BI$3&lt;$M33), $A33, "")</f>
        <v/>
      </c>
      <c r="BI33" s="53" t="str">
        <f aca="false">IF(AND(BJ$3&gt;=$J33, BJ$3&lt;$M33), $A33, "")</f>
        <v/>
      </c>
      <c r="BJ33" s="53" t="str">
        <f aca="false">IF(AND(BK$3&gt;=$J33, BK$3&lt;$M33), $A33, "")</f>
        <v/>
      </c>
      <c r="BK33" s="53" t="str">
        <f aca="false">IF(AND(BL$3&gt;=$J33, BL$3&lt;$M33), $A33, "")</f>
        <v/>
      </c>
      <c r="BL33" s="53" t="str">
        <f aca="false">IF(AND(BM$3&gt;=$J33, BM$3&lt;$M33), $A33, "")</f>
        <v/>
      </c>
      <c r="BM33" s="53" t="str">
        <f aca="false">IF(AND(BN$3&gt;=$J33, BN$3&lt;$M33), $A33, "")</f>
        <v/>
      </c>
      <c r="BN33" s="1" t="str">
        <f aca="false">IF(AND(BO$3&gt;=$J33, BO$3&lt;$M33), $A33, "")</f>
        <v/>
      </c>
      <c r="BO33" s="1" t="str">
        <f aca="false">IF(AND(BP$3&gt;=$J33, BP$3&lt;$M33), $A33, "")</f>
        <v/>
      </c>
      <c r="BP33" s="1" t="str">
        <f aca="false">IF(AND(BQ$3&gt;=$J33, BQ$3&lt;$M33), $A33, "")</f>
        <v/>
      </c>
    </row>
    <row r="34" customFormat="false" ht="15" hidden="false" customHeight="true" outlineLevel="0" collapsed="false">
      <c r="A34" s="46" t="str">
        <f aca="false">IF(Job_Master!A34="","",Job_Master!A34)</f>
        <v>BJ-130</v>
      </c>
      <c r="B34" s="4" t="n">
        <f aca="false">IF($A34="","",Job_Master!B34)</f>
        <v>57</v>
      </c>
      <c r="C34" s="4" t="str">
        <f aca="false">IF($A34="","",Job_Master!C34)</f>
        <v>RW</v>
      </c>
      <c r="D34" s="4" t="n">
        <f aca="false">IF($A34="","",Job_Master!D34)</f>
        <v>2</v>
      </c>
      <c r="E34" s="48" t="str">
        <f aca="false">IF($A34="","",IFERROR(INDEX(Machine_List!$B$82:$B$86,MATCH("*"&amp;$B34&amp;"*",Machine_List!$J$82:$J$86,0)),"NO COMPATIBLE MACHINE"))</f>
        <v>QC-MC-01</v>
      </c>
      <c r="F34" s="4" t="str">
        <f aca="false">IF($E34="","",IFERROR(VLOOKUP($E34,Machine_List!$B:$G,6,0),""))</f>
        <v>General Workman</v>
      </c>
      <c r="G34" s="55" t="n">
        <f aca="false">IF($E34="","",IFERROR(VLOOKUP($E34,Machine_List!$B:$C,2,0),""))</f>
        <v>46518</v>
      </c>
      <c r="H34" s="4" t="n">
        <f aca="false">IF($E34="","",IFERROR(VLOOKUP($E34,Machine_List!$B:$D,3,0),""))</f>
        <v>6</v>
      </c>
      <c r="I34" s="56"/>
      <c r="J34" s="57" t="n">
        <f aca="true">IF($A34="","",IF($I34&lt;&gt;"",$I34,MAX(FID_Plan!$M34,IFERROR(LOOKUP(2,1/($E$3:INDIRECT("E"&amp;(ROW()-1))=$E34),$M$3:INDIRECT("M"&amp;(ROW()-1))),FID_Plan!$M34))))</f>
        <v>46381.4993386243</v>
      </c>
      <c r="K34" s="4" t="n">
        <f aca="false">IF($A34="","",IFERROR(VLOOKUP(B34,CHOOSE(MATCH(C34,Settings!$L$4:$L$10,0),OPR_2P!$A$4:$I$18,SEG_6P!$A$4:$I$18,SOL_4P!$A$4:$I$18,RW_2P!$A$4:$I$18,RW2_4P!$A$4:$I$18,FLAP_4P!$A$4:$I$18,TUBE_4P!$A$4:$I$18),8,0),0))</f>
        <v>77</v>
      </c>
      <c r="L34" s="4" t="n">
        <f aca="false">IF($A34="","",K34*D34)</f>
        <v>154</v>
      </c>
      <c r="M34" s="57" t="n">
        <f aca="false">IF($A34="","",$J34+($L34/(IF(F34="Contract Workman",Settings!$K$5,Settings!$K$4))))</f>
        <v>46388.628968254</v>
      </c>
      <c r="N34" s="4" t="str">
        <f aca="false">IF($A34="","",IF(F34="Contract Workman",IF(AND(MOD(M34,1)&gt;=8/24,MOD(M34,1)&lt;20/24),"Shift S1","Shift S2"),IF(AND(MOD(M34,1)&gt;=7/24,MOD(M34,1)&lt;15/24),"Shift A",IF(AND(MOD(M34,1)&gt;=15/24,MOD(M34,1)&lt;23/24),"Shift B","Shift C"))))</f>
        <v>Shift B</v>
      </c>
      <c r="O34" s="52" t="str">
        <f aca="false"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3" t="str">
        <f aca="false">IF(AND(Q$3&gt;=$J34, Q$3&lt;$M34), $A34, "")</f>
        <v/>
      </c>
      <c r="Q34" s="53" t="str">
        <f aca="false">IF(AND(R$3&gt;=$J34, R$3&lt;$M34), $A34, "")</f>
        <v/>
      </c>
      <c r="R34" s="53" t="str">
        <f aca="false">IF(AND(S$3&gt;=$J34, S$3&lt;$M34), $A34, "")</f>
        <v/>
      </c>
      <c r="S34" s="53" t="str">
        <f aca="false">IF(AND(T$3&gt;=$J34, T$3&lt;$M34), $A34, "")</f>
        <v/>
      </c>
      <c r="T34" s="53" t="str">
        <f aca="false">IF(AND(U$3&gt;=$J34, U$3&lt;$M34), $A34, "")</f>
        <v/>
      </c>
      <c r="U34" s="53" t="str">
        <f aca="false">IF(AND(V$3&gt;=$J34, V$3&lt;$M34), $A34, "")</f>
        <v/>
      </c>
      <c r="V34" s="53" t="str">
        <f aca="false">IF(AND(W$3&gt;=$J34, W$3&lt;$M34), $A34, "")</f>
        <v/>
      </c>
      <c r="W34" s="53" t="str">
        <f aca="false">IF(AND(X$3&gt;=$J34, X$3&lt;$M34), $A34, "")</f>
        <v/>
      </c>
      <c r="X34" s="53" t="str">
        <f aca="false">IF(AND(Y$3&gt;=$J34, Y$3&lt;$M34), $A34, "")</f>
        <v/>
      </c>
      <c r="Y34" s="53" t="str">
        <f aca="false">IF(AND(Z$3&gt;=$J34, Z$3&lt;$M34), $A34, "")</f>
        <v/>
      </c>
      <c r="Z34" s="53" t="str">
        <f aca="false">IF(AND(AA$3&gt;=$J34, AA$3&lt;$M34), $A34, "")</f>
        <v/>
      </c>
      <c r="AA34" s="53" t="str">
        <f aca="false">IF(AND(AB$3&gt;=$J34, AB$3&lt;$M34), $A34, "")</f>
        <v/>
      </c>
      <c r="AB34" s="53" t="str">
        <f aca="false">IF(AND(AC$3&gt;=$J34, AC$3&lt;$M34), $A34, "")</f>
        <v/>
      </c>
      <c r="AC34" s="53" t="str">
        <f aca="false">IF(AND(AD$3&gt;=$J34, AD$3&lt;$M34), $A34, "")</f>
        <v/>
      </c>
      <c r="AD34" s="53" t="str">
        <f aca="false">IF(AND(AE$3&gt;=$J34, AE$3&lt;$M34), $A34, "")</f>
        <v/>
      </c>
      <c r="AE34" s="53" t="str">
        <f aca="false">IF(AND(AF$3&gt;=$J34, AF$3&lt;$M34), $A34, "")</f>
        <v/>
      </c>
      <c r="AF34" s="53" t="str">
        <f aca="false">IF(AND(AG$3&gt;=$J34, AG$3&lt;$M34), $A34, "")</f>
        <v/>
      </c>
      <c r="AG34" s="53" t="str">
        <f aca="false">IF(AND(AH$3&gt;=$J34, AH$3&lt;$M34), $A34, "")</f>
        <v/>
      </c>
      <c r="AH34" s="53" t="str">
        <f aca="false">IF(AND(AI$3&gt;=$J34, AI$3&lt;$M34), $A34, "")</f>
        <v/>
      </c>
      <c r="AI34" s="53" t="str">
        <f aca="false">IF(AND(AJ$3&gt;=$J34, AJ$3&lt;$M34), $A34, "")</f>
        <v/>
      </c>
      <c r="AJ34" s="53" t="str">
        <f aca="false">IF(AND(AK$3&gt;=$J34, AK$3&lt;$M34), $A34, "")</f>
        <v/>
      </c>
      <c r="AK34" s="53" t="str">
        <f aca="false">IF(AND(AL$3&gt;=$J34, AL$3&lt;$M34), $A34, "")</f>
        <v/>
      </c>
      <c r="AL34" s="53" t="str">
        <f aca="false">IF(AND(AM$3&gt;=$J34, AM$3&lt;$M34), $A34, "")</f>
        <v/>
      </c>
      <c r="AM34" s="53" t="str">
        <f aca="false">IF(AND(AN$3&gt;=$J34, AN$3&lt;$M34), $A34, "")</f>
        <v/>
      </c>
      <c r="AN34" s="53" t="str">
        <f aca="false">IF(AND(AO$3&gt;=$J34, AO$3&lt;$M34), $A34, "")</f>
        <v/>
      </c>
      <c r="AO34" s="53" t="str">
        <f aca="false">IF(AND(AP$3&gt;=$J34, AP$3&lt;$M34), $A34, "")</f>
        <v/>
      </c>
      <c r="AP34" s="53" t="str">
        <f aca="false">IF(AND(AQ$3&gt;=$J34, AQ$3&lt;$M34), $A34, "")</f>
        <v/>
      </c>
      <c r="AQ34" s="53" t="str">
        <f aca="false">IF(AND(AR$3&gt;=$J34, AR$3&lt;$M34), $A34, "")</f>
        <v/>
      </c>
      <c r="AR34" s="53" t="str">
        <f aca="false">IF(AND(AS$3&gt;=$J34, AS$3&lt;$M34), $A34, "")</f>
        <v/>
      </c>
      <c r="AS34" s="53" t="str">
        <f aca="false">IF(AND(AT$3&gt;=$J34, AT$3&lt;$M34), $A34, "")</f>
        <v/>
      </c>
      <c r="AT34" s="53" t="str">
        <f aca="false">IF(AND(AU$3&gt;=$J34, AU$3&lt;$M34), $A34, "")</f>
        <v/>
      </c>
      <c r="AU34" s="53" t="str">
        <f aca="false">IF(AND(AV$3&gt;=$J34, AV$3&lt;$M34), $A34, "")</f>
        <v/>
      </c>
      <c r="AV34" s="53" t="str">
        <f aca="false">IF(AND(AW$3&gt;=$J34, AW$3&lt;$M34), $A34, "")</f>
        <v/>
      </c>
      <c r="AW34" s="53" t="str">
        <f aca="false">IF(AND(AX$3&gt;=$J34, AX$3&lt;$M34), $A34, "")</f>
        <v/>
      </c>
      <c r="AX34" s="53" t="str">
        <f aca="false">IF(AND(AY$3&gt;=$J34, AY$3&lt;$M34), $A34, "")</f>
        <v/>
      </c>
      <c r="AY34" s="53" t="str">
        <f aca="false">IF(AND(AZ$3&gt;=$J34, AZ$3&lt;$M34), $A34, "")</f>
        <v/>
      </c>
      <c r="AZ34" s="53" t="str">
        <f aca="false">IF(AND(BA$3&gt;=$J34, BA$3&lt;$M34), $A34, "")</f>
        <v/>
      </c>
      <c r="BA34" s="53" t="str">
        <f aca="false">IF(AND(BB$3&gt;=$J34, BB$3&lt;$M34), $A34, "")</f>
        <v/>
      </c>
      <c r="BB34" s="53" t="str">
        <f aca="false">IF(AND(BC$3&gt;=$J34, BC$3&lt;$M34), $A34, "")</f>
        <v/>
      </c>
      <c r="BC34" s="53" t="str">
        <f aca="false">IF(AND(BD$3&gt;=$J34, BD$3&lt;$M34), $A34, "")</f>
        <v/>
      </c>
      <c r="BD34" s="53" t="str">
        <f aca="false">IF(AND(BE$3&gt;=$J34, BE$3&lt;$M34), $A34, "")</f>
        <v/>
      </c>
      <c r="BE34" s="53" t="str">
        <f aca="false">IF(AND(BF$3&gt;=$J34, BF$3&lt;$M34), $A34, "")</f>
        <v/>
      </c>
      <c r="BF34" s="53" t="str">
        <f aca="false">IF(AND(BG$3&gt;=$J34, BG$3&lt;$M34), $A34, "")</f>
        <v/>
      </c>
      <c r="BG34" s="53" t="str">
        <f aca="false">IF(AND(BH$3&gt;=$J34, BH$3&lt;$M34), $A34, "")</f>
        <v/>
      </c>
      <c r="BH34" s="53" t="str">
        <f aca="false">IF(AND(BI$3&gt;=$J34, BI$3&lt;$M34), $A34, "")</f>
        <v/>
      </c>
      <c r="BI34" s="53" t="str">
        <f aca="false">IF(AND(BJ$3&gt;=$J34, BJ$3&lt;$M34), $A34, "")</f>
        <v/>
      </c>
      <c r="BJ34" s="53" t="str">
        <f aca="false">IF(AND(BK$3&gt;=$J34, BK$3&lt;$M34), $A34, "")</f>
        <v/>
      </c>
      <c r="BK34" s="53" t="str">
        <f aca="false">IF(AND(BL$3&gt;=$J34, BL$3&lt;$M34), $A34, "")</f>
        <v/>
      </c>
      <c r="BL34" s="53" t="str">
        <f aca="false">IF(AND(BM$3&gt;=$J34, BM$3&lt;$M34), $A34, "")</f>
        <v/>
      </c>
      <c r="BM34" s="53" t="str">
        <f aca="false">IF(AND(BN$3&gt;=$J34, BN$3&lt;$M34), $A34, "")</f>
        <v/>
      </c>
      <c r="BN34" s="1" t="str">
        <f aca="false">IF(AND(BO$3&gt;=$J34, BO$3&lt;$M34), $A34, "")</f>
        <v/>
      </c>
      <c r="BO34" s="1" t="str">
        <f aca="false">IF(AND(BP$3&gt;=$J34, BP$3&lt;$M34), $A34, "")</f>
        <v/>
      </c>
      <c r="BP34" s="1" t="str">
        <f aca="false">IF(AND(BQ$3&gt;=$J34, BQ$3&lt;$M34), $A34, "")</f>
        <v/>
      </c>
    </row>
    <row r="35" customFormat="false" ht="15" hidden="false" customHeight="true" outlineLevel="0" collapsed="false">
      <c r="A35" s="46" t="str">
        <f aca="false">IF(Job_Master!A35="","",Job_Master!A35)</f>
        <v>BJ-133</v>
      </c>
      <c r="B35" s="4" t="n">
        <f aca="false">IF($A35="","",Job_Master!B35)</f>
        <v>25</v>
      </c>
      <c r="C35" s="4" t="str">
        <f aca="false">IF($A35="","",Job_Master!C35)</f>
        <v>RW</v>
      </c>
      <c r="D35" s="4" t="n">
        <f aca="false">IF($A35="","",Job_Master!D35)</f>
        <v>2</v>
      </c>
      <c r="E35" s="48" t="str">
        <f aca="false">IF($A35="","",IFERROR(INDEX(Machine_List!$B$82:$B$86,MATCH("*"&amp;$B35&amp;"*",Machine_List!$J$82:$J$86,0)),"NO COMPATIBLE MACHINE"))</f>
        <v>QC-MC-01</v>
      </c>
      <c r="F35" s="4" t="str">
        <f aca="false">IF($E35="","",IFERROR(VLOOKUP($E35,Machine_List!$B:$G,6,0),""))</f>
        <v>General Workman</v>
      </c>
      <c r="G35" s="55" t="n">
        <f aca="false">IF($E35="","",IFERROR(VLOOKUP($E35,Machine_List!$B:$C,2,0),""))</f>
        <v>46518</v>
      </c>
      <c r="H35" s="4" t="n">
        <f aca="false">IF($E35="","",IFERROR(VLOOKUP($E35,Machine_List!$B:$D,3,0),""))</f>
        <v>6</v>
      </c>
      <c r="I35" s="56"/>
      <c r="J35" s="57" t="n">
        <f aca="true">IF($A35="","",IF($I35&lt;&gt;"",$I35,MAX(FID_Plan!$M35,IFERROR(LOOKUP(2,1/($E$3:INDIRECT("E"&amp;(ROW()-1))=$E35),$M$3:INDIRECT("M"&amp;(ROW()-1))),FID_Plan!$M35))))</f>
        <v>46388.628968254</v>
      </c>
      <c r="K35" s="4" t="n">
        <f aca="false">IF($A35="","",IFERROR(VLOOKUP(B35,CHOOSE(MATCH(C35,Settings!$L$4:$L$10,0),OPR_2P!$A$4:$I$18,SEG_6P!$A$4:$I$18,SOL_4P!$A$4:$I$18,RW_2P!$A$4:$I$18,RW2_4P!$A$4:$I$18,FLAP_4P!$A$4:$I$18,TUBE_4P!$A$4:$I$18),8,0),0))</f>
        <v>16</v>
      </c>
      <c r="L35" s="4" t="n">
        <f aca="false">IF($A35="","",K35*D35)</f>
        <v>32</v>
      </c>
      <c r="M35" s="57" t="n">
        <f aca="false">IF($A35="","",$J35+($L35/(IF(F35="Contract Workman",Settings!$K$5,Settings!$K$4))))</f>
        <v>46390.1104497355</v>
      </c>
      <c r="N35" s="4" t="str">
        <f aca="false">IF($A35="","",IF(F35="Contract Workman",IF(AND(MOD(M35,1)&gt;=8/24,MOD(M35,1)&lt;20/24),"Shift S1","Shift S2"),IF(AND(MOD(M35,1)&gt;=7/24,MOD(M35,1)&lt;15/24),"Shift A",IF(AND(MOD(M35,1)&gt;=15/24,MOD(M35,1)&lt;23/24),"Shift B","Shift C"))))</f>
        <v>Shift C</v>
      </c>
      <c r="O35" s="52" t="str">
        <f aca="false"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3" t="str">
        <f aca="false">IF(AND(Q$3&gt;=$J35, Q$3&lt;$M35), $A35, "")</f>
        <v/>
      </c>
      <c r="Q35" s="53" t="str">
        <f aca="false">IF(AND(R$3&gt;=$J35, R$3&lt;$M35), $A35, "")</f>
        <v/>
      </c>
      <c r="R35" s="53" t="str">
        <f aca="false">IF(AND(S$3&gt;=$J35, S$3&lt;$M35), $A35, "")</f>
        <v/>
      </c>
      <c r="S35" s="53" t="str">
        <f aca="false">IF(AND(T$3&gt;=$J35, T$3&lt;$M35), $A35, "")</f>
        <v/>
      </c>
      <c r="T35" s="53" t="str">
        <f aca="false">IF(AND(U$3&gt;=$J35, U$3&lt;$M35), $A35, "")</f>
        <v/>
      </c>
      <c r="U35" s="53" t="str">
        <f aca="false">IF(AND(V$3&gt;=$J35, V$3&lt;$M35), $A35, "")</f>
        <v/>
      </c>
      <c r="V35" s="53" t="str">
        <f aca="false">IF(AND(W$3&gt;=$J35, W$3&lt;$M35), $A35, "")</f>
        <v/>
      </c>
      <c r="W35" s="53" t="str">
        <f aca="false">IF(AND(X$3&gt;=$J35, X$3&lt;$M35), $A35, "")</f>
        <v/>
      </c>
      <c r="X35" s="53" t="str">
        <f aca="false">IF(AND(Y$3&gt;=$J35, Y$3&lt;$M35), $A35, "")</f>
        <v/>
      </c>
      <c r="Y35" s="53" t="str">
        <f aca="false">IF(AND(Z$3&gt;=$J35, Z$3&lt;$M35), $A35, "")</f>
        <v/>
      </c>
      <c r="Z35" s="53" t="str">
        <f aca="false">IF(AND(AA$3&gt;=$J35, AA$3&lt;$M35), $A35, "")</f>
        <v/>
      </c>
      <c r="AA35" s="53" t="str">
        <f aca="false">IF(AND(AB$3&gt;=$J35, AB$3&lt;$M35), $A35, "")</f>
        <v/>
      </c>
      <c r="AB35" s="53" t="str">
        <f aca="false">IF(AND(AC$3&gt;=$J35, AC$3&lt;$M35), $A35, "")</f>
        <v/>
      </c>
      <c r="AC35" s="53" t="str">
        <f aca="false">IF(AND(AD$3&gt;=$J35, AD$3&lt;$M35), $A35, "")</f>
        <v/>
      </c>
      <c r="AD35" s="53" t="str">
        <f aca="false">IF(AND(AE$3&gt;=$J35, AE$3&lt;$M35), $A35, "")</f>
        <v/>
      </c>
      <c r="AE35" s="53" t="str">
        <f aca="false">IF(AND(AF$3&gt;=$J35, AF$3&lt;$M35), $A35, "")</f>
        <v/>
      </c>
      <c r="AF35" s="53" t="str">
        <f aca="false">IF(AND(AG$3&gt;=$J35, AG$3&lt;$M35), $A35, "")</f>
        <v/>
      </c>
      <c r="AG35" s="53" t="str">
        <f aca="false">IF(AND(AH$3&gt;=$J35, AH$3&lt;$M35), $A35, "")</f>
        <v/>
      </c>
      <c r="AH35" s="53" t="str">
        <f aca="false">IF(AND(AI$3&gt;=$J35, AI$3&lt;$M35), $A35, "")</f>
        <v/>
      </c>
      <c r="AI35" s="53" t="str">
        <f aca="false">IF(AND(AJ$3&gt;=$J35, AJ$3&lt;$M35), $A35, "")</f>
        <v/>
      </c>
      <c r="AJ35" s="53" t="str">
        <f aca="false">IF(AND(AK$3&gt;=$J35, AK$3&lt;$M35), $A35, "")</f>
        <v/>
      </c>
      <c r="AK35" s="53" t="str">
        <f aca="false">IF(AND(AL$3&gt;=$J35, AL$3&lt;$M35), $A35, "")</f>
        <v/>
      </c>
      <c r="AL35" s="53" t="str">
        <f aca="false">IF(AND(AM$3&gt;=$J35, AM$3&lt;$M35), $A35, "")</f>
        <v/>
      </c>
      <c r="AM35" s="53" t="str">
        <f aca="false">IF(AND(AN$3&gt;=$J35, AN$3&lt;$M35), $A35, "")</f>
        <v/>
      </c>
      <c r="AN35" s="53" t="str">
        <f aca="false">IF(AND(AO$3&gt;=$J35, AO$3&lt;$M35), $A35, "")</f>
        <v/>
      </c>
      <c r="AO35" s="53" t="str">
        <f aca="false">IF(AND(AP$3&gt;=$J35, AP$3&lt;$M35), $A35, "")</f>
        <v/>
      </c>
      <c r="AP35" s="53" t="str">
        <f aca="false">IF(AND(AQ$3&gt;=$J35, AQ$3&lt;$M35), $A35, "")</f>
        <v/>
      </c>
      <c r="AQ35" s="53" t="str">
        <f aca="false">IF(AND(AR$3&gt;=$J35, AR$3&lt;$M35), $A35, "")</f>
        <v/>
      </c>
      <c r="AR35" s="53" t="str">
        <f aca="false">IF(AND(AS$3&gt;=$J35, AS$3&lt;$M35), $A35, "")</f>
        <v/>
      </c>
      <c r="AS35" s="53" t="str">
        <f aca="false">IF(AND(AT$3&gt;=$J35, AT$3&lt;$M35), $A35, "")</f>
        <v/>
      </c>
      <c r="AT35" s="53" t="str">
        <f aca="false">IF(AND(AU$3&gt;=$J35, AU$3&lt;$M35), $A35, "")</f>
        <v/>
      </c>
      <c r="AU35" s="53" t="str">
        <f aca="false">IF(AND(AV$3&gt;=$J35, AV$3&lt;$M35), $A35, "")</f>
        <v/>
      </c>
      <c r="AV35" s="53" t="str">
        <f aca="false">IF(AND(AW$3&gt;=$J35, AW$3&lt;$M35), $A35, "")</f>
        <v/>
      </c>
      <c r="AW35" s="53" t="str">
        <f aca="false">IF(AND(AX$3&gt;=$J35, AX$3&lt;$M35), $A35, "")</f>
        <v/>
      </c>
      <c r="AX35" s="53" t="str">
        <f aca="false">IF(AND(AY$3&gt;=$J35, AY$3&lt;$M35), $A35, "")</f>
        <v/>
      </c>
      <c r="AY35" s="53" t="str">
        <f aca="false">IF(AND(AZ$3&gt;=$J35, AZ$3&lt;$M35), $A35, "")</f>
        <v/>
      </c>
      <c r="AZ35" s="53" t="str">
        <f aca="false">IF(AND(BA$3&gt;=$J35, BA$3&lt;$M35), $A35, "")</f>
        <v/>
      </c>
      <c r="BA35" s="53" t="str">
        <f aca="false">IF(AND(BB$3&gt;=$J35, BB$3&lt;$M35), $A35, "")</f>
        <v/>
      </c>
      <c r="BB35" s="53" t="str">
        <f aca="false">IF(AND(BC$3&gt;=$J35, BC$3&lt;$M35), $A35, "")</f>
        <v/>
      </c>
      <c r="BC35" s="53" t="str">
        <f aca="false">IF(AND(BD$3&gt;=$J35, BD$3&lt;$M35), $A35, "")</f>
        <v/>
      </c>
      <c r="BD35" s="53" t="str">
        <f aca="false">IF(AND(BE$3&gt;=$J35, BE$3&lt;$M35), $A35, "")</f>
        <v/>
      </c>
      <c r="BE35" s="53" t="str">
        <f aca="false">IF(AND(BF$3&gt;=$J35, BF$3&lt;$M35), $A35, "")</f>
        <v/>
      </c>
      <c r="BF35" s="53" t="str">
        <f aca="false">IF(AND(BG$3&gt;=$J35, BG$3&lt;$M35), $A35, "")</f>
        <v/>
      </c>
      <c r="BG35" s="53" t="str">
        <f aca="false">IF(AND(BH$3&gt;=$J35, BH$3&lt;$M35), $A35, "")</f>
        <v/>
      </c>
      <c r="BH35" s="53" t="str">
        <f aca="false">IF(AND(BI$3&gt;=$J35, BI$3&lt;$M35), $A35, "")</f>
        <v/>
      </c>
      <c r="BI35" s="53" t="str">
        <f aca="false">IF(AND(BJ$3&gt;=$J35, BJ$3&lt;$M35), $A35, "")</f>
        <v/>
      </c>
      <c r="BJ35" s="53" t="str">
        <f aca="false">IF(AND(BK$3&gt;=$J35, BK$3&lt;$M35), $A35, "")</f>
        <v/>
      </c>
      <c r="BK35" s="53" t="str">
        <f aca="false">IF(AND(BL$3&gt;=$J35, BL$3&lt;$M35), $A35, "")</f>
        <v/>
      </c>
      <c r="BL35" s="53" t="str">
        <f aca="false">IF(AND(BM$3&gt;=$J35, BM$3&lt;$M35), $A35, "")</f>
        <v/>
      </c>
      <c r="BM35" s="53" t="str">
        <f aca="false">IF(AND(BN$3&gt;=$J35, BN$3&lt;$M35), $A35, "")</f>
        <v/>
      </c>
      <c r="BN35" s="1" t="str">
        <f aca="false">IF(AND(BO$3&gt;=$J35, BO$3&lt;$M35), $A35, "")</f>
        <v/>
      </c>
      <c r="BO35" s="1" t="str">
        <f aca="false">IF(AND(BP$3&gt;=$J35, BP$3&lt;$M35), $A35, "")</f>
        <v/>
      </c>
      <c r="BP35" s="1" t="str">
        <f aca="false">IF(AND(BQ$3&gt;=$J35, BQ$3&lt;$M35), $A35, "")</f>
        <v/>
      </c>
    </row>
    <row r="36" customFormat="false" ht="15" hidden="false" customHeight="true" outlineLevel="0" collapsed="false">
      <c r="A36" s="46" t="str">
        <f aca="false">IF(Job_Master!A36="","",Job_Master!A36)</f>
        <v>BJ-131</v>
      </c>
      <c r="B36" s="4" t="n">
        <f aca="false">IF($A36="","",Job_Master!B36)</f>
        <v>70</v>
      </c>
      <c r="C36" s="4" t="str">
        <f aca="false">IF($A36="","",Job_Master!C36)</f>
        <v>2P</v>
      </c>
      <c r="D36" s="4" t="n">
        <f aca="false">IF($A36="","",Job_Master!D36)</f>
        <v>2</v>
      </c>
      <c r="E36" s="48" t="str">
        <f aca="false">IF($A36="","",IFERROR(INDEX(Machine_List!$B$82:$B$86,MATCH("*"&amp;$B36&amp;"*",Machine_List!$J$82:$J$86,0)),"NO COMPATIBLE MACHINE"))</f>
        <v>QC-MC-01</v>
      </c>
      <c r="F36" s="4" t="str">
        <f aca="false">IF($E36="","",IFERROR(VLOOKUP($E36,Machine_List!$B:$G,6,0),""))</f>
        <v>General Workman</v>
      </c>
      <c r="G36" s="55" t="n">
        <f aca="false">IF($E36="","",IFERROR(VLOOKUP($E36,Machine_List!$B:$C,2,0),""))</f>
        <v>46518</v>
      </c>
      <c r="H36" s="4" t="n">
        <f aca="false">IF($E36="","",IFERROR(VLOOKUP($E36,Machine_List!$B:$D,3,0),""))</f>
        <v>6</v>
      </c>
      <c r="I36" s="56"/>
      <c r="J36" s="57" t="n">
        <f aca="true">IF($A36="","",IF($I36&lt;&gt;"",$I36,MAX(FID_Plan!$M36,IFERROR(LOOKUP(2,1/($E$3:INDIRECT("E"&amp;(ROW()-1))=$E36),$M$3:INDIRECT("M"&amp;(ROW()-1))),FID_Plan!$M36))))</f>
        <v>46390.1104497355</v>
      </c>
      <c r="K36" s="4" t="n">
        <f aca="false">IF($A36="","",IFERROR(VLOOKUP(B36,CHOOSE(MATCH(C36,Settings!$L$4:$L$10,0),OPR_2P!$A$4:$I$18,SEG_6P!$A$4:$I$18,SOL_4P!$A$4:$I$18,RW_2P!$A$4:$I$18,RW2_4P!$A$4:$I$18,FLAP_4P!$A$4:$I$18,TUBE_4P!$A$4:$I$18),8,0),0))</f>
        <v>80</v>
      </c>
      <c r="L36" s="4" t="n">
        <f aca="false">IF($A36="","",K36*D36)</f>
        <v>160</v>
      </c>
      <c r="M36" s="57" t="n">
        <f aca="false">IF($A36="","",$J36+($L36/(IF(F36="Contract Workman",Settings!$K$5,Settings!$K$4))))</f>
        <v>46397.5178571429</v>
      </c>
      <c r="N36" s="4" t="str">
        <f aca="false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2" t="str">
        <f aca="false"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3" t="str">
        <f aca="false">IF(AND(Q$3&gt;=$J36, Q$3&lt;$M36), $A36, "")</f>
        <v/>
      </c>
      <c r="Q36" s="53" t="str">
        <f aca="false">IF(AND(R$3&gt;=$J36, R$3&lt;$M36), $A36, "")</f>
        <v/>
      </c>
      <c r="R36" s="53" t="str">
        <f aca="false">IF(AND(S$3&gt;=$J36, S$3&lt;$M36), $A36, "")</f>
        <v/>
      </c>
      <c r="S36" s="53" t="str">
        <f aca="false">IF(AND(T$3&gt;=$J36, T$3&lt;$M36), $A36, "")</f>
        <v/>
      </c>
      <c r="T36" s="53" t="str">
        <f aca="false">IF(AND(U$3&gt;=$J36, U$3&lt;$M36), $A36, "")</f>
        <v/>
      </c>
      <c r="U36" s="53" t="str">
        <f aca="false">IF(AND(V$3&gt;=$J36, V$3&lt;$M36), $A36, "")</f>
        <v/>
      </c>
      <c r="V36" s="53" t="str">
        <f aca="false">IF(AND(W$3&gt;=$J36, W$3&lt;$M36), $A36, "")</f>
        <v/>
      </c>
      <c r="W36" s="53" t="str">
        <f aca="false">IF(AND(X$3&gt;=$J36, X$3&lt;$M36), $A36, "")</f>
        <v/>
      </c>
      <c r="X36" s="53" t="str">
        <f aca="false">IF(AND(Y$3&gt;=$J36, Y$3&lt;$M36), $A36, "")</f>
        <v/>
      </c>
      <c r="Y36" s="53" t="str">
        <f aca="false">IF(AND(Z$3&gt;=$J36, Z$3&lt;$M36), $A36, "")</f>
        <v/>
      </c>
      <c r="Z36" s="53" t="str">
        <f aca="false">IF(AND(AA$3&gt;=$J36, AA$3&lt;$M36), $A36, "")</f>
        <v/>
      </c>
      <c r="AA36" s="53" t="str">
        <f aca="false">IF(AND(AB$3&gt;=$J36, AB$3&lt;$M36), $A36, "")</f>
        <v/>
      </c>
      <c r="AB36" s="53" t="str">
        <f aca="false">IF(AND(AC$3&gt;=$J36, AC$3&lt;$M36), $A36, "")</f>
        <v/>
      </c>
      <c r="AC36" s="53" t="str">
        <f aca="false">IF(AND(AD$3&gt;=$J36, AD$3&lt;$M36), $A36, "")</f>
        <v/>
      </c>
      <c r="AD36" s="53" t="str">
        <f aca="false">IF(AND(AE$3&gt;=$J36, AE$3&lt;$M36), $A36, "")</f>
        <v/>
      </c>
      <c r="AE36" s="53" t="str">
        <f aca="false">IF(AND(AF$3&gt;=$J36, AF$3&lt;$M36), $A36, "")</f>
        <v/>
      </c>
      <c r="AF36" s="53" t="str">
        <f aca="false">IF(AND(AG$3&gt;=$J36, AG$3&lt;$M36), $A36, "")</f>
        <v/>
      </c>
      <c r="AG36" s="53" t="str">
        <f aca="false">IF(AND(AH$3&gt;=$J36, AH$3&lt;$M36), $A36, "")</f>
        <v/>
      </c>
      <c r="AH36" s="53" t="str">
        <f aca="false">IF(AND(AI$3&gt;=$J36, AI$3&lt;$M36), $A36, "")</f>
        <v/>
      </c>
      <c r="AI36" s="53" t="str">
        <f aca="false">IF(AND(AJ$3&gt;=$J36, AJ$3&lt;$M36), $A36, "")</f>
        <v/>
      </c>
      <c r="AJ36" s="53" t="str">
        <f aca="false">IF(AND(AK$3&gt;=$J36, AK$3&lt;$M36), $A36, "")</f>
        <v/>
      </c>
      <c r="AK36" s="53" t="str">
        <f aca="false">IF(AND(AL$3&gt;=$J36, AL$3&lt;$M36), $A36, "")</f>
        <v/>
      </c>
      <c r="AL36" s="53" t="str">
        <f aca="false">IF(AND(AM$3&gt;=$J36, AM$3&lt;$M36), $A36, "")</f>
        <v/>
      </c>
      <c r="AM36" s="53" t="str">
        <f aca="false">IF(AND(AN$3&gt;=$J36, AN$3&lt;$M36), $A36, "")</f>
        <v/>
      </c>
      <c r="AN36" s="53" t="str">
        <f aca="false">IF(AND(AO$3&gt;=$J36, AO$3&lt;$M36), $A36, "")</f>
        <v/>
      </c>
      <c r="AO36" s="53" t="str">
        <f aca="false">IF(AND(AP$3&gt;=$J36, AP$3&lt;$M36), $A36, "")</f>
        <v/>
      </c>
      <c r="AP36" s="53" t="str">
        <f aca="false">IF(AND(AQ$3&gt;=$J36, AQ$3&lt;$M36), $A36, "")</f>
        <v/>
      </c>
      <c r="AQ36" s="53" t="str">
        <f aca="false">IF(AND(AR$3&gt;=$J36, AR$3&lt;$M36), $A36, "")</f>
        <v/>
      </c>
      <c r="AR36" s="53" t="str">
        <f aca="false">IF(AND(AS$3&gt;=$J36, AS$3&lt;$M36), $A36, "")</f>
        <v/>
      </c>
      <c r="AS36" s="53" t="str">
        <f aca="false">IF(AND(AT$3&gt;=$J36, AT$3&lt;$M36), $A36, "")</f>
        <v/>
      </c>
      <c r="AT36" s="53" t="str">
        <f aca="false">IF(AND(AU$3&gt;=$J36, AU$3&lt;$M36), $A36, "")</f>
        <v/>
      </c>
      <c r="AU36" s="53" t="str">
        <f aca="false">IF(AND(AV$3&gt;=$J36, AV$3&lt;$M36), $A36, "")</f>
        <v/>
      </c>
      <c r="AV36" s="53" t="str">
        <f aca="false">IF(AND(AW$3&gt;=$J36, AW$3&lt;$M36), $A36, "")</f>
        <v/>
      </c>
      <c r="AW36" s="53" t="str">
        <f aca="false">IF(AND(AX$3&gt;=$J36, AX$3&lt;$M36), $A36, "")</f>
        <v/>
      </c>
      <c r="AX36" s="53" t="str">
        <f aca="false">IF(AND(AY$3&gt;=$J36, AY$3&lt;$M36), $A36, "")</f>
        <v/>
      </c>
      <c r="AY36" s="53" t="str">
        <f aca="false">IF(AND(AZ$3&gt;=$J36, AZ$3&lt;$M36), $A36, "")</f>
        <v/>
      </c>
      <c r="AZ36" s="53" t="str">
        <f aca="false">IF(AND(BA$3&gt;=$J36, BA$3&lt;$M36), $A36, "")</f>
        <v/>
      </c>
      <c r="BA36" s="53" t="str">
        <f aca="false">IF(AND(BB$3&gt;=$J36, BB$3&lt;$M36), $A36, "")</f>
        <v/>
      </c>
      <c r="BB36" s="53" t="str">
        <f aca="false">IF(AND(BC$3&gt;=$J36, BC$3&lt;$M36), $A36, "")</f>
        <v/>
      </c>
      <c r="BC36" s="53" t="str">
        <f aca="false">IF(AND(BD$3&gt;=$J36, BD$3&lt;$M36), $A36, "")</f>
        <v/>
      </c>
      <c r="BD36" s="53" t="str">
        <f aca="false">IF(AND(BE$3&gt;=$J36, BE$3&lt;$M36), $A36, "")</f>
        <v/>
      </c>
      <c r="BE36" s="53" t="str">
        <f aca="false">IF(AND(BF$3&gt;=$J36, BF$3&lt;$M36), $A36, "")</f>
        <v/>
      </c>
      <c r="BF36" s="53" t="str">
        <f aca="false">IF(AND(BG$3&gt;=$J36, BG$3&lt;$M36), $A36, "")</f>
        <v/>
      </c>
      <c r="BG36" s="53" t="str">
        <f aca="false">IF(AND(BH$3&gt;=$J36, BH$3&lt;$M36), $A36, "")</f>
        <v/>
      </c>
      <c r="BH36" s="53" t="str">
        <f aca="false">IF(AND(BI$3&gt;=$J36, BI$3&lt;$M36), $A36, "")</f>
        <v/>
      </c>
      <c r="BI36" s="53" t="str">
        <f aca="false">IF(AND(BJ$3&gt;=$J36, BJ$3&lt;$M36), $A36, "")</f>
        <v/>
      </c>
      <c r="BJ36" s="53" t="str">
        <f aca="false">IF(AND(BK$3&gt;=$J36, BK$3&lt;$M36), $A36, "")</f>
        <v/>
      </c>
      <c r="BK36" s="53" t="str">
        <f aca="false">IF(AND(BL$3&gt;=$J36, BL$3&lt;$M36), $A36, "")</f>
        <v/>
      </c>
      <c r="BL36" s="53" t="str">
        <f aca="false">IF(AND(BM$3&gt;=$J36, BM$3&lt;$M36), $A36, "")</f>
        <v/>
      </c>
      <c r="BM36" s="53" t="str">
        <f aca="false">IF(AND(BN$3&gt;=$J36, BN$3&lt;$M36), $A36, "")</f>
        <v/>
      </c>
      <c r="BN36" s="1" t="str">
        <f aca="false">IF(AND(BO$3&gt;=$J36, BO$3&lt;$M36), $A36, "")</f>
        <v/>
      </c>
      <c r="BO36" s="1" t="str">
        <f aca="false">IF(AND(BP$3&gt;=$J36, BP$3&lt;$M36), $A36, "")</f>
        <v/>
      </c>
      <c r="BP36" s="1" t="str">
        <f aca="false">IF(AND(BQ$3&gt;=$J36, BQ$3&lt;$M36), $A36, "")</f>
        <v/>
      </c>
    </row>
    <row r="37" customFormat="false" ht="15" hidden="false" customHeight="true" outlineLevel="0" collapsed="false">
      <c r="A37" s="46" t="str">
        <f aca="false">IF(Job_Master!A37="","",Job_Master!A37)</f>
        <v>BJ-134</v>
      </c>
      <c r="B37" s="4" t="n">
        <f aca="false">IF($A37="","",Job_Master!B37)</f>
        <v>15</v>
      </c>
      <c r="C37" s="4" t="str">
        <f aca="false">IF($A37="","",Job_Master!C37)</f>
        <v>RW</v>
      </c>
      <c r="D37" s="4" t="n">
        <f aca="false">IF($A37="","",Job_Master!D37)</f>
        <v>2</v>
      </c>
      <c r="E37" s="48" t="str">
        <f aca="false">IF($A37="","",IFERROR(INDEX(Machine_List!$B$82:$B$86,MATCH("*"&amp;$B37&amp;"*",Machine_List!$J$82:$J$86,0)),"NO COMPATIBLE MACHINE"))</f>
        <v>QC-MC-01</v>
      </c>
      <c r="F37" s="4" t="str">
        <f aca="false">IF($E37="","",IFERROR(VLOOKUP($E37,Machine_List!$B:$G,6,0),""))</f>
        <v>General Workman</v>
      </c>
      <c r="G37" s="55" t="n">
        <f aca="false">IF($E37="","",IFERROR(VLOOKUP($E37,Machine_List!$B:$C,2,0),""))</f>
        <v>46518</v>
      </c>
      <c r="H37" s="4" t="n">
        <f aca="false">IF($E37="","",IFERROR(VLOOKUP($E37,Machine_List!$B:$D,3,0),""))</f>
        <v>6</v>
      </c>
      <c r="I37" s="56"/>
      <c r="J37" s="57" t="n">
        <f aca="true">IF($A37="","",IF($I37&lt;&gt;"",$I37,MAX(FID_Plan!$M37,IFERROR(LOOKUP(2,1/($E$3:INDIRECT("E"&amp;(ROW()-1))=$E37),$M$3:INDIRECT("M"&amp;(ROW()-1))),FID_Plan!$M37))))</f>
        <v>46397.5178571429</v>
      </c>
      <c r="K37" s="4" t="n">
        <f aca="false">IF($A37="","",IFERROR(VLOOKUP(B37,CHOOSE(MATCH(C37,Settings!$L$4:$L$10,0),OPR_2P!$A$4:$I$18,SEG_6P!$A$4:$I$18,SOL_4P!$A$4:$I$18,RW_2P!$A$4:$I$18,RW2_4P!$A$4:$I$18,FLAP_4P!$A$4:$I$18,TUBE_4P!$A$4:$I$18),8,0),0))</f>
        <v>7</v>
      </c>
      <c r="L37" s="4" t="n">
        <f aca="false">IF($A37="","",K37*D37)</f>
        <v>14</v>
      </c>
      <c r="M37" s="57" t="n">
        <f aca="false">IF($A37="","",$J37+($L37/(IF(F37="Contract Workman",Settings!$K$5,Settings!$K$4))))</f>
        <v>46398.166005291</v>
      </c>
      <c r="N37" s="4" t="str">
        <f aca="false">IF($A37="","",IF(F37="Contract Workman",IF(AND(MOD(M37,1)&gt;=8/24,MOD(M37,1)&lt;20/24),"Shift S1","Shift S2"),IF(AND(MOD(M37,1)&gt;=7/24,MOD(M37,1)&lt;15/24),"Shift A",IF(AND(MOD(M37,1)&gt;=15/24,MOD(M37,1)&lt;23/24),"Shift B","Shift C"))))</f>
        <v>Shift C</v>
      </c>
      <c r="O37" s="52" t="str">
        <f aca="false"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3" t="str">
        <f aca="false">IF(AND(Q$3&gt;=$J37, Q$3&lt;$M37), $A37, "")</f>
        <v/>
      </c>
      <c r="Q37" s="53" t="str">
        <f aca="false">IF(AND(R$3&gt;=$J37, R$3&lt;$M37), $A37, "")</f>
        <v/>
      </c>
      <c r="R37" s="53" t="str">
        <f aca="false">IF(AND(S$3&gt;=$J37, S$3&lt;$M37), $A37, "")</f>
        <v/>
      </c>
      <c r="S37" s="53" t="str">
        <f aca="false">IF(AND(T$3&gt;=$J37, T$3&lt;$M37), $A37, "")</f>
        <v/>
      </c>
      <c r="T37" s="53" t="str">
        <f aca="false">IF(AND(U$3&gt;=$J37, U$3&lt;$M37), $A37, "")</f>
        <v/>
      </c>
      <c r="U37" s="53" t="str">
        <f aca="false">IF(AND(V$3&gt;=$J37, V$3&lt;$M37), $A37, "")</f>
        <v/>
      </c>
      <c r="V37" s="53" t="str">
        <f aca="false">IF(AND(W$3&gt;=$J37, W$3&lt;$M37), $A37, "")</f>
        <v/>
      </c>
      <c r="W37" s="53" t="str">
        <f aca="false">IF(AND(X$3&gt;=$J37, X$3&lt;$M37), $A37, "")</f>
        <v/>
      </c>
      <c r="X37" s="53" t="str">
        <f aca="false">IF(AND(Y$3&gt;=$J37, Y$3&lt;$M37), $A37, "")</f>
        <v/>
      </c>
      <c r="Y37" s="53" t="str">
        <f aca="false">IF(AND(Z$3&gt;=$J37, Z$3&lt;$M37), $A37, "")</f>
        <v/>
      </c>
      <c r="Z37" s="53" t="str">
        <f aca="false">IF(AND(AA$3&gt;=$J37, AA$3&lt;$M37), $A37, "")</f>
        <v/>
      </c>
      <c r="AA37" s="53" t="str">
        <f aca="false">IF(AND(AB$3&gt;=$J37, AB$3&lt;$M37), $A37, "")</f>
        <v/>
      </c>
      <c r="AB37" s="53" t="str">
        <f aca="false">IF(AND(AC$3&gt;=$J37, AC$3&lt;$M37), $A37, "")</f>
        <v/>
      </c>
      <c r="AC37" s="53" t="str">
        <f aca="false">IF(AND(AD$3&gt;=$J37, AD$3&lt;$M37), $A37, "")</f>
        <v/>
      </c>
      <c r="AD37" s="53" t="str">
        <f aca="false">IF(AND(AE$3&gt;=$J37, AE$3&lt;$M37), $A37, "")</f>
        <v/>
      </c>
      <c r="AE37" s="53" t="str">
        <f aca="false">IF(AND(AF$3&gt;=$J37, AF$3&lt;$M37), $A37, "")</f>
        <v/>
      </c>
      <c r="AF37" s="53" t="str">
        <f aca="false">IF(AND(AG$3&gt;=$J37, AG$3&lt;$M37), $A37, "")</f>
        <v/>
      </c>
      <c r="AG37" s="53" t="str">
        <f aca="false">IF(AND(AH$3&gt;=$J37, AH$3&lt;$M37), $A37, "")</f>
        <v/>
      </c>
      <c r="AH37" s="53" t="str">
        <f aca="false">IF(AND(AI$3&gt;=$J37, AI$3&lt;$M37), $A37, "")</f>
        <v/>
      </c>
      <c r="AI37" s="53" t="str">
        <f aca="false">IF(AND(AJ$3&gt;=$J37, AJ$3&lt;$M37), $A37, "")</f>
        <v/>
      </c>
      <c r="AJ37" s="53" t="str">
        <f aca="false">IF(AND(AK$3&gt;=$J37, AK$3&lt;$M37), $A37, "")</f>
        <v/>
      </c>
      <c r="AK37" s="53" t="str">
        <f aca="false">IF(AND(AL$3&gt;=$J37, AL$3&lt;$M37), $A37, "")</f>
        <v/>
      </c>
      <c r="AL37" s="53" t="str">
        <f aca="false">IF(AND(AM$3&gt;=$J37, AM$3&lt;$M37), $A37, "")</f>
        <v/>
      </c>
      <c r="AM37" s="53" t="str">
        <f aca="false">IF(AND(AN$3&gt;=$J37, AN$3&lt;$M37), $A37, "")</f>
        <v/>
      </c>
      <c r="AN37" s="53" t="str">
        <f aca="false">IF(AND(AO$3&gt;=$J37, AO$3&lt;$M37), $A37, "")</f>
        <v/>
      </c>
      <c r="AO37" s="53" t="str">
        <f aca="false">IF(AND(AP$3&gt;=$J37, AP$3&lt;$M37), $A37, "")</f>
        <v/>
      </c>
      <c r="AP37" s="53" t="str">
        <f aca="false">IF(AND(AQ$3&gt;=$J37, AQ$3&lt;$M37), $A37, "")</f>
        <v/>
      </c>
      <c r="AQ37" s="53" t="str">
        <f aca="false">IF(AND(AR$3&gt;=$J37, AR$3&lt;$M37), $A37, "")</f>
        <v/>
      </c>
      <c r="AR37" s="53" t="str">
        <f aca="false">IF(AND(AS$3&gt;=$J37, AS$3&lt;$M37), $A37, "")</f>
        <v/>
      </c>
      <c r="AS37" s="53" t="str">
        <f aca="false">IF(AND(AT$3&gt;=$J37, AT$3&lt;$M37), $A37, "")</f>
        <v/>
      </c>
      <c r="AT37" s="53" t="str">
        <f aca="false">IF(AND(AU$3&gt;=$J37, AU$3&lt;$M37), $A37, "")</f>
        <v/>
      </c>
      <c r="AU37" s="53" t="str">
        <f aca="false">IF(AND(AV$3&gt;=$J37, AV$3&lt;$M37), $A37, "")</f>
        <v/>
      </c>
      <c r="AV37" s="53" t="str">
        <f aca="false">IF(AND(AW$3&gt;=$J37, AW$3&lt;$M37), $A37, "")</f>
        <v/>
      </c>
      <c r="AW37" s="53" t="str">
        <f aca="false">IF(AND(AX$3&gt;=$J37, AX$3&lt;$M37), $A37, "")</f>
        <v/>
      </c>
      <c r="AX37" s="53" t="str">
        <f aca="false">IF(AND(AY$3&gt;=$J37, AY$3&lt;$M37), $A37, "")</f>
        <v/>
      </c>
      <c r="AY37" s="53" t="str">
        <f aca="false">IF(AND(AZ$3&gt;=$J37, AZ$3&lt;$M37), $A37, "")</f>
        <v/>
      </c>
      <c r="AZ37" s="53" t="str">
        <f aca="false">IF(AND(BA$3&gt;=$J37, BA$3&lt;$M37), $A37, "")</f>
        <v/>
      </c>
      <c r="BA37" s="53" t="str">
        <f aca="false">IF(AND(BB$3&gt;=$J37, BB$3&lt;$M37), $A37, "")</f>
        <v/>
      </c>
      <c r="BB37" s="53" t="str">
        <f aca="false">IF(AND(BC$3&gt;=$J37, BC$3&lt;$M37), $A37, "")</f>
        <v/>
      </c>
      <c r="BC37" s="53" t="str">
        <f aca="false">IF(AND(BD$3&gt;=$J37, BD$3&lt;$M37), $A37, "")</f>
        <v/>
      </c>
      <c r="BD37" s="53" t="str">
        <f aca="false">IF(AND(BE$3&gt;=$J37, BE$3&lt;$M37), $A37, "")</f>
        <v/>
      </c>
      <c r="BE37" s="53" t="str">
        <f aca="false">IF(AND(BF$3&gt;=$J37, BF$3&lt;$M37), $A37, "")</f>
        <v/>
      </c>
      <c r="BF37" s="53" t="str">
        <f aca="false">IF(AND(BG$3&gt;=$J37, BG$3&lt;$M37), $A37, "")</f>
        <v/>
      </c>
      <c r="BG37" s="53" t="str">
        <f aca="false">IF(AND(BH$3&gt;=$J37, BH$3&lt;$M37), $A37, "")</f>
        <v/>
      </c>
      <c r="BH37" s="53" t="str">
        <f aca="false">IF(AND(BI$3&gt;=$J37, BI$3&lt;$M37), $A37, "")</f>
        <v/>
      </c>
      <c r="BI37" s="53" t="str">
        <f aca="false">IF(AND(BJ$3&gt;=$J37, BJ$3&lt;$M37), $A37, "")</f>
        <v/>
      </c>
      <c r="BJ37" s="53" t="str">
        <f aca="false">IF(AND(BK$3&gt;=$J37, BK$3&lt;$M37), $A37, "")</f>
        <v/>
      </c>
      <c r="BK37" s="53" t="str">
        <f aca="false">IF(AND(BL$3&gt;=$J37, BL$3&lt;$M37), $A37, "")</f>
        <v/>
      </c>
      <c r="BL37" s="53" t="str">
        <f aca="false">IF(AND(BM$3&gt;=$J37, BM$3&lt;$M37), $A37, "")</f>
        <v/>
      </c>
      <c r="BM37" s="53" t="str">
        <f aca="false">IF(AND(BN$3&gt;=$J37, BN$3&lt;$M37), $A37, "")</f>
        <v/>
      </c>
      <c r="BN37" s="1" t="str">
        <f aca="false">IF(AND(BO$3&gt;=$J37, BO$3&lt;$M37), $A37, "")</f>
        <v/>
      </c>
      <c r="BO37" s="1" t="str">
        <f aca="false">IF(AND(BP$3&gt;=$J37, BP$3&lt;$M37), $A37, "")</f>
        <v/>
      </c>
      <c r="BP37" s="1" t="str">
        <f aca="false">IF(AND(BQ$3&gt;=$J37, BQ$3&lt;$M37), $A37, "")</f>
        <v/>
      </c>
    </row>
    <row r="38" customFormat="false" ht="15" hidden="false" customHeight="true" outlineLevel="0" collapsed="false">
      <c r="A38" s="46" t="str">
        <f aca="false">IF(Job_Master!A38="","",Job_Master!A38)</f>
        <v>BJ-135</v>
      </c>
      <c r="B38" s="4" t="n">
        <f aca="false">IF($A38="","",Job_Master!B38)</f>
        <v>28</v>
      </c>
      <c r="C38" s="4" t="str">
        <f aca="false">IF($A38="","",Job_Master!C38)</f>
        <v>2P</v>
      </c>
      <c r="D38" s="4" t="n">
        <f aca="false">IF($A38="","",Job_Master!D38)</f>
        <v>2</v>
      </c>
      <c r="E38" s="48" t="str">
        <f aca="false">IF($A38="","",IFERROR(INDEX(Machine_List!$B$82:$B$86,MATCH("*"&amp;$B38&amp;"*",Machine_List!$J$82:$J$86,0)),"NO COMPATIBLE MACHINE"))</f>
        <v>QC-MC-01</v>
      </c>
      <c r="F38" s="4" t="str">
        <f aca="false">IF($E38="","",IFERROR(VLOOKUP($E38,Machine_List!$B:$G,6,0),""))</f>
        <v>General Workman</v>
      </c>
      <c r="G38" s="55" t="n">
        <f aca="false">IF($E38="","",IFERROR(VLOOKUP($E38,Machine_List!$B:$C,2,0),""))</f>
        <v>46518</v>
      </c>
      <c r="H38" s="4" t="n">
        <f aca="false">IF($E38="","",IFERROR(VLOOKUP($E38,Machine_List!$B:$D,3,0),""))</f>
        <v>6</v>
      </c>
      <c r="I38" s="56"/>
      <c r="J38" s="57" t="n">
        <f aca="true">IF($A38="","",IF($I38&lt;&gt;"",$I38,MAX(FID_Plan!$M38,IFERROR(LOOKUP(2,1/($E$3:INDIRECT("E"&amp;(ROW()-1))=$E38),$M$3:INDIRECT("M"&amp;(ROW()-1))),FID_Plan!$M38))))</f>
        <v>46398.166005291</v>
      </c>
      <c r="K38" s="4" t="n">
        <f aca="false">IF($A38="","",IFERROR(VLOOKUP(B38,CHOOSE(MATCH(C38,Settings!$L$4:$L$10,0),OPR_2P!$A$4:$I$18,SEG_6P!$A$4:$I$18,SOL_4P!$A$4:$I$18,RW_2P!$A$4:$I$18,RW2_4P!$A$4:$I$18,FLAP_4P!$A$4:$I$18,TUBE_4P!$A$4:$I$18),8,0),0))</f>
        <v>17</v>
      </c>
      <c r="L38" s="4" t="n">
        <f aca="false">IF($A38="","",K38*D38)</f>
        <v>34</v>
      </c>
      <c r="M38" s="57" t="n">
        <f aca="false">IF($A38="","",$J38+($L38/(IF(F38="Contract Workman",Settings!$K$5,Settings!$K$4))))</f>
        <v>46399.7400793651</v>
      </c>
      <c r="N38" s="4" t="str">
        <f aca="false">IF($A38="","",IF(F38="Contract Workman",IF(AND(MOD(M38,1)&gt;=8/24,MOD(M38,1)&lt;20/24),"Shift S1","Shift S2"),IF(AND(MOD(M38,1)&gt;=7/24,MOD(M38,1)&lt;15/24),"Shift A",IF(AND(MOD(M38,1)&gt;=15/24,MOD(M38,1)&lt;23/24),"Shift B","Shift C"))))</f>
        <v>Shift B</v>
      </c>
      <c r="O38" s="52" t="str">
        <f aca="false"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3" t="str">
        <f aca="false">IF(AND(Q$3&gt;=$J38, Q$3&lt;$M38), $A38, "")</f>
        <v/>
      </c>
      <c r="Q38" s="53" t="str">
        <f aca="false">IF(AND(R$3&gt;=$J38, R$3&lt;$M38), $A38, "")</f>
        <v/>
      </c>
      <c r="R38" s="53" t="str">
        <f aca="false">IF(AND(S$3&gt;=$J38, S$3&lt;$M38), $A38, "")</f>
        <v/>
      </c>
      <c r="S38" s="53" t="str">
        <f aca="false">IF(AND(T$3&gt;=$J38, T$3&lt;$M38), $A38, "")</f>
        <v/>
      </c>
      <c r="T38" s="53" t="str">
        <f aca="false">IF(AND(U$3&gt;=$J38, U$3&lt;$M38), $A38, "")</f>
        <v/>
      </c>
      <c r="U38" s="53" t="str">
        <f aca="false">IF(AND(V$3&gt;=$J38, V$3&lt;$M38), $A38, "")</f>
        <v/>
      </c>
      <c r="V38" s="53" t="str">
        <f aca="false">IF(AND(W$3&gt;=$J38, W$3&lt;$M38), $A38, "")</f>
        <v/>
      </c>
      <c r="W38" s="53" t="str">
        <f aca="false">IF(AND(X$3&gt;=$J38, X$3&lt;$M38), $A38, "")</f>
        <v/>
      </c>
      <c r="X38" s="53" t="str">
        <f aca="false">IF(AND(Y$3&gt;=$J38, Y$3&lt;$M38), $A38, "")</f>
        <v/>
      </c>
      <c r="Y38" s="53" t="str">
        <f aca="false">IF(AND(Z$3&gt;=$J38, Z$3&lt;$M38), $A38, "")</f>
        <v/>
      </c>
      <c r="Z38" s="53" t="str">
        <f aca="false">IF(AND(AA$3&gt;=$J38, AA$3&lt;$M38), $A38, "")</f>
        <v/>
      </c>
      <c r="AA38" s="53" t="str">
        <f aca="false">IF(AND(AB$3&gt;=$J38, AB$3&lt;$M38), $A38, "")</f>
        <v/>
      </c>
      <c r="AB38" s="53" t="str">
        <f aca="false">IF(AND(AC$3&gt;=$J38, AC$3&lt;$M38), $A38, "")</f>
        <v/>
      </c>
      <c r="AC38" s="53" t="str">
        <f aca="false">IF(AND(AD$3&gt;=$J38, AD$3&lt;$M38), $A38, "")</f>
        <v/>
      </c>
      <c r="AD38" s="53" t="str">
        <f aca="false">IF(AND(AE$3&gt;=$J38, AE$3&lt;$M38), $A38, "")</f>
        <v/>
      </c>
      <c r="AE38" s="53" t="str">
        <f aca="false">IF(AND(AF$3&gt;=$J38, AF$3&lt;$M38), $A38, "")</f>
        <v/>
      </c>
      <c r="AF38" s="53" t="str">
        <f aca="false">IF(AND(AG$3&gt;=$J38, AG$3&lt;$M38), $A38, "")</f>
        <v/>
      </c>
      <c r="AG38" s="53" t="str">
        <f aca="false">IF(AND(AH$3&gt;=$J38, AH$3&lt;$M38), $A38, "")</f>
        <v/>
      </c>
      <c r="AH38" s="53" t="str">
        <f aca="false">IF(AND(AI$3&gt;=$J38, AI$3&lt;$M38), $A38, "")</f>
        <v/>
      </c>
      <c r="AI38" s="53" t="str">
        <f aca="false">IF(AND(AJ$3&gt;=$J38, AJ$3&lt;$M38), $A38, "")</f>
        <v/>
      </c>
      <c r="AJ38" s="53" t="str">
        <f aca="false">IF(AND(AK$3&gt;=$J38, AK$3&lt;$M38), $A38, "")</f>
        <v/>
      </c>
      <c r="AK38" s="53" t="str">
        <f aca="false">IF(AND(AL$3&gt;=$J38, AL$3&lt;$M38), $A38, "")</f>
        <v/>
      </c>
      <c r="AL38" s="53" t="str">
        <f aca="false">IF(AND(AM$3&gt;=$J38, AM$3&lt;$M38), $A38, "")</f>
        <v/>
      </c>
      <c r="AM38" s="53" t="str">
        <f aca="false">IF(AND(AN$3&gt;=$J38, AN$3&lt;$M38), $A38, "")</f>
        <v/>
      </c>
      <c r="AN38" s="53" t="str">
        <f aca="false">IF(AND(AO$3&gt;=$J38, AO$3&lt;$M38), $A38, "")</f>
        <v/>
      </c>
      <c r="AO38" s="53" t="str">
        <f aca="false">IF(AND(AP$3&gt;=$J38, AP$3&lt;$M38), $A38, "")</f>
        <v/>
      </c>
      <c r="AP38" s="53" t="str">
        <f aca="false">IF(AND(AQ$3&gt;=$J38, AQ$3&lt;$M38), $A38, "")</f>
        <v/>
      </c>
      <c r="AQ38" s="53" t="str">
        <f aca="false">IF(AND(AR$3&gt;=$J38, AR$3&lt;$M38), $A38, "")</f>
        <v/>
      </c>
      <c r="AR38" s="53" t="str">
        <f aca="false">IF(AND(AS$3&gt;=$J38, AS$3&lt;$M38), $A38, "")</f>
        <v/>
      </c>
      <c r="AS38" s="53" t="str">
        <f aca="false">IF(AND(AT$3&gt;=$J38, AT$3&lt;$M38), $A38, "")</f>
        <v/>
      </c>
      <c r="AT38" s="53" t="str">
        <f aca="false">IF(AND(AU$3&gt;=$J38, AU$3&lt;$M38), $A38, "")</f>
        <v/>
      </c>
      <c r="AU38" s="53" t="str">
        <f aca="false">IF(AND(AV$3&gt;=$J38, AV$3&lt;$M38), $A38, "")</f>
        <v/>
      </c>
      <c r="AV38" s="53" t="str">
        <f aca="false">IF(AND(AW$3&gt;=$J38, AW$3&lt;$M38), $A38, "")</f>
        <v/>
      </c>
      <c r="AW38" s="53" t="str">
        <f aca="false">IF(AND(AX$3&gt;=$J38, AX$3&lt;$M38), $A38, "")</f>
        <v/>
      </c>
      <c r="AX38" s="53" t="str">
        <f aca="false">IF(AND(AY$3&gt;=$J38, AY$3&lt;$M38), $A38, "")</f>
        <v/>
      </c>
      <c r="AY38" s="53" t="str">
        <f aca="false">IF(AND(AZ$3&gt;=$J38, AZ$3&lt;$M38), $A38, "")</f>
        <v/>
      </c>
      <c r="AZ38" s="53" t="str">
        <f aca="false">IF(AND(BA$3&gt;=$J38, BA$3&lt;$M38), $A38, "")</f>
        <v/>
      </c>
      <c r="BA38" s="53" t="str">
        <f aca="false">IF(AND(BB$3&gt;=$J38, BB$3&lt;$M38), $A38, "")</f>
        <v/>
      </c>
      <c r="BB38" s="53" t="str">
        <f aca="false">IF(AND(BC$3&gt;=$J38, BC$3&lt;$M38), $A38, "")</f>
        <v/>
      </c>
      <c r="BC38" s="53" t="str">
        <f aca="false">IF(AND(BD$3&gt;=$J38, BD$3&lt;$M38), $A38, "")</f>
        <v/>
      </c>
      <c r="BD38" s="53" t="str">
        <f aca="false">IF(AND(BE$3&gt;=$J38, BE$3&lt;$M38), $A38, "")</f>
        <v/>
      </c>
      <c r="BE38" s="53" t="str">
        <f aca="false">IF(AND(BF$3&gt;=$J38, BF$3&lt;$M38), $A38, "")</f>
        <v/>
      </c>
      <c r="BF38" s="53" t="str">
        <f aca="false">IF(AND(BG$3&gt;=$J38, BG$3&lt;$M38), $A38, "")</f>
        <v/>
      </c>
      <c r="BG38" s="53" t="str">
        <f aca="false">IF(AND(BH$3&gt;=$J38, BH$3&lt;$M38), $A38, "")</f>
        <v/>
      </c>
      <c r="BH38" s="53" t="str">
        <f aca="false">IF(AND(BI$3&gt;=$J38, BI$3&lt;$M38), $A38, "")</f>
        <v/>
      </c>
      <c r="BI38" s="53" t="str">
        <f aca="false">IF(AND(BJ$3&gt;=$J38, BJ$3&lt;$M38), $A38, "")</f>
        <v/>
      </c>
      <c r="BJ38" s="53" t="str">
        <f aca="false">IF(AND(BK$3&gt;=$J38, BK$3&lt;$M38), $A38, "")</f>
        <v/>
      </c>
      <c r="BK38" s="53" t="str">
        <f aca="false">IF(AND(BL$3&gt;=$J38, BL$3&lt;$M38), $A38, "")</f>
        <v/>
      </c>
      <c r="BL38" s="53" t="str">
        <f aca="false">IF(AND(BM$3&gt;=$J38, BM$3&lt;$M38), $A38, "")</f>
        <v/>
      </c>
      <c r="BM38" s="53" t="str">
        <f aca="false">IF(AND(BN$3&gt;=$J38, BN$3&lt;$M38), $A38, "")</f>
        <v/>
      </c>
      <c r="BN38" s="1" t="str">
        <f aca="false">IF(AND(BO$3&gt;=$J38, BO$3&lt;$M38), $A38, "")</f>
        <v/>
      </c>
      <c r="BO38" s="1" t="str">
        <f aca="false">IF(AND(BP$3&gt;=$J38, BP$3&lt;$M38), $A38, "")</f>
        <v/>
      </c>
      <c r="BP38" s="1" t="str">
        <f aca="false">IF(AND(BQ$3&gt;=$J38, BQ$3&lt;$M38), $A38, "")</f>
        <v/>
      </c>
    </row>
    <row r="39" customFormat="false" ht="15" hidden="false" customHeight="true" outlineLevel="0" collapsed="false">
      <c r="A39" s="46" t="str">
        <f aca="false">IF(Job_Master!A39="","",Job_Master!A39)</f>
        <v>BJ-132</v>
      </c>
      <c r="B39" s="4" t="n">
        <f aca="false">IF($A39="","",Job_Master!B39)</f>
        <v>57</v>
      </c>
      <c r="C39" s="4" t="str">
        <f aca="false">IF($A39="","",Job_Master!C39)</f>
        <v>SOL</v>
      </c>
      <c r="D39" s="4" t="n">
        <f aca="false">IF($A39="","",Job_Master!D39)</f>
        <v>4</v>
      </c>
      <c r="E39" s="48" t="str">
        <f aca="false">IF($A39="","",IFERROR(INDEX(Machine_List!$B$82:$B$86,MATCH("*"&amp;$B39&amp;"*",Machine_List!$J$82:$J$86,0)),"NO COMPATIBLE MACHINE"))</f>
        <v>QC-MC-01</v>
      </c>
      <c r="F39" s="4" t="str">
        <f aca="false">IF($E39="","",IFERROR(VLOOKUP($E39,Machine_List!$B:$G,6,0),""))</f>
        <v>General Workman</v>
      </c>
      <c r="G39" s="55" t="n">
        <f aca="false">IF($E39="","",IFERROR(VLOOKUP($E39,Machine_List!$B:$C,2,0),""))</f>
        <v>46518</v>
      </c>
      <c r="H39" s="4" t="n">
        <f aca="false">IF($E39="","",IFERROR(VLOOKUP($E39,Machine_List!$B:$D,3,0),""))</f>
        <v>6</v>
      </c>
      <c r="I39" s="56"/>
      <c r="J39" s="57" t="n">
        <f aca="true">IF($A39="","",IF($I39&lt;&gt;"",$I39,MAX(FID_Plan!$M39,IFERROR(LOOKUP(2,1/($E$3:INDIRECT("E"&amp;(ROW()-1))=$E39),$M$3:INDIRECT("M"&amp;(ROW()-1))),FID_Plan!$M39))))</f>
        <v>46417.5376984127</v>
      </c>
      <c r="K39" s="4" t="n">
        <f aca="false">IF($A39="","",IFERROR(VLOOKUP(B39,CHOOSE(MATCH(C39,Settings!$L$4:$L$10,0),OPR_2P!$A$4:$I$18,SEG_6P!$A$4:$I$18,SOL_4P!$A$4:$I$18,RW_2P!$A$4:$I$18,RW2_4P!$A$4:$I$18,FLAP_4P!$A$4:$I$18,TUBE_4P!$A$4:$I$18),8,0),0))</f>
        <v>55</v>
      </c>
      <c r="L39" s="4" t="n">
        <f aca="false">IF($A39="","",K39*D39)</f>
        <v>220</v>
      </c>
      <c r="M39" s="57" t="n">
        <f aca="false">IF($A39="","",$J39+($L39/(IF(F39="Contract Workman",Settings!$K$5,Settings!$K$4))))</f>
        <v>46427.7228835979</v>
      </c>
      <c r="N39" s="4" t="str">
        <f aca="false">IF($A39="","",IF(F39="Contract Workman",IF(AND(MOD(M39,1)&gt;=8/24,MOD(M39,1)&lt;20/24),"Shift S1","Shift S2"),IF(AND(MOD(M39,1)&gt;=7/24,MOD(M39,1)&lt;15/24),"Shift A",IF(AND(MOD(M39,1)&gt;=15/24,MOD(M39,1)&lt;23/24),"Shift B","Shift C"))))</f>
        <v>Shift B</v>
      </c>
      <c r="O39" s="52" t="str">
        <f aca="false"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3" t="str">
        <f aca="false">IF(AND(Q$3&gt;=$J39, Q$3&lt;$M39), $A39, "")</f>
        <v/>
      </c>
      <c r="Q39" s="53" t="str">
        <f aca="false">IF(AND(R$3&gt;=$J39, R$3&lt;$M39), $A39, "")</f>
        <v/>
      </c>
      <c r="R39" s="53" t="str">
        <f aca="false">IF(AND(S$3&gt;=$J39, S$3&lt;$M39), $A39, "")</f>
        <v/>
      </c>
      <c r="S39" s="53" t="str">
        <f aca="false">IF(AND(T$3&gt;=$J39, T$3&lt;$M39), $A39, "")</f>
        <v/>
      </c>
      <c r="T39" s="53" t="str">
        <f aca="false">IF(AND(U$3&gt;=$J39, U$3&lt;$M39), $A39, "")</f>
        <v/>
      </c>
      <c r="U39" s="53" t="str">
        <f aca="false">IF(AND(V$3&gt;=$J39, V$3&lt;$M39), $A39, "")</f>
        <v/>
      </c>
      <c r="V39" s="53" t="str">
        <f aca="false">IF(AND(W$3&gt;=$J39, W$3&lt;$M39), $A39, "")</f>
        <v/>
      </c>
      <c r="W39" s="53" t="str">
        <f aca="false">IF(AND(X$3&gt;=$J39, X$3&lt;$M39), $A39, "")</f>
        <v/>
      </c>
      <c r="X39" s="53" t="str">
        <f aca="false">IF(AND(Y$3&gt;=$J39, Y$3&lt;$M39), $A39, "")</f>
        <v/>
      </c>
      <c r="Y39" s="53" t="str">
        <f aca="false">IF(AND(Z$3&gt;=$J39, Z$3&lt;$M39), $A39, "")</f>
        <v/>
      </c>
      <c r="Z39" s="53" t="str">
        <f aca="false">IF(AND(AA$3&gt;=$J39, AA$3&lt;$M39), $A39, "")</f>
        <v/>
      </c>
      <c r="AA39" s="53" t="str">
        <f aca="false">IF(AND(AB$3&gt;=$J39, AB$3&lt;$M39), $A39, "")</f>
        <v/>
      </c>
      <c r="AB39" s="53" t="str">
        <f aca="false">IF(AND(AC$3&gt;=$J39, AC$3&lt;$M39), $A39, "")</f>
        <v/>
      </c>
      <c r="AC39" s="53" t="str">
        <f aca="false">IF(AND(AD$3&gt;=$J39, AD$3&lt;$M39), $A39, "")</f>
        <v/>
      </c>
      <c r="AD39" s="53" t="str">
        <f aca="false">IF(AND(AE$3&gt;=$J39, AE$3&lt;$M39), $A39, "")</f>
        <v/>
      </c>
      <c r="AE39" s="53" t="str">
        <f aca="false">IF(AND(AF$3&gt;=$J39, AF$3&lt;$M39), $A39, "")</f>
        <v/>
      </c>
      <c r="AF39" s="53" t="str">
        <f aca="false">IF(AND(AG$3&gt;=$J39, AG$3&lt;$M39), $A39, "")</f>
        <v/>
      </c>
      <c r="AG39" s="53" t="str">
        <f aca="false">IF(AND(AH$3&gt;=$J39, AH$3&lt;$M39), $A39, "")</f>
        <v/>
      </c>
      <c r="AH39" s="53" t="str">
        <f aca="false">IF(AND(AI$3&gt;=$J39, AI$3&lt;$M39), $A39, "")</f>
        <v/>
      </c>
      <c r="AI39" s="53" t="str">
        <f aca="false">IF(AND(AJ$3&gt;=$J39, AJ$3&lt;$M39), $A39, "")</f>
        <v/>
      </c>
      <c r="AJ39" s="53" t="str">
        <f aca="false">IF(AND(AK$3&gt;=$J39, AK$3&lt;$M39), $A39, "")</f>
        <v/>
      </c>
      <c r="AK39" s="53" t="str">
        <f aca="false">IF(AND(AL$3&gt;=$J39, AL$3&lt;$M39), $A39, "")</f>
        <v/>
      </c>
      <c r="AL39" s="53" t="str">
        <f aca="false">IF(AND(AM$3&gt;=$J39, AM$3&lt;$M39), $A39, "")</f>
        <v/>
      </c>
      <c r="AM39" s="53" t="str">
        <f aca="false">IF(AND(AN$3&gt;=$J39, AN$3&lt;$M39), $A39, "")</f>
        <v/>
      </c>
      <c r="AN39" s="53" t="str">
        <f aca="false">IF(AND(AO$3&gt;=$J39, AO$3&lt;$M39), $A39, "")</f>
        <v/>
      </c>
      <c r="AO39" s="53" t="str">
        <f aca="false">IF(AND(AP$3&gt;=$J39, AP$3&lt;$M39), $A39, "")</f>
        <v/>
      </c>
      <c r="AP39" s="53" t="str">
        <f aca="false">IF(AND(AQ$3&gt;=$J39, AQ$3&lt;$M39), $A39, "")</f>
        <v/>
      </c>
      <c r="AQ39" s="53" t="str">
        <f aca="false">IF(AND(AR$3&gt;=$J39, AR$3&lt;$M39), $A39, "")</f>
        <v/>
      </c>
      <c r="AR39" s="53" t="str">
        <f aca="false">IF(AND(AS$3&gt;=$J39, AS$3&lt;$M39), $A39, "")</f>
        <v/>
      </c>
      <c r="AS39" s="53" t="str">
        <f aca="false">IF(AND(AT$3&gt;=$J39, AT$3&lt;$M39), $A39, "")</f>
        <v/>
      </c>
      <c r="AT39" s="53" t="str">
        <f aca="false">IF(AND(AU$3&gt;=$J39, AU$3&lt;$M39), $A39, "")</f>
        <v/>
      </c>
      <c r="AU39" s="53" t="str">
        <f aca="false">IF(AND(AV$3&gt;=$J39, AV$3&lt;$M39), $A39, "")</f>
        <v/>
      </c>
      <c r="AV39" s="53" t="str">
        <f aca="false">IF(AND(AW$3&gt;=$J39, AW$3&lt;$M39), $A39, "")</f>
        <v/>
      </c>
      <c r="AW39" s="53" t="str">
        <f aca="false">IF(AND(AX$3&gt;=$J39, AX$3&lt;$M39), $A39, "")</f>
        <v/>
      </c>
      <c r="AX39" s="53" t="str">
        <f aca="false">IF(AND(AY$3&gt;=$J39, AY$3&lt;$M39), $A39, "")</f>
        <v/>
      </c>
      <c r="AY39" s="53" t="str">
        <f aca="false">IF(AND(AZ$3&gt;=$J39, AZ$3&lt;$M39), $A39, "")</f>
        <v/>
      </c>
      <c r="AZ39" s="53" t="str">
        <f aca="false">IF(AND(BA$3&gt;=$J39, BA$3&lt;$M39), $A39, "")</f>
        <v/>
      </c>
      <c r="BA39" s="53" t="str">
        <f aca="false">IF(AND(BB$3&gt;=$J39, BB$3&lt;$M39), $A39, "")</f>
        <v/>
      </c>
      <c r="BB39" s="53" t="str">
        <f aca="false">IF(AND(BC$3&gt;=$J39, BC$3&lt;$M39), $A39, "")</f>
        <v/>
      </c>
      <c r="BC39" s="53" t="str">
        <f aca="false">IF(AND(BD$3&gt;=$J39, BD$3&lt;$M39), $A39, "")</f>
        <v/>
      </c>
      <c r="BD39" s="53" t="str">
        <f aca="false">IF(AND(BE$3&gt;=$J39, BE$3&lt;$M39), $A39, "")</f>
        <v/>
      </c>
      <c r="BE39" s="53" t="str">
        <f aca="false">IF(AND(BF$3&gt;=$J39, BF$3&lt;$M39), $A39, "")</f>
        <v/>
      </c>
      <c r="BF39" s="53" t="str">
        <f aca="false">IF(AND(BG$3&gt;=$J39, BG$3&lt;$M39), $A39, "")</f>
        <v/>
      </c>
      <c r="BG39" s="53" t="str">
        <f aca="false">IF(AND(BH$3&gt;=$J39, BH$3&lt;$M39), $A39, "")</f>
        <v/>
      </c>
      <c r="BH39" s="53" t="str">
        <f aca="false">IF(AND(BI$3&gt;=$J39, BI$3&lt;$M39), $A39, "")</f>
        <v/>
      </c>
      <c r="BI39" s="53" t="str">
        <f aca="false">IF(AND(BJ$3&gt;=$J39, BJ$3&lt;$M39), $A39, "")</f>
        <v/>
      </c>
      <c r="BJ39" s="53" t="str">
        <f aca="false">IF(AND(BK$3&gt;=$J39, BK$3&lt;$M39), $A39, "")</f>
        <v/>
      </c>
      <c r="BK39" s="53" t="str">
        <f aca="false">IF(AND(BL$3&gt;=$J39, BL$3&lt;$M39), $A39, "")</f>
        <v/>
      </c>
      <c r="BL39" s="53" t="str">
        <f aca="false">IF(AND(BM$3&gt;=$J39, BM$3&lt;$M39), $A39, "")</f>
        <v/>
      </c>
      <c r="BM39" s="53" t="str">
        <f aca="false">IF(AND(BN$3&gt;=$J39, BN$3&lt;$M39), $A39, "")</f>
        <v/>
      </c>
      <c r="BN39" s="1" t="str">
        <f aca="false">IF(AND(BO$3&gt;=$J39, BO$3&lt;$M39), $A39, "")</f>
        <v/>
      </c>
      <c r="BO39" s="1" t="str">
        <f aca="false">IF(AND(BP$3&gt;=$J39, BP$3&lt;$M39), $A39, "")</f>
        <v/>
      </c>
      <c r="BP39" s="1" t="str">
        <f aca="false">IF(AND(BQ$3&gt;=$J39, BQ$3&lt;$M39), $A39, "")</f>
        <v/>
      </c>
    </row>
    <row r="40" customFormat="false" ht="15" hidden="false" customHeight="true" outlineLevel="0" collapsed="false">
      <c r="A40" s="46" t="str">
        <f aca="false">IF(Job_Master!A40="","",Job_Master!A40)</f>
        <v>BJ-136</v>
      </c>
      <c r="B40" s="4" t="n">
        <f aca="false">IF($A40="","",Job_Master!B40)</f>
        <v>20</v>
      </c>
      <c r="C40" s="4" t="str">
        <f aca="false">IF($A40="","",Job_Master!C40)</f>
        <v>RW</v>
      </c>
      <c r="D40" s="4" t="n">
        <f aca="false">IF($A40="","",Job_Master!D40)</f>
        <v>2</v>
      </c>
      <c r="E40" s="48" t="str">
        <f aca="false">IF($A40="","",IFERROR(INDEX(Machine_List!$B$82:$B$86,MATCH("*"&amp;$B40&amp;"*",Machine_List!$J$82:$J$86,0)),"NO COMPATIBLE MACHINE"))</f>
        <v>QC-MC-01</v>
      </c>
      <c r="F40" s="4" t="str">
        <f aca="false">IF($E40="","",IFERROR(VLOOKUP($E40,Machine_List!$B:$G,6,0),""))</f>
        <v>General Workman</v>
      </c>
      <c r="G40" s="55" t="n">
        <f aca="false">IF($E40="","",IFERROR(VLOOKUP($E40,Machine_List!$B:$C,2,0),""))</f>
        <v>46518</v>
      </c>
      <c r="H40" s="4" t="n">
        <f aca="false">IF($E40="","",IFERROR(VLOOKUP($E40,Machine_List!$B:$D,3,0),""))</f>
        <v>6</v>
      </c>
      <c r="I40" s="56"/>
      <c r="J40" s="57" t="n">
        <f aca="true">IF($A40="","",IF($I40&lt;&gt;"",$I40,MAX(FID_Plan!$M40,IFERROR(LOOKUP(2,1/($E$3:INDIRECT("E"&amp;(ROW()-1))=$E40),$M$3:INDIRECT("M"&amp;(ROW()-1))),FID_Plan!$M40))))</f>
        <v>46427.7228835979</v>
      </c>
      <c r="K40" s="4" t="n">
        <f aca="false">IF($A40="","",IFERROR(VLOOKUP(B40,CHOOSE(MATCH(C40,Settings!$L$4:$L$10,0),OPR_2P!$A$4:$I$18,SEG_6P!$A$4:$I$18,SOL_4P!$A$4:$I$18,RW_2P!$A$4:$I$18,RW2_4P!$A$4:$I$18,FLAP_4P!$A$4:$I$18,TUBE_4P!$A$4:$I$18),8,0),0))</f>
        <v>19</v>
      </c>
      <c r="L40" s="4" t="n">
        <f aca="false">IF($A40="","",K40*D40)</f>
        <v>38</v>
      </c>
      <c r="M40" s="57" t="n">
        <f aca="false">IF($A40="","",$J40+($L40/(IF(F40="Contract Workman",Settings!$K$5,Settings!$K$4))))</f>
        <v>46429.4821428571</v>
      </c>
      <c r="N40" s="4" t="str">
        <f aca="false">IF($A40="","",IF(F40="Contract Workman",IF(AND(MOD(M40,1)&gt;=8/24,MOD(M40,1)&lt;20/24),"Shift S1","Shift S2"),IF(AND(MOD(M40,1)&gt;=7/24,MOD(M40,1)&lt;15/24),"Shift A",IF(AND(MOD(M40,1)&gt;=15/24,MOD(M40,1)&lt;23/24),"Shift B","Shift C"))))</f>
        <v>Shift A</v>
      </c>
      <c r="O40" s="52" t="str">
        <f aca="false"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3" t="str">
        <f aca="false">IF(AND(Q$3&gt;=$J40, Q$3&lt;$M40), $A40, "")</f>
        <v/>
      </c>
      <c r="Q40" s="53" t="str">
        <f aca="false">IF(AND(R$3&gt;=$J40, R$3&lt;$M40), $A40, "")</f>
        <v/>
      </c>
      <c r="R40" s="53" t="str">
        <f aca="false">IF(AND(S$3&gt;=$J40, S$3&lt;$M40), $A40, "")</f>
        <v/>
      </c>
      <c r="S40" s="53" t="str">
        <f aca="false">IF(AND(T$3&gt;=$J40, T$3&lt;$M40), $A40, "")</f>
        <v/>
      </c>
      <c r="T40" s="53" t="str">
        <f aca="false">IF(AND(U$3&gt;=$J40, U$3&lt;$M40), $A40, "")</f>
        <v/>
      </c>
      <c r="U40" s="53" t="str">
        <f aca="false">IF(AND(V$3&gt;=$J40, V$3&lt;$M40), $A40, "")</f>
        <v/>
      </c>
      <c r="V40" s="53" t="str">
        <f aca="false">IF(AND(W$3&gt;=$J40, W$3&lt;$M40), $A40, "")</f>
        <v/>
      </c>
      <c r="W40" s="53" t="str">
        <f aca="false">IF(AND(X$3&gt;=$J40, X$3&lt;$M40), $A40, "")</f>
        <v/>
      </c>
      <c r="X40" s="53" t="str">
        <f aca="false">IF(AND(Y$3&gt;=$J40, Y$3&lt;$M40), $A40, "")</f>
        <v/>
      </c>
      <c r="Y40" s="53" t="str">
        <f aca="false">IF(AND(Z$3&gt;=$J40, Z$3&lt;$M40), $A40, "")</f>
        <v/>
      </c>
      <c r="Z40" s="53" t="str">
        <f aca="false">IF(AND(AA$3&gt;=$J40, AA$3&lt;$M40), $A40, "")</f>
        <v/>
      </c>
      <c r="AA40" s="53" t="str">
        <f aca="false">IF(AND(AB$3&gt;=$J40, AB$3&lt;$M40), $A40, "")</f>
        <v/>
      </c>
      <c r="AB40" s="53" t="str">
        <f aca="false">IF(AND(AC$3&gt;=$J40, AC$3&lt;$M40), $A40, "")</f>
        <v/>
      </c>
      <c r="AC40" s="53" t="str">
        <f aca="false">IF(AND(AD$3&gt;=$J40, AD$3&lt;$M40), $A40, "")</f>
        <v/>
      </c>
      <c r="AD40" s="53" t="str">
        <f aca="false">IF(AND(AE$3&gt;=$J40, AE$3&lt;$M40), $A40, "")</f>
        <v/>
      </c>
      <c r="AE40" s="53" t="str">
        <f aca="false">IF(AND(AF$3&gt;=$J40, AF$3&lt;$M40), $A40, "")</f>
        <v/>
      </c>
      <c r="AF40" s="53" t="str">
        <f aca="false">IF(AND(AG$3&gt;=$J40, AG$3&lt;$M40), $A40, "")</f>
        <v/>
      </c>
      <c r="AG40" s="53" t="str">
        <f aca="false">IF(AND(AH$3&gt;=$J40, AH$3&lt;$M40), $A40, "")</f>
        <v/>
      </c>
      <c r="AH40" s="53" t="str">
        <f aca="false">IF(AND(AI$3&gt;=$J40, AI$3&lt;$M40), $A40, "")</f>
        <v/>
      </c>
      <c r="AI40" s="53" t="str">
        <f aca="false">IF(AND(AJ$3&gt;=$J40, AJ$3&lt;$M40), $A40, "")</f>
        <v/>
      </c>
      <c r="AJ40" s="53" t="str">
        <f aca="false">IF(AND(AK$3&gt;=$J40, AK$3&lt;$M40), $A40, "")</f>
        <v/>
      </c>
      <c r="AK40" s="53" t="str">
        <f aca="false">IF(AND(AL$3&gt;=$J40, AL$3&lt;$M40), $A40, "")</f>
        <v/>
      </c>
      <c r="AL40" s="53" t="str">
        <f aca="false">IF(AND(AM$3&gt;=$J40, AM$3&lt;$M40), $A40, "")</f>
        <v/>
      </c>
      <c r="AM40" s="53" t="str">
        <f aca="false">IF(AND(AN$3&gt;=$J40, AN$3&lt;$M40), $A40, "")</f>
        <v/>
      </c>
      <c r="AN40" s="53" t="str">
        <f aca="false">IF(AND(AO$3&gt;=$J40, AO$3&lt;$M40), $A40, "")</f>
        <v/>
      </c>
      <c r="AO40" s="53" t="str">
        <f aca="false">IF(AND(AP$3&gt;=$J40, AP$3&lt;$M40), $A40, "")</f>
        <v/>
      </c>
      <c r="AP40" s="53" t="str">
        <f aca="false">IF(AND(AQ$3&gt;=$J40, AQ$3&lt;$M40), $A40, "")</f>
        <v/>
      </c>
      <c r="AQ40" s="53" t="str">
        <f aca="false">IF(AND(AR$3&gt;=$J40, AR$3&lt;$M40), $A40, "")</f>
        <v/>
      </c>
      <c r="AR40" s="53" t="str">
        <f aca="false">IF(AND(AS$3&gt;=$J40, AS$3&lt;$M40), $A40, "")</f>
        <v/>
      </c>
      <c r="AS40" s="53" t="str">
        <f aca="false">IF(AND(AT$3&gt;=$J40, AT$3&lt;$M40), $A40, "")</f>
        <v/>
      </c>
      <c r="AT40" s="53" t="str">
        <f aca="false">IF(AND(AU$3&gt;=$J40, AU$3&lt;$M40), $A40, "")</f>
        <v/>
      </c>
      <c r="AU40" s="53" t="str">
        <f aca="false">IF(AND(AV$3&gt;=$J40, AV$3&lt;$M40), $A40, "")</f>
        <v/>
      </c>
      <c r="AV40" s="53" t="str">
        <f aca="false">IF(AND(AW$3&gt;=$J40, AW$3&lt;$M40), $A40, "")</f>
        <v/>
      </c>
      <c r="AW40" s="53" t="str">
        <f aca="false">IF(AND(AX$3&gt;=$J40, AX$3&lt;$M40), $A40, "")</f>
        <v/>
      </c>
      <c r="AX40" s="53" t="str">
        <f aca="false">IF(AND(AY$3&gt;=$J40, AY$3&lt;$M40), $A40, "")</f>
        <v/>
      </c>
      <c r="AY40" s="53" t="str">
        <f aca="false">IF(AND(AZ$3&gt;=$J40, AZ$3&lt;$M40), $A40, "")</f>
        <v/>
      </c>
      <c r="AZ40" s="53" t="str">
        <f aca="false">IF(AND(BA$3&gt;=$J40, BA$3&lt;$M40), $A40, "")</f>
        <v/>
      </c>
      <c r="BA40" s="53" t="str">
        <f aca="false">IF(AND(BB$3&gt;=$J40, BB$3&lt;$M40), $A40, "")</f>
        <v/>
      </c>
      <c r="BB40" s="53" t="str">
        <f aca="false">IF(AND(BC$3&gt;=$J40, BC$3&lt;$M40), $A40, "")</f>
        <v/>
      </c>
      <c r="BC40" s="53" t="str">
        <f aca="false">IF(AND(BD$3&gt;=$J40, BD$3&lt;$M40), $A40, "")</f>
        <v/>
      </c>
      <c r="BD40" s="53" t="str">
        <f aca="false">IF(AND(BE$3&gt;=$J40, BE$3&lt;$M40), $A40, "")</f>
        <v/>
      </c>
      <c r="BE40" s="53" t="str">
        <f aca="false">IF(AND(BF$3&gt;=$J40, BF$3&lt;$M40), $A40, "")</f>
        <v/>
      </c>
      <c r="BF40" s="53" t="str">
        <f aca="false">IF(AND(BG$3&gt;=$J40, BG$3&lt;$M40), $A40, "")</f>
        <v/>
      </c>
      <c r="BG40" s="53" t="str">
        <f aca="false">IF(AND(BH$3&gt;=$J40, BH$3&lt;$M40), $A40, "")</f>
        <v/>
      </c>
      <c r="BH40" s="53" t="str">
        <f aca="false">IF(AND(BI$3&gt;=$J40, BI$3&lt;$M40), $A40, "")</f>
        <v/>
      </c>
      <c r="BI40" s="53" t="str">
        <f aca="false">IF(AND(BJ$3&gt;=$J40, BJ$3&lt;$M40), $A40, "")</f>
        <v/>
      </c>
      <c r="BJ40" s="53" t="str">
        <f aca="false">IF(AND(BK$3&gt;=$J40, BK$3&lt;$M40), $A40, "")</f>
        <v/>
      </c>
      <c r="BK40" s="53" t="str">
        <f aca="false">IF(AND(BL$3&gt;=$J40, BL$3&lt;$M40), $A40, "")</f>
        <v/>
      </c>
      <c r="BL40" s="53" t="str">
        <f aca="false">IF(AND(BM$3&gt;=$J40, BM$3&lt;$M40), $A40, "")</f>
        <v/>
      </c>
      <c r="BM40" s="53" t="str">
        <f aca="false">IF(AND(BN$3&gt;=$J40, BN$3&lt;$M40), $A40, "")</f>
        <v/>
      </c>
      <c r="BN40" s="1" t="str">
        <f aca="false">IF(AND(BO$3&gt;=$J40, BO$3&lt;$M40), $A40, "")</f>
        <v/>
      </c>
      <c r="BO40" s="1" t="str">
        <f aca="false">IF(AND(BP$3&gt;=$J40, BP$3&lt;$M40), $A40, "")</f>
        <v/>
      </c>
      <c r="BP40" s="1" t="str">
        <f aca="false">IF(AND(BQ$3&gt;=$J40, BQ$3&lt;$M40), $A40, "")</f>
        <v/>
      </c>
    </row>
    <row r="41" customFormat="false" ht="15" hidden="false" customHeight="true" outlineLevel="0" collapsed="false">
      <c r="A41" s="46" t="str">
        <f aca="false">IF(Job_Master!A41="","",Job_Master!A41)</f>
        <v>BJ-137</v>
      </c>
      <c r="B41" s="4" t="n">
        <f aca="false">IF($A41="","",Job_Master!B41)</f>
        <v>34</v>
      </c>
      <c r="C41" s="4" t="str">
        <f aca="false">IF($A41="","",Job_Master!C41)</f>
        <v>RW</v>
      </c>
      <c r="D41" s="4" t="n">
        <f aca="false">IF($A41="","",Job_Master!D41)</f>
        <v>2</v>
      </c>
      <c r="E41" s="48" t="str">
        <f aca="false">IF($A41="","",IFERROR(INDEX(Machine_List!$B$82:$B$86,MATCH("*"&amp;$B41&amp;"*",Machine_List!$J$82:$J$86,0)),"NO COMPATIBLE MACHINE"))</f>
        <v>QC-MC-01</v>
      </c>
      <c r="F41" s="4" t="str">
        <f aca="false">IF($E41="","",IFERROR(VLOOKUP($E41,Machine_List!$B:$G,6,0),""))</f>
        <v>General Workman</v>
      </c>
      <c r="G41" s="55" t="n">
        <f aca="false">IF($E41="","",IFERROR(VLOOKUP($E41,Machine_List!$B:$C,2,0),""))</f>
        <v>46518</v>
      </c>
      <c r="H41" s="4" t="n">
        <f aca="false">IF($E41="","",IFERROR(VLOOKUP($E41,Machine_List!$B:$D,3,0),""))</f>
        <v>6</v>
      </c>
      <c r="I41" s="56"/>
      <c r="J41" s="57" t="n">
        <f aca="true">IF($A41="","",IF($I41&lt;&gt;"",$I41,MAX(FID_Plan!$M41,IFERROR(LOOKUP(2,1/($E$3:INDIRECT("E"&amp;(ROW()-1))=$E41),$M$3:INDIRECT("M"&amp;(ROW()-1))),FID_Plan!$M41))))</f>
        <v>46429.4821428571</v>
      </c>
      <c r="K41" s="4" t="n">
        <f aca="false">IF($A41="","",IFERROR(VLOOKUP(B41,CHOOSE(MATCH(C41,Settings!$L$4:$L$10,0),OPR_2P!$A$4:$I$18,SEG_6P!$A$4:$I$18,SOL_4P!$A$4:$I$18,RW_2P!$A$4:$I$18,RW2_4P!$A$4:$I$18,FLAP_4P!$A$4:$I$18,TUBE_4P!$A$4:$I$18),8,0),0))</f>
        <v>28</v>
      </c>
      <c r="L41" s="4" t="n">
        <f aca="false">IF($A41="","",K41*D41)</f>
        <v>56</v>
      </c>
      <c r="M41" s="57" t="n">
        <f aca="false">IF($A41="","",$J41+($L41/(IF(F41="Contract Workman",Settings!$K$5,Settings!$K$4))))</f>
        <v>46432.0747354497</v>
      </c>
      <c r="N41" s="4" t="str">
        <f aca="false">IF($A41="","",IF(F41="Contract Workman",IF(AND(MOD(M41,1)&gt;=8/24,MOD(M41,1)&lt;20/24),"Shift S1","Shift S2"),IF(AND(MOD(M41,1)&gt;=7/24,MOD(M41,1)&lt;15/24),"Shift A",IF(AND(MOD(M41,1)&gt;=15/24,MOD(M41,1)&lt;23/24),"Shift B","Shift C"))))</f>
        <v>Shift C</v>
      </c>
      <c r="O41" s="52" t="str">
        <f aca="false"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3" t="str">
        <f aca="false">IF(AND(Q$3&gt;=$J41, Q$3&lt;$M41), $A41, "")</f>
        <v/>
      </c>
      <c r="Q41" s="53" t="str">
        <f aca="false">IF(AND(R$3&gt;=$J41, R$3&lt;$M41), $A41, "")</f>
        <v/>
      </c>
      <c r="R41" s="53" t="str">
        <f aca="false">IF(AND(S$3&gt;=$J41, S$3&lt;$M41), $A41, "")</f>
        <v/>
      </c>
      <c r="S41" s="53" t="str">
        <f aca="false">IF(AND(T$3&gt;=$J41, T$3&lt;$M41), $A41, "")</f>
        <v/>
      </c>
      <c r="T41" s="53" t="str">
        <f aca="false">IF(AND(U$3&gt;=$J41, U$3&lt;$M41), $A41, "")</f>
        <v/>
      </c>
      <c r="U41" s="53" t="str">
        <f aca="false">IF(AND(V$3&gt;=$J41, V$3&lt;$M41), $A41, "")</f>
        <v/>
      </c>
      <c r="V41" s="53" t="str">
        <f aca="false">IF(AND(W$3&gt;=$J41, W$3&lt;$M41), $A41, "")</f>
        <v/>
      </c>
      <c r="W41" s="53" t="str">
        <f aca="false">IF(AND(X$3&gt;=$J41, X$3&lt;$M41), $A41, "")</f>
        <v/>
      </c>
      <c r="X41" s="53" t="str">
        <f aca="false">IF(AND(Y$3&gt;=$J41, Y$3&lt;$M41), $A41, "")</f>
        <v/>
      </c>
      <c r="Y41" s="53" t="str">
        <f aca="false">IF(AND(Z$3&gt;=$J41, Z$3&lt;$M41), $A41, "")</f>
        <v/>
      </c>
      <c r="Z41" s="53" t="str">
        <f aca="false">IF(AND(AA$3&gt;=$J41, AA$3&lt;$M41), $A41, "")</f>
        <v/>
      </c>
      <c r="AA41" s="53" t="str">
        <f aca="false">IF(AND(AB$3&gt;=$J41, AB$3&lt;$M41), $A41, "")</f>
        <v/>
      </c>
      <c r="AB41" s="53" t="str">
        <f aca="false">IF(AND(AC$3&gt;=$J41, AC$3&lt;$M41), $A41, "")</f>
        <v/>
      </c>
      <c r="AC41" s="53" t="str">
        <f aca="false">IF(AND(AD$3&gt;=$J41, AD$3&lt;$M41), $A41, "")</f>
        <v/>
      </c>
      <c r="AD41" s="53" t="str">
        <f aca="false">IF(AND(AE$3&gt;=$J41, AE$3&lt;$M41), $A41, "")</f>
        <v/>
      </c>
      <c r="AE41" s="53" t="str">
        <f aca="false">IF(AND(AF$3&gt;=$J41, AF$3&lt;$M41), $A41, "")</f>
        <v/>
      </c>
      <c r="AF41" s="53" t="str">
        <f aca="false">IF(AND(AG$3&gt;=$J41, AG$3&lt;$M41), $A41, "")</f>
        <v/>
      </c>
      <c r="AG41" s="53" t="str">
        <f aca="false">IF(AND(AH$3&gt;=$J41, AH$3&lt;$M41), $A41, "")</f>
        <v/>
      </c>
      <c r="AH41" s="53" t="str">
        <f aca="false">IF(AND(AI$3&gt;=$J41, AI$3&lt;$M41), $A41, "")</f>
        <v/>
      </c>
      <c r="AI41" s="53" t="str">
        <f aca="false">IF(AND(AJ$3&gt;=$J41, AJ$3&lt;$M41), $A41, "")</f>
        <v/>
      </c>
      <c r="AJ41" s="53" t="str">
        <f aca="false">IF(AND(AK$3&gt;=$J41, AK$3&lt;$M41), $A41, "")</f>
        <v/>
      </c>
      <c r="AK41" s="53" t="str">
        <f aca="false">IF(AND(AL$3&gt;=$J41, AL$3&lt;$M41), $A41, "")</f>
        <v/>
      </c>
      <c r="AL41" s="53" t="str">
        <f aca="false">IF(AND(AM$3&gt;=$J41, AM$3&lt;$M41), $A41, "")</f>
        <v/>
      </c>
      <c r="AM41" s="53" t="str">
        <f aca="false">IF(AND(AN$3&gt;=$J41, AN$3&lt;$M41), $A41, "")</f>
        <v/>
      </c>
      <c r="AN41" s="53" t="str">
        <f aca="false">IF(AND(AO$3&gt;=$J41, AO$3&lt;$M41), $A41, "")</f>
        <v/>
      </c>
      <c r="AO41" s="53" t="str">
        <f aca="false">IF(AND(AP$3&gt;=$J41, AP$3&lt;$M41), $A41, "")</f>
        <v/>
      </c>
      <c r="AP41" s="53" t="str">
        <f aca="false">IF(AND(AQ$3&gt;=$J41, AQ$3&lt;$M41), $A41, "")</f>
        <v/>
      </c>
      <c r="AQ41" s="53" t="str">
        <f aca="false">IF(AND(AR$3&gt;=$J41, AR$3&lt;$M41), $A41, "")</f>
        <v/>
      </c>
      <c r="AR41" s="53" t="str">
        <f aca="false">IF(AND(AS$3&gt;=$J41, AS$3&lt;$M41), $A41, "")</f>
        <v/>
      </c>
      <c r="AS41" s="53" t="str">
        <f aca="false">IF(AND(AT$3&gt;=$J41, AT$3&lt;$M41), $A41, "")</f>
        <v/>
      </c>
      <c r="AT41" s="53" t="str">
        <f aca="false">IF(AND(AU$3&gt;=$J41, AU$3&lt;$M41), $A41, "")</f>
        <v/>
      </c>
      <c r="AU41" s="53" t="str">
        <f aca="false">IF(AND(AV$3&gt;=$J41, AV$3&lt;$M41), $A41, "")</f>
        <v/>
      </c>
      <c r="AV41" s="53" t="str">
        <f aca="false">IF(AND(AW$3&gt;=$J41, AW$3&lt;$M41), $A41, "")</f>
        <v/>
      </c>
      <c r="AW41" s="53" t="str">
        <f aca="false">IF(AND(AX$3&gt;=$J41, AX$3&lt;$M41), $A41, "")</f>
        <v/>
      </c>
      <c r="AX41" s="53" t="str">
        <f aca="false">IF(AND(AY$3&gt;=$J41, AY$3&lt;$M41), $A41, "")</f>
        <v/>
      </c>
      <c r="AY41" s="53" t="str">
        <f aca="false">IF(AND(AZ$3&gt;=$J41, AZ$3&lt;$M41), $A41, "")</f>
        <v/>
      </c>
      <c r="AZ41" s="53" t="str">
        <f aca="false">IF(AND(BA$3&gt;=$J41, BA$3&lt;$M41), $A41, "")</f>
        <v/>
      </c>
      <c r="BA41" s="53" t="str">
        <f aca="false">IF(AND(BB$3&gt;=$J41, BB$3&lt;$M41), $A41, "")</f>
        <v/>
      </c>
      <c r="BB41" s="53" t="str">
        <f aca="false">IF(AND(BC$3&gt;=$J41, BC$3&lt;$M41), $A41, "")</f>
        <v/>
      </c>
      <c r="BC41" s="53" t="str">
        <f aca="false">IF(AND(BD$3&gt;=$J41, BD$3&lt;$M41), $A41, "")</f>
        <v/>
      </c>
      <c r="BD41" s="53" t="str">
        <f aca="false">IF(AND(BE$3&gt;=$J41, BE$3&lt;$M41), $A41, "")</f>
        <v/>
      </c>
      <c r="BE41" s="53" t="str">
        <f aca="false">IF(AND(BF$3&gt;=$J41, BF$3&lt;$M41), $A41, "")</f>
        <v/>
      </c>
      <c r="BF41" s="53" t="str">
        <f aca="false">IF(AND(BG$3&gt;=$J41, BG$3&lt;$M41), $A41, "")</f>
        <v/>
      </c>
      <c r="BG41" s="53" t="str">
        <f aca="false">IF(AND(BH$3&gt;=$J41, BH$3&lt;$M41), $A41, "")</f>
        <v/>
      </c>
      <c r="BH41" s="53" t="str">
        <f aca="false">IF(AND(BI$3&gt;=$J41, BI$3&lt;$M41), $A41, "")</f>
        <v/>
      </c>
      <c r="BI41" s="53" t="str">
        <f aca="false">IF(AND(BJ$3&gt;=$J41, BJ$3&lt;$M41), $A41, "")</f>
        <v/>
      </c>
      <c r="BJ41" s="53" t="str">
        <f aca="false">IF(AND(BK$3&gt;=$J41, BK$3&lt;$M41), $A41, "")</f>
        <v/>
      </c>
      <c r="BK41" s="53" t="str">
        <f aca="false">IF(AND(BL$3&gt;=$J41, BL$3&lt;$M41), $A41, "")</f>
        <v/>
      </c>
      <c r="BL41" s="53" t="str">
        <f aca="false">IF(AND(BM$3&gt;=$J41, BM$3&lt;$M41), $A41, "")</f>
        <v/>
      </c>
      <c r="BM41" s="53" t="str">
        <f aca="false">IF(AND(BN$3&gt;=$J41, BN$3&lt;$M41), $A41, "")</f>
        <v/>
      </c>
      <c r="BN41" s="1" t="str">
        <f aca="false">IF(AND(BO$3&gt;=$J41, BO$3&lt;$M41), $A41, "")</f>
        <v/>
      </c>
      <c r="BO41" s="1" t="str">
        <f aca="false">IF(AND(BP$3&gt;=$J41, BP$3&lt;$M41), $A41, "")</f>
        <v/>
      </c>
      <c r="BP41" s="1" t="str">
        <f aca="false">IF(AND(BQ$3&gt;=$J41, BQ$3&lt;$M41), $A41, "")</f>
        <v/>
      </c>
    </row>
    <row r="42" customFormat="false" ht="15" hidden="false" customHeight="true" outlineLevel="0" collapsed="false">
      <c r="A42" s="46" t="str">
        <f aca="false">IF(Job_Master!A42="","",Job_Master!A42)</f>
        <v>BJ-140</v>
      </c>
      <c r="B42" s="4" t="n">
        <f aca="false">IF($A42="","",Job_Master!B42)</f>
        <v>54</v>
      </c>
      <c r="C42" s="4" t="str">
        <f aca="false">IF($A42="","",Job_Master!C42)</f>
        <v>RW</v>
      </c>
      <c r="D42" s="4" t="n">
        <f aca="false">IF($A42="","",Job_Master!D42)</f>
        <v>2</v>
      </c>
      <c r="E42" s="48" t="str">
        <f aca="false">IF($A42="","",IFERROR(INDEX(Machine_List!$B$82:$B$86,MATCH("*"&amp;$B42&amp;"*",Machine_List!$J$82:$J$86,0)),"NO COMPATIBLE MACHINE"))</f>
        <v>QC-MC-01</v>
      </c>
      <c r="F42" s="4" t="str">
        <f aca="false">IF($E42="","",IFERROR(VLOOKUP($E42,Machine_List!$B:$G,6,0),""))</f>
        <v>General Workman</v>
      </c>
      <c r="G42" s="55" t="n">
        <f aca="false">IF($E42="","",IFERROR(VLOOKUP($E42,Machine_List!$B:$C,2,0),""))</f>
        <v>46518</v>
      </c>
      <c r="H42" s="4" t="n">
        <f aca="false">IF($E42="","",IFERROR(VLOOKUP($E42,Machine_List!$B:$D,3,0),""))</f>
        <v>6</v>
      </c>
      <c r="I42" s="56"/>
      <c r="J42" s="57" t="n">
        <f aca="true">IF($A42="","",IF($I42&lt;&gt;"",$I42,MAX(FID_Plan!$M42,IFERROR(LOOKUP(2,1/($E$3:INDIRECT("E"&amp;(ROW()-1))=$E42),$M$3:INDIRECT("M"&amp;(ROW()-1))),FID_Plan!$M42))))</f>
        <v>46432.0747354497</v>
      </c>
      <c r="K42" s="4" t="n">
        <f aca="false">IF($A42="","",IFERROR(VLOOKUP(B42,CHOOSE(MATCH(C42,Settings!$L$4:$L$10,0),OPR_2P!$A$4:$I$18,SEG_6P!$A$4:$I$18,SOL_4P!$A$4:$I$18,RW_2P!$A$4:$I$18,RW2_4P!$A$4:$I$18,FLAP_4P!$A$4:$I$18,TUBE_4P!$A$4:$I$18),8,0),0))</f>
        <v>68</v>
      </c>
      <c r="L42" s="4" t="n">
        <f aca="false">IF($A42="","",K42*D42)</f>
        <v>136</v>
      </c>
      <c r="M42" s="57" t="n">
        <f aca="false">IF($A42="","",$J42+($L42/(IF(F42="Contract Workman",Settings!$K$5,Settings!$K$4))))</f>
        <v>46438.371031746</v>
      </c>
      <c r="N42" s="4" t="str">
        <f aca="false">IF($A42="","",IF(F42="Contract Workman",IF(AND(MOD(M42,1)&gt;=8/24,MOD(M42,1)&lt;20/24),"Shift S1","Shift S2"),IF(AND(MOD(M42,1)&gt;=7/24,MOD(M42,1)&lt;15/24),"Shift A",IF(AND(MOD(M42,1)&gt;=15/24,MOD(M42,1)&lt;23/24),"Shift B","Shift C"))))</f>
        <v>Shift A</v>
      </c>
      <c r="O42" s="52" t="str">
        <f aca="false"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3" t="str">
        <f aca="false">IF(AND(Q$3&gt;=$J42, Q$3&lt;$M42), $A42, "")</f>
        <v/>
      </c>
      <c r="Q42" s="53" t="str">
        <f aca="false">IF(AND(R$3&gt;=$J42, R$3&lt;$M42), $A42, "")</f>
        <v/>
      </c>
      <c r="R42" s="53" t="str">
        <f aca="false">IF(AND(S$3&gt;=$J42, S$3&lt;$M42), $A42, "")</f>
        <v/>
      </c>
      <c r="S42" s="53" t="str">
        <f aca="false">IF(AND(T$3&gt;=$J42, T$3&lt;$M42), $A42, "")</f>
        <v/>
      </c>
      <c r="T42" s="53" t="str">
        <f aca="false">IF(AND(U$3&gt;=$J42, U$3&lt;$M42), $A42, "")</f>
        <v/>
      </c>
      <c r="U42" s="53" t="str">
        <f aca="false">IF(AND(V$3&gt;=$J42, V$3&lt;$M42), $A42, "")</f>
        <v/>
      </c>
      <c r="V42" s="53" t="str">
        <f aca="false">IF(AND(W$3&gt;=$J42, W$3&lt;$M42), $A42, "")</f>
        <v/>
      </c>
      <c r="W42" s="53" t="str">
        <f aca="false">IF(AND(X$3&gt;=$J42, X$3&lt;$M42), $A42, "")</f>
        <v/>
      </c>
      <c r="X42" s="53" t="str">
        <f aca="false">IF(AND(Y$3&gt;=$J42, Y$3&lt;$M42), $A42, "")</f>
        <v/>
      </c>
      <c r="Y42" s="53" t="str">
        <f aca="false">IF(AND(Z$3&gt;=$J42, Z$3&lt;$M42), $A42, "")</f>
        <v/>
      </c>
      <c r="Z42" s="53" t="str">
        <f aca="false">IF(AND(AA$3&gt;=$J42, AA$3&lt;$M42), $A42, "")</f>
        <v/>
      </c>
      <c r="AA42" s="53" t="str">
        <f aca="false">IF(AND(AB$3&gt;=$J42, AB$3&lt;$M42), $A42, "")</f>
        <v/>
      </c>
      <c r="AB42" s="53" t="str">
        <f aca="false">IF(AND(AC$3&gt;=$J42, AC$3&lt;$M42), $A42, "")</f>
        <v/>
      </c>
      <c r="AC42" s="53" t="str">
        <f aca="false">IF(AND(AD$3&gt;=$J42, AD$3&lt;$M42), $A42, "")</f>
        <v/>
      </c>
      <c r="AD42" s="53" t="str">
        <f aca="false">IF(AND(AE$3&gt;=$J42, AE$3&lt;$M42), $A42, "")</f>
        <v/>
      </c>
      <c r="AE42" s="53" t="str">
        <f aca="false">IF(AND(AF$3&gt;=$J42, AF$3&lt;$M42), $A42, "")</f>
        <v/>
      </c>
      <c r="AF42" s="53" t="str">
        <f aca="false">IF(AND(AG$3&gt;=$J42, AG$3&lt;$M42), $A42, "")</f>
        <v/>
      </c>
      <c r="AG42" s="53" t="str">
        <f aca="false">IF(AND(AH$3&gt;=$J42, AH$3&lt;$M42), $A42, "")</f>
        <v/>
      </c>
      <c r="AH42" s="53" t="str">
        <f aca="false">IF(AND(AI$3&gt;=$J42, AI$3&lt;$M42), $A42, "")</f>
        <v/>
      </c>
      <c r="AI42" s="53" t="str">
        <f aca="false">IF(AND(AJ$3&gt;=$J42, AJ$3&lt;$M42), $A42, "")</f>
        <v/>
      </c>
      <c r="AJ42" s="53" t="str">
        <f aca="false">IF(AND(AK$3&gt;=$J42, AK$3&lt;$M42), $A42, "")</f>
        <v/>
      </c>
      <c r="AK42" s="53" t="str">
        <f aca="false">IF(AND(AL$3&gt;=$J42, AL$3&lt;$M42), $A42, "")</f>
        <v/>
      </c>
      <c r="AL42" s="53" t="str">
        <f aca="false">IF(AND(AM$3&gt;=$J42, AM$3&lt;$M42), $A42, "")</f>
        <v/>
      </c>
      <c r="AM42" s="53" t="str">
        <f aca="false">IF(AND(AN$3&gt;=$J42, AN$3&lt;$M42), $A42, "")</f>
        <v/>
      </c>
      <c r="AN42" s="53" t="str">
        <f aca="false">IF(AND(AO$3&gt;=$J42, AO$3&lt;$M42), $A42, "")</f>
        <v/>
      </c>
      <c r="AO42" s="53" t="str">
        <f aca="false">IF(AND(AP$3&gt;=$J42, AP$3&lt;$M42), $A42, "")</f>
        <v/>
      </c>
      <c r="AP42" s="53" t="str">
        <f aca="false">IF(AND(AQ$3&gt;=$J42, AQ$3&lt;$M42), $A42, "")</f>
        <v/>
      </c>
      <c r="AQ42" s="53" t="str">
        <f aca="false">IF(AND(AR$3&gt;=$J42, AR$3&lt;$M42), $A42, "")</f>
        <v/>
      </c>
      <c r="AR42" s="53" t="str">
        <f aca="false">IF(AND(AS$3&gt;=$J42, AS$3&lt;$M42), $A42, "")</f>
        <v/>
      </c>
      <c r="AS42" s="53" t="str">
        <f aca="false">IF(AND(AT$3&gt;=$J42, AT$3&lt;$M42), $A42, "")</f>
        <v/>
      </c>
      <c r="AT42" s="53" t="str">
        <f aca="false">IF(AND(AU$3&gt;=$J42, AU$3&lt;$M42), $A42, "")</f>
        <v/>
      </c>
      <c r="AU42" s="53" t="str">
        <f aca="false">IF(AND(AV$3&gt;=$J42, AV$3&lt;$M42), $A42, "")</f>
        <v/>
      </c>
      <c r="AV42" s="53" t="str">
        <f aca="false">IF(AND(AW$3&gt;=$J42, AW$3&lt;$M42), $A42, "")</f>
        <v/>
      </c>
      <c r="AW42" s="53" t="str">
        <f aca="false">IF(AND(AX$3&gt;=$J42, AX$3&lt;$M42), $A42, "")</f>
        <v/>
      </c>
      <c r="AX42" s="53" t="str">
        <f aca="false">IF(AND(AY$3&gt;=$J42, AY$3&lt;$M42), $A42, "")</f>
        <v/>
      </c>
      <c r="AY42" s="53" t="str">
        <f aca="false">IF(AND(AZ$3&gt;=$J42, AZ$3&lt;$M42), $A42, "")</f>
        <v/>
      </c>
      <c r="AZ42" s="53" t="str">
        <f aca="false">IF(AND(BA$3&gt;=$J42, BA$3&lt;$M42), $A42, "")</f>
        <v/>
      </c>
      <c r="BA42" s="53" t="str">
        <f aca="false">IF(AND(BB$3&gt;=$J42, BB$3&lt;$M42), $A42, "")</f>
        <v/>
      </c>
      <c r="BB42" s="53" t="str">
        <f aca="false">IF(AND(BC$3&gt;=$J42, BC$3&lt;$M42), $A42, "")</f>
        <v/>
      </c>
      <c r="BC42" s="53" t="str">
        <f aca="false">IF(AND(BD$3&gt;=$J42, BD$3&lt;$M42), $A42, "")</f>
        <v/>
      </c>
      <c r="BD42" s="53" t="str">
        <f aca="false">IF(AND(BE$3&gt;=$J42, BE$3&lt;$M42), $A42, "")</f>
        <v/>
      </c>
      <c r="BE42" s="53" t="str">
        <f aca="false">IF(AND(BF$3&gt;=$J42, BF$3&lt;$M42), $A42, "")</f>
        <v/>
      </c>
      <c r="BF42" s="53" t="str">
        <f aca="false">IF(AND(BG$3&gt;=$J42, BG$3&lt;$M42), $A42, "")</f>
        <v/>
      </c>
      <c r="BG42" s="53" t="str">
        <f aca="false">IF(AND(BH$3&gt;=$J42, BH$3&lt;$M42), $A42, "")</f>
        <v/>
      </c>
      <c r="BH42" s="53" t="str">
        <f aca="false">IF(AND(BI$3&gt;=$J42, BI$3&lt;$M42), $A42, "")</f>
        <v/>
      </c>
      <c r="BI42" s="53" t="str">
        <f aca="false">IF(AND(BJ$3&gt;=$J42, BJ$3&lt;$M42), $A42, "")</f>
        <v/>
      </c>
      <c r="BJ42" s="53" t="str">
        <f aca="false">IF(AND(BK$3&gt;=$J42, BK$3&lt;$M42), $A42, "")</f>
        <v/>
      </c>
      <c r="BK42" s="53" t="str">
        <f aca="false">IF(AND(BL$3&gt;=$J42, BL$3&lt;$M42), $A42, "")</f>
        <v/>
      </c>
      <c r="BL42" s="53" t="str">
        <f aca="false">IF(AND(BM$3&gt;=$J42, BM$3&lt;$M42), $A42, "")</f>
        <v/>
      </c>
      <c r="BM42" s="53" t="str">
        <f aca="false">IF(AND(BN$3&gt;=$J42, BN$3&lt;$M42), $A42, "")</f>
        <v/>
      </c>
      <c r="BN42" s="1" t="str">
        <f aca="false">IF(AND(BO$3&gt;=$J42, BO$3&lt;$M42), $A42, "")</f>
        <v/>
      </c>
      <c r="BO42" s="1" t="str">
        <f aca="false">IF(AND(BP$3&gt;=$J42, BP$3&lt;$M42), $A42, "")</f>
        <v/>
      </c>
      <c r="BP42" s="1" t="str">
        <f aca="false">IF(AND(BQ$3&gt;=$J42, BQ$3&lt;$M42), $A42, "")</f>
        <v/>
      </c>
    </row>
    <row r="43" customFormat="false" ht="15" hidden="false" customHeight="true" outlineLevel="0" collapsed="false">
      <c r="A43" s="46" t="str">
        <f aca="false">IF(Job_Master!A43="","",Job_Master!A43)</f>
        <v>BJ-138</v>
      </c>
      <c r="B43" s="4" t="n">
        <f aca="false">IF($A43="","",Job_Master!B43)</f>
        <v>9</v>
      </c>
      <c r="C43" s="4" t="str">
        <f aca="false">IF($A43="","",Job_Master!C43)</f>
        <v>RW</v>
      </c>
      <c r="D43" s="4" t="n">
        <f aca="false">IF($A43="","",Job_Master!D43)</f>
        <v>2</v>
      </c>
      <c r="E43" s="48" t="str">
        <f aca="false">IF($A43="","",IFERROR(INDEX(Machine_List!$B$82:$B$86,MATCH("*"&amp;$B43&amp;"*",Machine_List!$J$82:$J$86,0)),"NO COMPATIBLE MACHINE"))</f>
        <v>QC-MC-01</v>
      </c>
      <c r="F43" s="4" t="str">
        <f aca="false">IF($E43="","",IFERROR(VLOOKUP($E43,Machine_List!$B:$G,6,0),""))</f>
        <v>General Workman</v>
      </c>
      <c r="G43" s="55" t="n">
        <f aca="false">IF($E43="","",IFERROR(VLOOKUP($E43,Machine_List!$B:$C,2,0),""))</f>
        <v>46518</v>
      </c>
      <c r="H43" s="4" t="n">
        <f aca="false">IF($E43="","",IFERROR(VLOOKUP($E43,Machine_List!$B:$D,3,0),""))</f>
        <v>6</v>
      </c>
      <c r="I43" s="56"/>
      <c r="J43" s="57" t="n">
        <f aca="true">IF($A43="","",IF($I43&lt;&gt;"",$I43,MAX(FID_Plan!$M43,IFERROR(LOOKUP(2,1/($E$3:INDIRECT("E"&amp;(ROW()-1))=$E43),$M$3:INDIRECT("M"&amp;(ROW()-1))),FID_Plan!$M43))))</f>
        <v>46438.371031746</v>
      </c>
      <c r="K43" s="4" t="n">
        <f aca="false">IF($A43="","",IFERROR(VLOOKUP(B43,CHOOSE(MATCH(C43,Settings!$L$4:$L$10,0),OPR_2P!$A$4:$I$18,SEG_6P!$A$4:$I$18,SOL_4P!$A$4:$I$18,RW_2P!$A$4:$I$18,RW2_4P!$A$4:$I$18,FLAP_4P!$A$4:$I$18,TUBE_4P!$A$4:$I$18),8,0),0))</f>
        <v>5</v>
      </c>
      <c r="L43" s="4" t="n">
        <f aca="false">IF($A43="","",K43*D43)</f>
        <v>10</v>
      </c>
      <c r="M43" s="57" t="n">
        <f aca="false">IF($A43="","",$J43+($L43/(IF(F43="Contract Workman",Settings!$K$5,Settings!$K$4))))</f>
        <v>46438.833994709</v>
      </c>
      <c r="N43" s="4" t="str">
        <f aca="false">IF($A43="","",IF(F43="Contract Workman",IF(AND(MOD(M43,1)&gt;=8/24,MOD(M43,1)&lt;20/24),"Shift S1","Shift S2"),IF(AND(MOD(M43,1)&gt;=7/24,MOD(M43,1)&lt;15/24),"Shift A",IF(AND(MOD(M43,1)&gt;=15/24,MOD(M43,1)&lt;23/24),"Shift B","Shift C"))))</f>
        <v>Shift B</v>
      </c>
      <c r="O43" s="52" t="str">
        <f aca="false"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3" t="str">
        <f aca="false">IF(AND(Q$3&gt;=$J43, Q$3&lt;$M43), $A43, "")</f>
        <v/>
      </c>
      <c r="Q43" s="53" t="str">
        <f aca="false">IF(AND(R$3&gt;=$J43, R$3&lt;$M43), $A43, "")</f>
        <v/>
      </c>
      <c r="R43" s="53" t="str">
        <f aca="false">IF(AND(S$3&gt;=$J43, S$3&lt;$M43), $A43, "")</f>
        <v/>
      </c>
      <c r="S43" s="53" t="str">
        <f aca="false">IF(AND(T$3&gt;=$J43, T$3&lt;$M43), $A43, "")</f>
        <v/>
      </c>
      <c r="T43" s="53" t="str">
        <f aca="false">IF(AND(U$3&gt;=$J43, U$3&lt;$M43), $A43, "")</f>
        <v/>
      </c>
      <c r="U43" s="53" t="str">
        <f aca="false">IF(AND(V$3&gt;=$J43, V$3&lt;$M43), $A43, "")</f>
        <v/>
      </c>
      <c r="V43" s="53" t="str">
        <f aca="false">IF(AND(W$3&gt;=$J43, W$3&lt;$M43), $A43, "")</f>
        <v/>
      </c>
      <c r="W43" s="53" t="str">
        <f aca="false">IF(AND(X$3&gt;=$J43, X$3&lt;$M43), $A43, "")</f>
        <v/>
      </c>
      <c r="X43" s="53" t="str">
        <f aca="false">IF(AND(Y$3&gt;=$J43, Y$3&lt;$M43), $A43, "")</f>
        <v/>
      </c>
      <c r="Y43" s="53" t="str">
        <f aca="false">IF(AND(Z$3&gt;=$J43, Z$3&lt;$M43), $A43, "")</f>
        <v/>
      </c>
      <c r="Z43" s="53" t="str">
        <f aca="false">IF(AND(AA$3&gt;=$J43, AA$3&lt;$M43), $A43, "")</f>
        <v/>
      </c>
      <c r="AA43" s="53" t="str">
        <f aca="false">IF(AND(AB$3&gt;=$J43, AB$3&lt;$M43), $A43, "")</f>
        <v/>
      </c>
      <c r="AB43" s="53" t="str">
        <f aca="false">IF(AND(AC$3&gt;=$J43, AC$3&lt;$M43), $A43, "")</f>
        <v/>
      </c>
      <c r="AC43" s="53" t="str">
        <f aca="false">IF(AND(AD$3&gt;=$J43, AD$3&lt;$M43), $A43, "")</f>
        <v/>
      </c>
      <c r="AD43" s="53" t="str">
        <f aca="false">IF(AND(AE$3&gt;=$J43, AE$3&lt;$M43), $A43, "")</f>
        <v/>
      </c>
      <c r="AE43" s="53" t="str">
        <f aca="false">IF(AND(AF$3&gt;=$J43, AF$3&lt;$M43), $A43, "")</f>
        <v/>
      </c>
      <c r="AF43" s="53" t="str">
        <f aca="false">IF(AND(AG$3&gt;=$J43, AG$3&lt;$M43), $A43, "")</f>
        <v/>
      </c>
      <c r="AG43" s="53" t="str">
        <f aca="false">IF(AND(AH$3&gt;=$J43, AH$3&lt;$M43), $A43, "")</f>
        <v/>
      </c>
      <c r="AH43" s="53" t="str">
        <f aca="false">IF(AND(AI$3&gt;=$J43, AI$3&lt;$M43), $A43, "")</f>
        <v/>
      </c>
      <c r="AI43" s="53" t="str">
        <f aca="false">IF(AND(AJ$3&gt;=$J43, AJ$3&lt;$M43), $A43, "")</f>
        <v/>
      </c>
      <c r="AJ43" s="53" t="str">
        <f aca="false">IF(AND(AK$3&gt;=$J43, AK$3&lt;$M43), $A43, "")</f>
        <v/>
      </c>
      <c r="AK43" s="53" t="str">
        <f aca="false">IF(AND(AL$3&gt;=$J43, AL$3&lt;$M43), $A43, "")</f>
        <v/>
      </c>
      <c r="AL43" s="53" t="str">
        <f aca="false">IF(AND(AM$3&gt;=$J43, AM$3&lt;$M43), $A43, "")</f>
        <v/>
      </c>
      <c r="AM43" s="53" t="str">
        <f aca="false">IF(AND(AN$3&gt;=$J43, AN$3&lt;$M43), $A43, "")</f>
        <v/>
      </c>
      <c r="AN43" s="53" t="str">
        <f aca="false">IF(AND(AO$3&gt;=$J43, AO$3&lt;$M43), $A43, "")</f>
        <v/>
      </c>
      <c r="AO43" s="53" t="str">
        <f aca="false">IF(AND(AP$3&gt;=$J43, AP$3&lt;$M43), $A43, "")</f>
        <v/>
      </c>
      <c r="AP43" s="53" t="str">
        <f aca="false">IF(AND(AQ$3&gt;=$J43, AQ$3&lt;$M43), $A43, "")</f>
        <v/>
      </c>
      <c r="AQ43" s="53" t="str">
        <f aca="false">IF(AND(AR$3&gt;=$J43, AR$3&lt;$M43), $A43, "")</f>
        <v/>
      </c>
      <c r="AR43" s="53" t="str">
        <f aca="false">IF(AND(AS$3&gt;=$J43, AS$3&lt;$M43), $A43, "")</f>
        <v/>
      </c>
      <c r="AS43" s="53" t="str">
        <f aca="false">IF(AND(AT$3&gt;=$J43, AT$3&lt;$M43), $A43, "")</f>
        <v/>
      </c>
      <c r="AT43" s="53" t="str">
        <f aca="false">IF(AND(AU$3&gt;=$J43, AU$3&lt;$M43), $A43, "")</f>
        <v/>
      </c>
      <c r="AU43" s="53" t="str">
        <f aca="false">IF(AND(AV$3&gt;=$J43, AV$3&lt;$M43), $A43, "")</f>
        <v/>
      </c>
      <c r="AV43" s="53" t="str">
        <f aca="false">IF(AND(AW$3&gt;=$J43, AW$3&lt;$M43), $A43, "")</f>
        <v/>
      </c>
      <c r="AW43" s="53" t="str">
        <f aca="false">IF(AND(AX$3&gt;=$J43, AX$3&lt;$M43), $A43, "")</f>
        <v/>
      </c>
      <c r="AX43" s="53" t="str">
        <f aca="false">IF(AND(AY$3&gt;=$J43, AY$3&lt;$M43), $A43, "")</f>
        <v/>
      </c>
      <c r="AY43" s="53" t="str">
        <f aca="false">IF(AND(AZ$3&gt;=$J43, AZ$3&lt;$M43), $A43, "")</f>
        <v/>
      </c>
      <c r="AZ43" s="53" t="str">
        <f aca="false">IF(AND(BA$3&gt;=$J43, BA$3&lt;$M43), $A43, "")</f>
        <v/>
      </c>
      <c r="BA43" s="53" t="str">
        <f aca="false">IF(AND(BB$3&gt;=$J43, BB$3&lt;$M43), $A43, "")</f>
        <v/>
      </c>
      <c r="BB43" s="53" t="str">
        <f aca="false">IF(AND(BC$3&gt;=$J43, BC$3&lt;$M43), $A43, "")</f>
        <v/>
      </c>
      <c r="BC43" s="53" t="str">
        <f aca="false">IF(AND(BD$3&gt;=$J43, BD$3&lt;$M43), $A43, "")</f>
        <v/>
      </c>
      <c r="BD43" s="53" t="str">
        <f aca="false">IF(AND(BE$3&gt;=$J43, BE$3&lt;$M43), $A43, "")</f>
        <v/>
      </c>
      <c r="BE43" s="53" t="str">
        <f aca="false">IF(AND(BF$3&gt;=$J43, BF$3&lt;$M43), $A43, "")</f>
        <v/>
      </c>
      <c r="BF43" s="53" t="str">
        <f aca="false">IF(AND(BG$3&gt;=$J43, BG$3&lt;$M43), $A43, "")</f>
        <v/>
      </c>
      <c r="BG43" s="53" t="str">
        <f aca="false">IF(AND(BH$3&gt;=$J43, BH$3&lt;$M43), $A43, "")</f>
        <v/>
      </c>
      <c r="BH43" s="53" t="str">
        <f aca="false">IF(AND(BI$3&gt;=$J43, BI$3&lt;$M43), $A43, "")</f>
        <v/>
      </c>
      <c r="BI43" s="53" t="str">
        <f aca="false">IF(AND(BJ$3&gt;=$J43, BJ$3&lt;$M43), $A43, "")</f>
        <v/>
      </c>
      <c r="BJ43" s="53" t="str">
        <f aca="false">IF(AND(BK$3&gt;=$J43, BK$3&lt;$M43), $A43, "")</f>
        <v/>
      </c>
      <c r="BK43" s="53" t="str">
        <f aca="false">IF(AND(BL$3&gt;=$J43, BL$3&lt;$M43), $A43, "")</f>
        <v/>
      </c>
      <c r="BL43" s="53" t="str">
        <f aca="false">IF(AND(BM$3&gt;=$J43, BM$3&lt;$M43), $A43, "")</f>
        <v/>
      </c>
      <c r="BM43" s="53" t="str">
        <f aca="false">IF(AND(BN$3&gt;=$J43, BN$3&lt;$M43), $A43, "")</f>
        <v/>
      </c>
      <c r="BN43" s="1" t="str">
        <f aca="false">IF(AND(BO$3&gt;=$J43, BO$3&lt;$M43), $A43, "")</f>
        <v/>
      </c>
      <c r="BO43" s="1" t="str">
        <f aca="false">IF(AND(BP$3&gt;=$J43, BP$3&lt;$M43), $A43, "")</f>
        <v/>
      </c>
      <c r="BP43" s="1" t="str">
        <f aca="false">IF(AND(BQ$3&gt;=$J43, BQ$3&lt;$M43), $A43, "")</f>
        <v/>
      </c>
    </row>
    <row r="44" customFormat="false" ht="15" hidden="false" customHeight="true" outlineLevel="0" collapsed="false">
      <c r="A44" s="46" t="str">
        <f aca="false">IF(Job_Master!A44="","",Job_Master!A44)</f>
        <v>BJ-144</v>
      </c>
      <c r="B44" s="4" t="n">
        <f aca="false">IF($A44="","",Job_Master!B44)</f>
        <v>63</v>
      </c>
      <c r="C44" s="4" t="str">
        <f aca="false">IF($A44="","",Job_Master!C44)</f>
        <v>RW</v>
      </c>
      <c r="D44" s="4" t="n">
        <f aca="false">IF($A44="","",Job_Master!D44)</f>
        <v>2</v>
      </c>
      <c r="E44" s="48" t="str">
        <f aca="false">IF($A44="","",IFERROR(INDEX(Machine_List!$B$82:$B$86,MATCH("*"&amp;$B44&amp;"*",Machine_List!$J$82:$J$86,0)),"NO COMPATIBLE MACHINE"))</f>
        <v>QC-MC-01</v>
      </c>
      <c r="F44" s="4" t="str">
        <f aca="false">IF($E44="","",IFERROR(VLOOKUP($E44,Machine_List!$B:$G,6,0),""))</f>
        <v>General Workman</v>
      </c>
      <c r="G44" s="55" t="n">
        <f aca="false">IF($E44="","",IFERROR(VLOOKUP($E44,Machine_List!$B:$C,2,0),""))</f>
        <v>46518</v>
      </c>
      <c r="H44" s="4" t="n">
        <f aca="false">IF($E44="","",IFERROR(VLOOKUP($E44,Machine_List!$B:$D,3,0),""))</f>
        <v>6</v>
      </c>
      <c r="I44" s="56"/>
      <c r="J44" s="57" t="n">
        <f aca="true">IF($A44="","",IF($I44&lt;&gt;"",$I44,MAX(FID_Plan!$M44,IFERROR(LOOKUP(2,1/($E$3:INDIRECT("E"&amp;(ROW()-1))=$E44),$M$3:INDIRECT("M"&amp;(ROW()-1))),FID_Plan!$M44))))</f>
        <v>46438.833994709</v>
      </c>
      <c r="K44" s="4" t="n">
        <f aca="false">IF($A44="","",IFERROR(VLOOKUP(B44,CHOOSE(MATCH(C44,Settings!$L$4:$L$10,0),OPR_2P!$A$4:$I$18,SEG_6P!$A$4:$I$18,SOL_4P!$A$4:$I$18,RW_2P!$A$4:$I$18,RW2_4P!$A$4:$I$18,FLAP_4P!$A$4:$I$18,TUBE_4P!$A$4:$I$18),8,0),0))</f>
        <v>55</v>
      </c>
      <c r="L44" s="4" t="n">
        <f aca="false">IF($A44="","",K44*D44)</f>
        <v>110</v>
      </c>
      <c r="M44" s="57" t="n">
        <f aca="false">IF($A44="","",$J44+($L44/(IF(F44="Contract Workman",Settings!$K$5,Settings!$K$4))))</f>
        <v>46443.9265873016</v>
      </c>
      <c r="N44" s="4" t="str">
        <f aca="false">IF($A44="","",IF(F44="Contract Workman",IF(AND(MOD(M44,1)&gt;=8/24,MOD(M44,1)&lt;20/24),"Shift S1","Shift S2"),IF(AND(MOD(M44,1)&gt;=7/24,MOD(M44,1)&lt;15/24),"Shift A",IF(AND(MOD(M44,1)&gt;=15/24,MOD(M44,1)&lt;23/24),"Shift B","Shift C"))))</f>
        <v>Shift B</v>
      </c>
      <c r="O44" s="52" t="str">
        <f aca="false"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3" t="str">
        <f aca="false">IF(AND(Q$3&gt;=$J44, Q$3&lt;$M44), $A44, "")</f>
        <v/>
      </c>
      <c r="Q44" s="53" t="str">
        <f aca="false">IF(AND(R$3&gt;=$J44, R$3&lt;$M44), $A44, "")</f>
        <v/>
      </c>
      <c r="R44" s="53" t="str">
        <f aca="false">IF(AND(S$3&gt;=$J44, S$3&lt;$M44), $A44, "")</f>
        <v/>
      </c>
      <c r="S44" s="53" t="str">
        <f aca="false">IF(AND(T$3&gt;=$J44, T$3&lt;$M44), $A44, "")</f>
        <v/>
      </c>
      <c r="T44" s="53" t="str">
        <f aca="false">IF(AND(U$3&gt;=$J44, U$3&lt;$M44), $A44, "")</f>
        <v/>
      </c>
      <c r="U44" s="53" t="str">
        <f aca="false">IF(AND(V$3&gt;=$J44, V$3&lt;$M44), $A44, "")</f>
        <v/>
      </c>
      <c r="V44" s="53" t="str">
        <f aca="false">IF(AND(W$3&gt;=$J44, W$3&lt;$M44), $A44, "")</f>
        <v/>
      </c>
      <c r="W44" s="53" t="str">
        <f aca="false">IF(AND(X$3&gt;=$J44, X$3&lt;$M44), $A44, "")</f>
        <v/>
      </c>
      <c r="X44" s="53" t="str">
        <f aca="false">IF(AND(Y$3&gt;=$J44, Y$3&lt;$M44), $A44, "")</f>
        <v/>
      </c>
      <c r="Y44" s="53" t="str">
        <f aca="false">IF(AND(Z$3&gt;=$J44, Z$3&lt;$M44), $A44, "")</f>
        <v/>
      </c>
      <c r="Z44" s="53" t="str">
        <f aca="false">IF(AND(AA$3&gt;=$J44, AA$3&lt;$M44), $A44, "")</f>
        <v/>
      </c>
      <c r="AA44" s="53" t="str">
        <f aca="false">IF(AND(AB$3&gt;=$J44, AB$3&lt;$M44), $A44, "")</f>
        <v/>
      </c>
      <c r="AB44" s="53" t="str">
        <f aca="false">IF(AND(AC$3&gt;=$J44, AC$3&lt;$M44), $A44, "")</f>
        <v/>
      </c>
      <c r="AC44" s="53" t="str">
        <f aca="false">IF(AND(AD$3&gt;=$J44, AD$3&lt;$M44), $A44, "")</f>
        <v/>
      </c>
      <c r="AD44" s="53" t="str">
        <f aca="false">IF(AND(AE$3&gt;=$J44, AE$3&lt;$M44), $A44, "")</f>
        <v/>
      </c>
      <c r="AE44" s="53" t="str">
        <f aca="false">IF(AND(AF$3&gt;=$J44, AF$3&lt;$M44), $A44, "")</f>
        <v/>
      </c>
      <c r="AF44" s="53" t="str">
        <f aca="false">IF(AND(AG$3&gt;=$J44, AG$3&lt;$M44), $A44, "")</f>
        <v/>
      </c>
      <c r="AG44" s="53" t="str">
        <f aca="false">IF(AND(AH$3&gt;=$J44, AH$3&lt;$M44), $A44, "")</f>
        <v/>
      </c>
      <c r="AH44" s="53" t="str">
        <f aca="false">IF(AND(AI$3&gt;=$J44, AI$3&lt;$M44), $A44, "")</f>
        <v/>
      </c>
      <c r="AI44" s="53" t="str">
        <f aca="false">IF(AND(AJ$3&gt;=$J44, AJ$3&lt;$M44), $A44, "")</f>
        <v/>
      </c>
      <c r="AJ44" s="53" t="str">
        <f aca="false">IF(AND(AK$3&gt;=$J44, AK$3&lt;$M44), $A44, "")</f>
        <v/>
      </c>
      <c r="AK44" s="53" t="str">
        <f aca="false">IF(AND(AL$3&gt;=$J44, AL$3&lt;$M44), $A44, "")</f>
        <v/>
      </c>
      <c r="AL44" s="53" t="str">
        <f aca="false">IF(AND(AM$3&gt;=$J44, AM$3&lt;$M44), $A44, "")</f>
        <v/>
      </c>
      <c r="AM44" s="53" t="str">
        <f aca="false">IF(AND(AN$3&gt;=$J44, AN$3&lt;$M44), $A44, "")</f>
        <v/>
      </c>
      <c r="AN44" s="53" t="str">
        <f aca="false">IF(AND(AO$3&gt;=$J44, AO$3&lt;$M44), $A44, "")</f>
        <v/>
      </c>
      <c r="AO44" s="53" t="str">
        <f aca="false">IF(AND(AP$3&gt;=$J44, AP$3&lt;$M44), $A44, "")</f>
        <v/>
      </c>
      <c r="AP44" s="53" t="str">
        <f aca="false">IF(AND(AQ$3&gt;=$J44, AQ$3&lt;$M44), $A44, "")</f>
        <v/>
      </c>
      <c r="AQ44" s="53" t="str">
        <f aca="false">IF(AND(AR$3&gt;=$J44, AR$3&lt;$M44), $A44, "")</f>
        <v/>
      </c>
      <c r="AR44" s="53" t="str">
        <f aca="false">IF(AND(AS$3&gt;=$J44, AS$3&lt;$M44), $A44, "")</f>
        <v/>
      </c>
      <c r="AS44" s="53" t="str">
        <f aca="false">IF(AND(AT$3&gt;=$J44, AT$3&lt;$M44), $A44, "")</f>
        <v/>
      </c>
      <c r="AT44" s="53" t="str">
        <f aca="false">IF(AND(AU$3&gt;=$J44, AU$3&lt;$M44), $A44, "")</f>
        <v/>
      </c>
      <c r="AU44" s="53" t="str">
        <f aca="false">IF(AND(AV$3&gt;=$J44, AV$3&lt;$M44), $A44, "")</f>
        <v/>
      </c>
      <c r="AV44" s="53" t="str">
        <f aca="false">IF(AND(AW$3&gt;=$J44, AW$3&lt;$M44), $A44, "")</f>
        <v/>
      </c>
      <c r="AW44" s="53" t="str">
        <f aca="false">IF(AND(AX$3&gt;=$J44, AX$3&lt;$M44), $A44, "")</f>
        <v/>
      </c>
      <c r="AX44" s="53" t="str">
        <f aca="false">IF(AND(AY$3&gt;=$J44, AY$3&lt;$M44), $A44, "")</f>
        <v/>
      </c>
      <c r="AY44" s="53" t="str">
        <f aca="false">IF(AND(AZ$3&gt;=$J44, AZ$3&lt;$M44), $A44, "")</f>
        <v/>
      </c>
      <c r="AZ44" s="53" t="str">
        <f aca="false">IF(AND(BA$3&gt;=$J44, BA$3&lt;$M44), $A44, "")</f>
        <v/>
      </c>
      <c r="BA44" s="53" t="str">
        <f aca="false">IF(AND(BB$3&gt;=$J44, BB$3&lt;$M44), $A44, "")</f>
        <v/>
      </c>
      <c r="BB44" s="53" t="str">
        <f aca="false">IF(AND(BC$3&gt;=$J44, BC$3&lt;$M44), $A44, "")</f>
        <v/>
      </c>
      <c r="BC44" s="53" t="str">
        <f aca="false">IF(AND(BD$3&gt;=$J44, BD$3&lt;$M44), $A44, "")</f>
        <v/>
      </c>
      <c r="BD44" s="53" t="str">
        <f aca="false">IF(AND(BE$3&gt;=$J44, BE$3&lt;$M44), $A44, "")</f>
        <v/>
      </c>
      <c r="BE44" s="53" t="str">
        <f aca="false">IF(AND(BF$3&gt;=$J44, BF$3&lt;$M44), $A44, "")</f>
        <v/>
      </c>
      <c r="BF44" s="53" t="str">
        <f aca="false">IF(AND(BG$3&gt;=$J44, BG$3&lt;$M44), $A44, "")</f>
        <v/>
      </c>
      <c r="BG44" s="53" t="str">
        <f aca="false">IF(AND(BH$3&gt;=$J44, BH$3&lt;$M44), $A44, "")</f>
        <v/>
      </c>
      <c r="BH44" s="53" t="str">
        <f aca="false">IF(AND(BI$3&gt;=$J44, BI$3&lt;$M44), $A44, "")</f>
        <v/>
      </c>
      <c r="BI44" s="53" t="str">
        <f aca="false">IF(AND(BJ$3&gt;=$J44, BJ$3&lt;$M44), $A44, "")</f>
        <v/>
      </c>
      <c r="BJ44" s="53" t="str">
        <f aca="false">IF(AND(BK$3&gt;=$J44, BK$3&lt;$M44), $A44, "")</f>
        <v/>
      </c>
      <c r="BK44" s="53" t="str">
        <f aca="false">IF(AND(BL$3&gt;=$J44, BL$3&lt;$M44), $A44, "")</f>
        <v/>
      </c>
      <c r="BL44" s="53" t="str">
        <f aca="false">IF(AND(BM$3&gt;=$J44, BM$3&lt;$M44), $A44, "")</f>
        <v/>
      </c>
      <c r="BM44" s="53" t="str">
        <f aca="false">IF(AND(BN$3&gt;=$J44, BN$3&lt;$M44), $A44, "")</f>
        <v/>
      </c>
      <c r="BN44" s="1" t="str">
        <f aca="false">IF(AND(BO$3&gt;=$J44, BO$3&lt;$M44), $A44, "")</f>
        <v/>
      </c>
      <c r="BO44" s="1" t="str">
        <f aca="false">IF(AND(BP$3&gt;=$J44, BP$3&lt;$M44), $A44, "")</f>
        <v/>
      </c>
      <c r="BP44" s="1" t="str">
        <f aca="false">IF(AND(BQ$3&gt;=$J44, BQ$3&lt;$M44), $A44, "")</f>
        <v/>
      </c>
    </row>
    <row r="45" customFormat="false" ht="15" hidden="false" customHeight="true" outlineLevel="0" collapsed="false">
      <c r="A45" s="46" t="str">
        <f aca="false">IF(Job_Master!A45="","",Job_Master!A45)</f>
        <v>BJ-146</v>
      </c>
      <c r="B45" s="4" t="n">
        <f aca="false">IF($A45="","",Job_Master!B45)</f>
        <v>20</v>
      </c>
      <c r="C45" s="4" t="str">
        <f aca="false">IF($A45="","",Job_Master!C45)</f>
        <v>RW</v>
      </c>
      <c r="D45" s="4" t="n">
        <f aca="false">IF($A45="","",Job_Master!D45)</f>
        <v>2</v>
      </c>
      <c r="E45" s="48" t="str">
        <f aca="false">IF($A45="","",IFERROR(INDEX(Machine_List!$B$82:$B$86,MATCH("*"&amp;$B45&amp;"*",Machine_List!$J$82:$J$86,0)),"NO COMPATIBLE MACHINE"))</f>
        <v>QC-MC-01</v>
      </c>
      <c r="F45" s="4" t="str">
        <f aca="false">IF($E45="","",IFERROR(VLOOKUP($E45,Machine_List!$B:$G,6,0),""))</f>
        <v>General Workman</v>
      </c>
      <c r="G45" s="55" t="n">
        <f aca="false">IF($E45="","",IFERROR(VLOOKUP($E45,Machine_List!$B:$C,2,0),""))</f>
        <v>46518</v>
      </c>
      <c r="H45" s="4" t="n">
        <f aca="false">IF($E45="","",IFERROR(VLOOKUP($E45,Machine_List!$B:$D,3,0),""))</f>
        <v>6</v>
      </c>
      <c r="I45" s="56"/>
      <c r="J45" s="57" t="n">
        <f aca="true">IF($A45="","",IF($I45&lt;&gt;"",$I45,MAX(FID_Plan!$M45,IFERROR(LOOKUP(2,1/($E$3:INDIRECT("E"&amp;(ROW()-1))=$E45),$M$3:INDIRECT("M"&amp;(ROW()-1))),FID_Plan!$M45))))</f>
        <v>46443.9265873016</v>
      </c>
      <c r="K45" s="4" t="n">
        <f aca="false">IF($A45="","",IFERROR(VLOOKUP(B45,CHOOSE(MATCH(C45,Settings!$L$4:$L$10,0),OPR_2P!$A$4:$I$18,SEG_6P!$A$4:$I$18,SOL_4P!$A$4:$I$18,RW_2P!$A$4:$I$18,RW2_4P!$A$4:$I$18,FLAP_4P!$A$4:$I$18,TUBE_4P!$A$4:$I$18),8,0),0))</f>
        <v>19</v>
      </c>
      <c r="L45" s="4" t="n">
        <f aca="false">IF($A45="","",K45*D45)</f>
        <v>38</v>
      </c>
      <c r="M45" s="57" t="n">
        <f aca="false">IF($A45="","",$J45+($L45/(IF(F45="Contract Workman",Settings!$K$5,Settings!$K$4))))</f>
        <v>46445.6858465608</v>
      </c>
      <c r="N45" s="4" t="str">
        <f aca="false">IF($A45="","",IF(F45="Contract Workman",IF(AND(MOD(M45,1)&gt;=8/24,MOD(M45,1)&lt;20/24),"Shift S1","Shift S2"),IF(AND(MOD(M45,1)&gt;=7/24,MOD(M45,1)&lt;15/24),"Shift A",IF(AND(MOD(M45,1)&gt;=15/24,MOD(M45,1)&lt;23/24),"Shift B","Shift C"))))</f>
        <v>Shift B</v>
      </c>
      <c r="O45" s="52" t="str">
        <f aca="false"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3" t="str">
        <f aca="false">IF(AND(Q$3&gt;=$J45, Q$3&lt;$M45), $A45, "")</f>
        <v/>
      </c>
      <c r="Q45" s="53" t="str">
        <f aca="false">IF(AND(R$3&gt;=$J45, R$3&lt;$M45), $A45, "")</f>
        <v/>
      </c>
      <c r="R45" s="53" t="str">
        <f aca="false">IF(AND(S$3&gt;=$J45, S$3&lt;$M45), $A45, "")</f>
        <v/>
      </c>
      <c r="S45" s="53" t="str">
        <f aca="false">IF(AND(T$3&gt;=$J45, T$3&lt;$M45), $A45, "")</f>
        <v/>
      </c>
      <c r="T45" s="53" t="str">
        <f aca="false">IF(AND(U$3&gt;=$J45, U$3&lt;$M45), $A45, "")</f>
        <v/>
      </c>
      <c r="U45" s="53" t="str">
        <f aca="false">IF(AND(V$3&gt;=$J45, V$3&lt;$M45), $A45, "")</f>
        <v/>
      </c>
      <c r="V45" s="53" t="str">
        <f aca="false">IF(AND(W$3&gt;=$J45, W$3&lt;$M45), $A45, "")</f>
        <v/>
      </c>
      <c r="W45" s="53" t="str">
        <f aca="false">IF(AND(X$3&gt;=$J45, X$3&lt;$M45), $A45, "")</f>
        <v/>
      </c>
      <c r="X45" s="53" t="str">
        <f aca="false">IF(AND(Y$3&gt;=$J45, Y$3&lt;$M45), $A45, "")</f>
        <v/>
      </c>
      <c r="Y45" s="53" t="str">
        <f aca="false">IF(AND(Z$3&gt;=$J45, Z$3&lt;$M45), $A45, "")</f>
        <v/>
      </c>
      <c r="Z45" s="53" t="str">
        <f aca="false">IF(AND(AA$3&gt;=$J45, AA$3&lt;$M45), $A45, "")</f>
        <v/>
      </c>
      <c r="AA45" s="53" t="str">
        <f aca="false">IF(AND(AB$3&gt;=$J45, AB$3&lt;$M45), $A45, "")</f>
        <v/>
      </c>
      <c r="AB45" s="53" t="str">
        <f aca="false">IF(AND(AC$3&gt;=$J45, AC$3&lt;$M45), $A45, "")</f>
        <v/>
      </c>
      <c r="AC45" s="53" t="str">
        <f aca="false">IF(AND(AD$3&gt;=$J45, AD$3&lt;$M45), $A45, "")</f>
        <v/>
      </c>
      <c r="AD45" s="53" t="str">
        <f aca="false">IF(AND(AE$3&gt;=$J45, AE$3&lt;$M45), $A45, "")</f>
        <v/>
      </c>
      <c r="AE45" s="53" t="str">
        <f aca="false">IF(AND(AF$3&gt;=$J45, AF$3&lt;$M45), $A45, "")</f>
        <v/>
      </c>
      <c r="AF45" s="53" t="str">
        <f aca="false">IF(AND(AG$3&gt;=$J45, AG$3&lt;$M45), $A45, "")</f>
        <v/>
      </c>
      <c r="AG45" s="53" t="str">
        <f aca="false">IF(AND(AH$3&gt;=$J45, AH$3&lt;$M45), $A45, "")</f>
        <v/>
      </c>
      <c r="AH45" s="53" t="str">
        <f aca="false">IF(AND(AI$3&gt;=$J45, AI$3&lt;$M45), $A45, "")</f>
        <v/>
      </c>
      <c r="AI45" s="53" t="str">
        <f aca="false">IF(AND(AJ$3&gt;=$J45, AJ$3&lt;$M45), $A45, "")</f>
        <v/>
      </c>
      <c r="AJ45" s="53" t="str">
        <f aca="false">IF(AND(AK$3&gt;=$J45, AK$3&lt;$M45), $A45, "")</f>
        <v/>
      </c>
      <c r="AK45" s="53" t="str">
        <f aca="false">IF(AND(AL$3&gt;=$J45, AL$3&lt;$M45), $A45, "")</f>
        <v/>
      </c>
      <c r="AL45" s="53" t="str">
        <f aca="false">IF(AND(AM$3&gt;=$J45, AM$3&lt;$M45), $A45, "")</f>
        <v/>
      </c>
      <c r="AM45" s="53" t="str">
        <f aca="false">IF(AND(AN$3&gt;=$J45, AN$3&lt;$M45), $A45, "")</f>
        <v/>
      </c>
      <c r="AN45" s="53" t="str">
        <f aca="false">IF(AND(AO$3&gt;=$J45, AO$3&lt;$M45), $A45, "")</f>
        <v/>
      </c>
      <c r="AO45" s="53" t="str">
        <f aca="false">IF(AND(AP$3&gt;=$J45, AP$3&lt;$M45), $A45, "")</f>
        <v/>
      </c>
      <c r="AP45" s="53" t="str">
        <f aca="false">IF(AND(AQ$3&gt;=$J45, AQ$3&lt;$M45), $A45, "")</f>
        <v/>
      </c>
      <c r="AQ45" s="53" t="str">
        <f aca="false">IF(AND(AR$3&gt;=$J45, AR$3&lt;$M45), $A45, "")</f>
        <v/>
      </c>
      <c r="AR45" s="53" t="str">
        <f aca="false">IF(AND(AS$3&gt;=$J45, AS$3&lt;$M45), $A45, "")</f>
        <v/>
      </c>
      <c r="AS45" s="53" t="str">
        <f aca="false">IF(AND(AT$3&gt;=$J45, AT$3&lt;$M45), $A45, "")</f>
        <v/>
      </c>
      <c r="AT45" s="53" t="str">
        <f aca="false">IF(AND(AU$3&gt;=$J45, AU$3&lt;$M45), $A45, "")</f>
        <v/>
      </c>
      <c r="AU45" s="53" t="str">
        <f aca="false">IF(AND(AV$3&gt;=$J45, AV$3&lt;$M45), $A45, "")</f>
        <v/>
      </c>
      <c r="AV45" s="53" t="str">
        <f aca="false">IF(AND(AW$3&gt;=$J45, AW$3&lt;$M45), $A45, "")</f>
        <v/>
      </c>
      <c r="AW45" s="53" t="str">
        <f aca="false">IF(AND(AX$3&gt;=$J45, AX$3&lt;$M45), $A45, "")</f>
        <v/>
      </c>
      <c r="AX45" s="53" t="str">
        <f aca="false">IF(AND(AY$3&gt;=$J45, AY$3&lt;$M45), $A45, "")</f>
        <v/>
      </c>
      <c r="AY45" s="53" t="str">
        <f aca="false">IF(AND(AZ$3&gt;=$J45, AZ$3&lt;$M45), $A45, "")</f>
        <v/>
      </c>
      <c r="AZ45" s="53" t="str">
        <f aca="false">IF(AND(BA$3&gt;=$J45, BA$3&lt;$M45), $A45, "")</f>
        <v/>
      </c>
      <c r="BA45" s="53" t="str">
        <f aca="false">IF(AND(BB$3&gt;=$J45, BB$3&lt;$M45), $A45, "")</f>
        <v/>
      </c>
      <c r="BB45" s="53" t="str">
        <f aca="false">IF(AND(BC$3&gt;=$J45, BC$3&lt;$M45), $A45, "")</f>
        <v/>
      </c>
      <c r="BC45" s="53" t="str">
        <f aca="false">IF(AND(BD$3&gt;=$J45, BD$3&lt;$M45), $A45, "")</f>
        <v/>
      </c>
      <c r="BD45" s="53" t="str">
        <f aca="false">IF(AND(BE$3&gt;=$J45, BE$3&lt;$M45), $A45, "")</f>
        <v/>
      </c>
      <c r="BE45" s="53" t="str">
        <f aca="false">IF(AND(BF$3&gt;=$J45, BF$3&lt;$M45), $A45, "")</f>
        <v/>
      </c>
      <c r="BF45" s="53" t="str">
        <f aca="false">IF(AND(BG$3&gt;=$J45, BG$3&lt;$M45), $A45, "")</f>
        <v/>
      </c>
      <c r="BG45" s="53" t="str">
        <f aca="false">IF(AND(BH$3&gt;=$J45, BH$3&lt;$M45), $A45, "")</f>
        <v/>
      </c>
      <c r="BH45" s="53" t="str">
        <f aca="false">IF(AND(BI$3&gt;=$J45, BI$3&lt;$M45), $A45, "")</f>
        <v/>
      </c>
      <c r="BI45" s="53" t="str">
        <f aca="false">IF(AND(BJ$3&gt;=$J45, BJ$3&lt;$M45), $A45, "")</f>
        <v/>
      </c>
      <c r="BJ45" s="53" t="str">
        <f aca="false">IF(AND(BK$3&gt;=$J45, BK$3&lt;$M45), $A45, "")</f>
        <v/>
      </c>
      <c r="BK45" s="53" t="str">
        <f aca="false">IF(AND(BL$3&gt;=$J45, BL$3&lt;$M45), $A45, "")</f>
        <v/>
      </c>
      <c r="BL45" s="53" t="str">
        <f aca="false">IF(AND(BM$3&gt;=$J45, BM$3&lt;$M45), $A45, "")</f>
        <v/>
      </c>
      <c r="BM45" s="53" t="str">
        <f aca="false">IF(AND(BN$3&gt;=$J45, BN$3&lt;$M45), $A45, "")</f>
        <v/>
      </c>
      <c r="BN45" s="1" t="str">
        <f aca="false">IF(AND(BO$3&gt;=$J45, BO$3&lt;$M45), $A45, "")</f>
        <v/>
      </c>
      <c r="BO45" s="1" t="str">
        <f aca="false">IF(AND(BP$3&gt;=$J45, BP$3&lt;$M45), $A45, "")</f>
        <v/>
      </c>
      <c r="BP45" s="1" t="str">
        <f aca="false">IF(AND(BQ$3&gt;=$J45, BQ$3&lt;$M45), $A45, "")</f>
        <v/>
      </c>
    </row>
    <row r="46" customFormat="false" ht="15" hidden="false" customHeight="true" outlineLevel="0" collapsed="false">
      <c r="A46" s="46" t="str">
        <f aca="false">IF(Job_Master!A46="","",Job_Master!A46)</f>
        <v>BJ-139</v>
      </c>
      <c r="B46" s="4" t="n">
        <f aca="false">IF($A46="","",Job_Master!B46)</f>
        <v>15</v>
      </c>
      <c r="C46" s="4" t="str">
        <f aca="false">IF($A46="","",Job_Master!C46)</f>
        <v>RW</v>
      </c>
      <c r="D46" s="4" t="n">
        <f aca="false">IF($A46="","",Job_Master!D46)</f>
        <v>2</v>
      </c>
      <c r="E46" s="48" t="str">
        <f aca="false">IF($A46="","",IFERROR(INDEX(Machine_List!$B$82:$B$86,MATCH("*"&amp;$B46&amp;"*",Machine_List!$J$82:$J$86,0)),"NO COMPATIBLE MACHINE"))</f>
        <v>QC-MC-01</v>
      </c>
      <c r="F46" s="4" t="str">
        <f aca="false">IF($E46="","",IFERROR(VLOOKUP($E46,Machine_List!$B:$G,6,0),""))</f>
        <v>General Workman</v>
      </c>
      <c r="G46" s="55" t="n">
        <f aca="false">IF($E46="","",IFERROR(VLOOKUP($E46,Machine_List!$B:$C,2,0),""))</f>
        <v>46518</v>
      </c>
      <c r="H46" s="4" t="n">
        <f aca="false">IF($E46="","",IFERROR(VLOOKUP($E46,Machine_List!$B:$D,3,0),""))</f>
        <v>6</v>
      </c>
      <c r="I46" s="56"/>
      <c r="J46" s="57" t="n">
        <f aca="true">IF($A46="","",IF($I46&lt;&gt;"",$I46,MAX(FID_Plan!$M46,IFERROR(LOOKUP(2,1/($E$3:INDIRECT("E"&amp;(ROW()-1))=$E46),$M$3:INDIRECT("M"&amp;(ROW()-1))),FID_Plan!$M46))))</f>
        <v>46445.6858465608</v>
      </c>
      <c r="K46" s="4" t="n">
        <f aca="false">IF($A46="","",IFERROR(VLOOKUP(B46,CHOOSE(MATCH(C46,Settings!$L$4:$L$10,0),OPR_2P!$A$4:$I$18,SEG_6P!$A$4:$I$18,SOL_4P!$A$4:$I$18,RW_2P!$A$4:$I$18,RW2_4P!$A$4:$I$18,FLAP_4P!$A$4:$I$18,TUBE_4P!$A$4:$I$18),8,0),0))</f>
        <v>7</v>
      </c>
      <c r="L46" s="4" t="n">
        <f aca="false">IF($A46="","",K46*D46)</f>
        <v>14</v>
      </c>
      <c r="M46" s="57" t="n">
        <f aca="false">IF($A46="","",$J46+($L46/(IF(F46="Contract Workman",Settings!$K$5,Settings!$K$4))))</f>
        <v>46446.333994709</v>
      </c>
      <c r="N46" s="4" t="str">
        <f aca="false">IF($A46="","",IF(F46="Contract Workman",IF(AND(MOD(M46,1)&gt;=8/24,MOD(M46,1)&lt;20/24),"Shift S1","Shift S2"),IF(AND(MOD(M46,1)&gt;=7/24,MOD(M46,1)&lt;15/24),"Shift A",IF(AND(MOD(M46,1)&gt;=15/24,MOD(M46,1)&lt;23/24),"Shift B","Shift C"))))</f>
        <v>Shift A</v>
      </c>
      <c r="O46" s="52" t="str">
        <f aca="false"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3" t="str">
        <f aca="false">IF(AND(Q$3&gt;=$J46, Q$3&lt;$M46), $A46, "")</f>
        <v/>
      </c>
      <c r="Q46" s="53" t="str">
        <f aca="false">IF(AND(R$3&gt;=$J46, R$3&lt;$M46), $A46, "")</f>
        <v/>
      </c>
      <c r="R46" s="53" t="str">
        <f aca="false">IF(AND(S$3&gt;=$J46, S$3&lt;$M46), $A46, "")</f>
        <v/>
      </c>
      <c r="S46" s="53" t="str">
        <f aca="false">IF(AND(T$3&gt;=$J46, T$3&lt;$M46), $A46, "")</f>
        <v/>
      </c>
      <c r="T46" s="53" t="str">
        <f aca="false">IF(AND(U$3&gt;=$J46, U$3&lt;$M46), $A46, "")</f>
        <v/>
      </c>
      <c r="U46" s="53" t="str">
        <f aca="false">IF(AND(V$3&gt;=$J46, V$3&lt;$M46), $A46, "")</f>
        <v/>
      </c>
      <c r="V46" s="53" t="str">
        <f aca="false">IF(AND(W$3&gt;=$J46, W$3&lt;$M46), $A46, "")</f>
        <v/>
      </c>
      <c r="W46" s="53" t="str">
        <f aca="false">IF(AND(X$3&gt;=$J46, X$3&lt;$M46), $A46, "")</f>
        <v/>
      </c>
      <c r="X46" s="53" t="str">
        <f aca="false">IF(AND(Y$3&gt;=$J46, Y$3&lt;$M46), $A46, "")</f>
        <v/>
      </c>
      <c r="Y46" s="53" t="str">
        <f aca="false">IF(AND(Z$3&gt;=$J46, Z$3&lt;$M46), $A46, "")</f>
        <v/>
      </c>
      <c r="Z46" s="53" t="str">
        <f aca="false">IF(AND(AA$3&gt;=$J46, AA$3&lt;$M46), $A46, "")</f>
        <v/>
      </c>
      <c r="AA46" s="53" t="str">
        <f aca="false">IF(AND(AB$3&gt;=$J46, AB$3&lt;$M46), $A46, "")</f>
        <v/>
      </c>
      <c r="AB46" s="53" t="str">
        <f aca="false">IF(AND(AC$3&gt;=$J46, AC$3&lt;$M46), $A46, "")</f>
        <v/>
      </c>
      <c r="AC46" s="53" t="str">
        <f aca="false">IF(AND(AD$3&gt;=$J46, AD$3&lt;$M46), $A46, "")</f>
        <v/>
      </c>
      <c r="AD46" s="53" t="str">
        <f aca="false">IF(AND(AE$3&gt;=$J46, AE$3&lt;$M46), $A46, "")</f>
        <v/>
      </c>
      <c r="AE46" s="53" t="str">
        <f aca="false">IF(AND(AF$3&gt;=$J46, AF$3&lt;$M46), $A46, "")</f>
        <v/>
      </c>
      <c r="AF46" s="53" t="str">
        <f aca="false">IF(AND(AG$3&gt;=$J46, AG$3&lt;$M46), $A46, "")</f>
        <v/>
      </c>
      <c r="AG46" s="53" t="str">
        <f aca="false">IF(AND(AH$3&gt;=$J46, AH$3&lt;$M46), $A46, "")</f>
        <v/>
      </c>
      <c r="AH46" s="53" t="str">
        <f aca="false">IF(AND(AI$3&gt;=$J46, AI$3&lt;$M46), $A46, "")</f>
        <v/>
      </c>
      <c r="AI46" s="53" t="str">
        <f aca="false">IF(AND(AJ$3&gt;=$J46, AJ$3&lt;$M46), $A46, "")</f>
        <v/>
      </c>
      <c r="AJ46" s="53" t="str">
        <f aca="false">IF(AND(AK$3&gt;=$J46, AK$3&lt;$M46), $A46, "")</f>
        <v/>
      </c>
      <c r="AK46" s="53" t="str">
        <f aca="false">IF(AND(AL$3&gt;=$J46, AL$3&lt;$M46), $A46, "")</f>
        <v/>
      </c>
      <c r="AL46" s="53" t="str">
        <f aca="false">IF(AND(AM$3&gt;=$J46, AM$3&lt;$M46), $A46, "")</f>
        <v/>
      </c>
      <c r="AM46" s="53" t="str">
        <f aca="false">IF(AND(AN$3&gt;=$J46, AN$3&lt;$M46), $A46, "")</f>
        <v/>
      </c>
      <c r="AN46" s="53" t="str">
        <f aca="false">IF(AND(AO$3&gt;=$J46, AO$3&lt;$M46), $A46, "")</f>
        <v/>
      </c>
      <c r="AO46" s="53" t="str">
        <f aca="false">IF(AND(AP$3&gt;=$J46, AP$3&lt;$M46), $A46, "")</f>
        <v/>
      </c>
      <c r="AP46" s="53" t="str">
        <f aca="false">IF(AND(AQ$3&gt;=$J46, AQ$3&lt;$M46), $A46, "")</f>
        <v/>
      </c>
      <c r="AQ46" s="53" t="str">
        <f aca="false">IF(AND(AR$3&gt;=$J46, AR$3&lt;$M46), $A46, "")</f>
        <v/>
      </c>
      <c r="AR46" s="53" t="str">
        <f aca="false">IF(AND(AS$3&gt;=$J46, AS$3&lt;$M46), $A46, "")</f>
        <v/>
      </c>
      <c r="AS46" s="53" t="str">
        <f aca="false">IF(AND(AT$3&gt;=$J46, AT$3&lt;$M46), $A46, "")</f>
        <v/>
      </c>
      <c r="AT46" s="53" t="str">
        <f aca="false">IF(AND(AU$3&gt;=$J46, AU$3&lt;$M46), $A46, "")</f>
        <v/>
      </c>
      <c r="AU46" s="53" t="str">
        <f aca="false">IF(AND(AV$3&gt;=$J46, AV$3&lt;$M46), $A46, "")</f>
        <v/>
      </c>
      <c r="AV46" s="53" t="str">
        <f aca="false">IF(AND(AW$3&gt;=$J46, AW$3&lt;$M46), $A46, "")</f>
        <v/>
      </c>
      <c r="AW46" s="53" t="str">
        <f aca="false">IF(AND(AX$3&gt;=$J46, AX$3&lt;$M46), $A46, "")</f>
        <v/>
      </c>
      <c r="AX46" s="53" t="str">
        <f aca="false">IF(AND(AY$3&gt;=$J46, AY$3&lt;$M46), $A46, "")</f>
        <v/>
      </c>
      <c r="AY46" s="53" t="str">
        <f aca="false">IF(AND(AZ$3&gt;=$J46, AZ$3&lt;$M46), $A46, "")</f>
        <v/>
      </c>
      <c r="AZ46" s="53" t="str">
        <f aca="false">IF(AND(BA$3&gt;=$J46, BA$3&lt;$M46), $A46, "")</f>
        <v/>
      </c>
      <c r="BA46" s="53" t="str">
        <f aca="false">IF(AND(BB$3&gt;=$J46, BB$3&lt;$M46), $A46, "")</f>
        <v/>
      </c>
      <c r="BB46" s="53" t="str">
        <f aca="false">IF(AND(BC$3&gt;=$J46, BC$3&lt;$M46), $A46, "")</f>
        <v/>
      </c>
      <c r="BC46" s="53" t="str">
        <f aca="false">IF(AND(BD$3&gt;=$J46, BD$3&lt;$M46), $A46, "")</f>
        <v/>
      </c>
      <c r="BD46" s="53" t="str">
        <f aca="false">IF(AND(BE$3&gt;=$J46, BE$3&lt;$M46), $A46, "")</f>
        <v/>
      </c>
      <c r="BE46" s="53" t="str">
        <f aca="false">IF(AND(BF$3&gt;=$J46, BF$3&lt;$M46), $A46, "")</f>
        <v/>
      </c>
      <c r="BF46" s="53" t="str">
        <f aca="false">IF(AND(BG$3&gt;=$J46, BG$3&lt;$M46), $A46, "")</f>
        <v/>
      </c>
      <c r="BG46" s="53" t="str">
        <f aca="false">IF(AND(BH$3&gt;=$J46, BH$3&lt;$M46), $A46, "")</f>
        <v/>
      </c>
      <c r="BH46" s="53" t="str">
        <f aca="false">IF(AND(BI$3&gt;=$J46, BI$3&lt;$M46), $A46, "")</f>
        <v/>
      </c>
      <c r="BI46" s="53" t="str">
        <f aca="false">IF(AND(BJ$3&gt;=$J46, BJ$3&lt;$M46), $A46, "")</f>
        <v/>
      </c>
      <c r="BJ46" s="53" t="str">
        <f aca="false">IF(AND(BK$3&gt;=$J46, BK$3&lt;$M46), $A46, "")</f>
        <v/>
      </c>
      <c r="BK46" s="53" t="str">
        <f aca="false">IF(AND(BL$3&gt;=$J46, BL$3&lt;$M46), $A46, "")</f>
        <v/>
      </c>
      <c r="BL46" s="53" t="str">
        <f aca="false">IF(AND(BM$3&gt;=$J46, BM$3&lt;$M46), $A46, "")</f>
        <v/>
      </c>
      <c r="BM46" s="53" t="str">
        <f aca="false">IF(AND(BN$3&gt;=$J46, BN$3&lt;$M46), $A46, "")</f>
        <v/>
      </c>
      <c r="BN46" s="1" t="str">
        <f aca="false">IF(AND(BO$3&gt;=$J46, BO$3&lt;$M46), $A46, "")</f>
        <v/>
      </c>
      <c r="BO46" s="1" t="str">
        <f aca="false">IF(AND(BP$3&gt;=$J46, BP$3&lt;$M46), $A46, "")</f>
        <v/>
      </c>
      <c r="BP46" s="1" t="str">
        <f aca="false">IF(AND(BQ$3&gt;=$J46, BQ$3&lt;$M46), $A46, "")</f>
        <v/>
      </c>
    </row>
    <row r="47" customFormat="false" ht="15" hidden="false" customHeight="true" outlineLevel="0" collapsed="false">
      <c r="A47" s="46" t="str">
        <f aca="false">IF(Job_Master!A47="","",Job_Master!A47)</f>
        <v>BJ-141</v>
      </c>
      <c r="B47" s="4" t="n">
        <f aca="false">IF($A47="","",Job_Master!B47)</f>
        <v>50</v>
      </c>
      <c r="C47" s="4" t="str">
        <f aca="false">IF($A47="","",Job_Master!C47)</f>
        <v>SOL</v>
      </c>
      <c r="D47" s="4" t="n">
        <f aca="false">IF($A47="","",Job_Master!D47)</f>
        <v>4</v>
      </c>
      <c r="E47" s="48" t="str">
        <f aca="false">IF($A47="","",IFERROR(INDEX(Machine_List!$B$82:$B$86,MATCH("*"&amp;$B47&amp;"*",Machine_List!$J$82:$J$86,0)),"NO COMPATIBLE MACHINE"))</f>
        <v>QC-MC-01</v>
      </c>
      <c r="F47" s="4" t="str">
        <f aca="false">IF($E47="","",IFERROR(VLOOKUP($E47,Machine_List!$B:$G,6,0),""))</f>
        <v>General Workman</v>
      </c>
      <c r="G47" s="55" t="n">
        <f aca="false">IF($E47="","",IFERROR(VLOOKUP($E47,Machine_List!$B:$C,2,0),""))</f>
        <v>46518</v>
      </c>
      <c r="H47" s="4" t="n">
        <f aca="false">IF($E47="","",IFERROR(VLOOKUP($E47,Machine_List!$B:$D,3,0),""))</f>
        <v>6</v>
      </c>
      <c r="I47" s="56"/>
      <c r="J47" s="57" t="n">
        <f aca="true">IF($A47="","",IF($I47&lt;&gt;"",$I47,MAX(FID_Plan!$M47,IFERROR(LOOKUP(2,1/($E$3:INDIRECT("E"&amp;(ROW()-1))=$E47),$M$3:INDIRECT("M"&amp;(ROW()-1))),FID_Plan!$M47))))</f>
        <v>46459.1382275132</v>
      </c>
      <c r="K47" s="4" t="n">
        <f aca="false">IF($A47="","",IFERROR(VLOOKUP(B47,CHOOSE(MATCH(C47,Settings!$L$4:$L$10,0),OPR_2P!$A$4:$I$18,SEG_6P!$A$4:$I$18,SOL_4P!$A$4:$I$18,RW_2P!$A$4:$I$18,RW2_4P!$A$4:$I$18,FLAP_4P!$A$4:$I$18,TUBE_4P!$A$4:$I$18),8,0),0))</f>
        <v>47</v>
      </c>
      <c r="L47" s="4" t="n">
        <f aca="false">IF($A47="","",K47*D47)</f>
        <v>188</v>
      </c>
      <c r="M47" s="57" t="n">
        <f aca="false">IF($A47="","",$J47+($L47/(IF(F47="Contract Workman",Settings!$K$5,Settings!$K$4))))</f>
        <v>46467.8419312169</v>
      </c>
      <c r="N47" s="4" t="str">
        <f aca="false">IF($A47="","",IF(F47="Contract Workman",IF(AND(MOD(M47,1)&gt;=8/24,MOD(M47,1)&lt;20/24),"Shift S1","Shift S2"),IF(AND(MOD(M47,1)&gt;=7/24,MOD(M47,1)&lt;15/24),"Shift A",IF(AND(MOD(M47,1)&gt;=15/24,MOD(M47,1)&lt;23/24),"Shift B","Shift C"))))</f>
        <v>Shift B</v>
      </c>
      <c r="O47" s="52" t="str">
        <f aca="false"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3" t="str">
        <f aca="false">IF(AND(Q$3&gt;=$J47, Q$3&lt;$M47), $A47, "")</f>
        <v/>
      </c>
      <c r="Q47" s="53" t="str">
        <f aca="false">IF(AND(R$3&gt;=$J47, R$3&lt;$M47), $A47, "")</f>
        <v/>
      </c>
      <c r="R47" s="53" t="str">
        <f aca="false">IF(AND(S$3&gt;=$J47, S$3&lt;$M47), $A47, "")</f>
        <v/>
      </c>
      <c r="S47" s="53" t="str">
        <f aca="false">IF(AND(T$3&gt;=$J47, T$3&lt;$M47), $A47, "")</f>
        <v/>
      </c>
      <c r="T47" s="53" t="str">
        <f aca="false">IF(AND(U$3&gt;=$J47, U$3&lt;$M47), $A47, "")</f>
        <v/>
      </c>
      <c r="U47" s="53" t="str">
        <f aca="false">IF(AND(V$3&gt;=$J47, V$3&lt;$M47), $A47, "")</f>
        <v/>
      </c>
      <c r="V47" s="53" t="str">
        <f aca="false">IF(AND(W$3&gt;=$J47, W$3&lt;$M47), $A47, "")</f>
        <v/>
      </c>
      <c r="W47" s="53" t="str">
        <f aca="false">IF(AND(X$3&gt;=$J47, X$3&lt;$M47), $A47, "")</f>
        <v/>
      </c>
      <c r="X47" s="53" t="str">
        <f aca="false">IF(AND(Y$3&gt;=$J47, Y$3&lt;$M47), $A47, "")</f>
        <v/>
      </c>
      <c r="Y47" s="53" t="str">
        <f aca="false">IF(AND(Z$3&gt;=$J47, Z$3&lt;$M47), $A47, "")</f>
        <v/>
      </c>
      <c r="Z47" s="53" t="str">
        <f aca="false">IF(AND(AA$3&gt;=$J47, AA$3&lt;$M47), $A47, "")</f>
        <v/>
      </c>
      <c r="AA47" s="53" t="str">
        <f aca="false">IF(AND(AB$3&gt;=$J47, AB$3&lt;$M47), $A47, "")</f>
        <v/>
      </c>
      <c r="AB47" s="53" t="str">
        <f aca="false">IF(AND(AC$3&gt;=$J47, AC$3&lt;$M47), $A47, "")</f>
        <v/>
      </c>
      <c r="AC47" s="53" t="str">
        <f aca="false">IF(AND(AD$3&gt;=$J47, AD$3&lt;$M47), $A47, "")</f>
        <v/>
      </c>
      <c r="AD47" s="53" t="str">
        <f aca="false">IF(AND(AE$3&gt;=$J47, AE$3&lt;$M47), $A47, "")</f>
        <v/>
      </c>
      <c r="AE47" s="53" t="str">
        <f aca="false">IF(AND(AF$3&gt;=$J47, AF$3&lt;$M47), $A47, "")</f>
        <v/>
      </c>
      <c r="AF47" s="53" t="str">
        <f aca="false">IF(AND(AG$3&gt;=$J47, AG$3&lt;$M47), $A47, "")</f>
        <v/>
      </c>
      <c r="AG47" s="53" t="str">
        <f aca="false">IF(AND(AH$3&gt;=$J47, AH$3&lt;$M47), $A47, "")</f>
        <v/>
      </c>
      <c r="AH47" s="53" t="str">
        <f aca="false">IF(AND(AI$3&gt;=$J47, AI$3&lt;$M47), $A47, "")</f>
        <v/>
      </c>
      <c r="AI47" s="53" t="str">
        <f aca="false">IF(AND(AJ$3&gt;=$J47, AJ$3&lt;$M47), $A47, "")</f>
        <v/>
      </c>
      <c r="AJ47" s="53" t="str">
        <f aca="false">IF(AND(AK$3&gt;=$J47, AK$3&lt;$M47), $A47, "")</f>
        <v/>
      </c>
      <c r="AK47" s="53" t="str">
        <f aca="false">IF(AND(AL$3&gt;=$J47, AL$3&lt;$M47), $A47, "")</f>
        <v/>
      </c>
      <c r="AL47" s="53" t="str">
        <f aca="false">IF(AND(AM$3&gt;=$J47, AM$3&lt;$M47), $A47, "")</f>
        <v/>
      </c>
      <c r="AM47" s="53" t="str">
        <f aca="false">IF(AND(AN$3&gt;=$J47, AN$3&lt;$M47), $A47, "")</f>
        <v/>
      </c>
      <c r="AN47" s="53" t="str">
        <f aca="false">IF(AND(AO$3&gt;=$J47, AO$3&lt;$M47), $A47, "")</f>
        <v/>
      </c>
      <c r="AO47" s="53" t="str">
        <f aca="false">IF(AND(AP$3&gt;=$J47, AP$3&lt;$M47), $A47, "")</f>
        <v/>
      </c>
      <c r="AP47" s="53" t="str">
        <f aca="false">IF(AND(AQ$3&gt;=$J47, AQ$3&lt;$M47), $A47, "")</f>
        <v/>
      </c>
      <c r="AQ47" s="53" t="str">
        <f aca="false">IF(AND(AR$3&gt;=$J47, AR$3&lt;$M47), $A47, "")</f>
        <v/>
      </c>
      <c r="AR47" s="53" t="str">
        <f aca="false">IF(AND(AS$3&gt;=$J47, AS$3&lt;$M47), $A47, "")</f>
        <v/>
      </c>
      <c r="AS47" s="53" t="str">
        <f aca="false">IF(AND(AT$3&gt;=$J47, AT$3&lt;$M47), $A47, "")</f>
        <v/>
      </c>
      <c r="AT47" s="53" t="str">
        <f aca="false">IF(AND(AU$3&gt;=$J47, AU$3&lt;$M47), $A47, "")</f>
        <v/>
      </c>
      <c r="AU47" s="53" t="str">
        <f aca="false">IF(AND(AV$3&gt;=$J47, AV$3&lt;$M47), $A47, "")</f>
        <v/>
      </c>
      <c r="AV47" s="53" t="str">
        <f aca="false">IF(AND(AW$3&gt;=$J47, AW$3&lt;$M47), $A47, "")</f>
        <v/>
      </c>
      <c r="AW47" s="53" t="str">
        <f aca="false">IF(AND(AX$3&gt;=$J47, AX$3&lt;$M47), $A47, "")</f>
        <v/>
      </c>
      <c r="AX47" s="53" t="str">
        <f aca="false">IF(AND(AY$3&gt;=$J47, AY$3&lt;$M47), $A47, "")</f>
        <v/>
      </c>
      <c r="AY47" s="53" t="str">
        <f aca="false">IF(AND(AZ$3&gt;=$J47, AZ$3&lt;$M47), $A47, "")</f>
        <v/>
      </c>
      <c r="AZ47" s="53" t="str">
        <f aca="false">IF(AND(BA$3&gt;=$J47, BA$3&lt;$M47), $A47, "")</f>
        <v/>
      </c>
      <c r="BA47" s="53" t="str">
        <f aca="false">IF(AND(BB$3&gt;=$J47, BB$3&lt;$M47), $A47, "")</f>
        <v/>
      </c>
      <c r="BB47" s="53" t="str">
        <f aca="false">IF(AND(BC$3&gt;=$J47, BC$3&lt;$M47), $A47, "")</f>
        <v/>
      </c>
      <c r="BC47" s="53" t="str">
        <f aca="false">IF(AND(BD$3&gt;=$J47, BD$3&lt;$M47), $A47, "")</f>
        <v/>
      </c>
      <c r="BD47" s="53" t="str">
        <f aca="false">IF(AND(BE$3&gt;=$J47, BE$3&lt;$M47), $A47, "")</f>
        <v/>
      </c>
      <c r="BE47" s="53" t="str">
        <f aca="false">IF(AND(BF$3&gt;=$J47, BF$3&lt;$M47), $A47, "")</f>
        <v/>
      </c>
      <c r="BF47" s="53" t="str">
        <f aca="false">IF(AND(BG$3&gt;=$J47, BG$3&lt;$M47), $A47, "")</f>
        <v/>
      </c>
      <c r="BG47" s="53" t="str">
        <f aca="false">IF(AND(BH$3&gt;=$J47, BH$3&lt;$M47), $A47, "")</f>
        <v/>
      </c>
      <c r="BH47" s="53" t="str">
        <f aca="false">IF(AND(BI$3&gt;=$J47, BI$3&lt;$M47), $A47, "")</f>
        <v/>
      </c>
      <c r="BI47" s="53" t="str">
        <f aca="false">IF(AND(BJ$3&gt;=$J47, BJ$3&lt;$M47), $A47, "")</f>
        <v/>
      </c>
      <c r="BJ47" s="53" t="str">
        <f aca="false">IF(AND(BK$3&gt;=$J47, BK$3&lt;$M47), $A47, "")</f>
        <v/>
      </c>
      <c r="BK47" s="53" t="str">
        <f aca="false">IF(AND(BL$3&gt;=$J47, BL$3&lt;$M47), $A47, "")</f>
        <v/>
      </c>
      <c r="BL47" s="53" t="str">
        <f aca="false">IF(AND(BM$3&gt;=$J47, BM$3&lt;$M47), $A47, "")</f>
        <v/>
      </c>
      <c r="BM47" s="53" t="str">
        <f aca="false">IF(AND(BN$3&gt;=$J47, BN$3&lt;$M47), $A47, "")</f>
        <v/>
      </c>
      <c r="BN47" s="1" t="str">
        <f aca="false">IF(AND(BO$3&gt;=$J47, BO$3&lt;$M47), $A47, "")</f>
        <v/>
      </c>
      <c r="BO47" s="1" t="str">
        <f aca="false">IF(AND(BP$3&gt;=$J47, BP$3&lt;$M47), $A47, "")</f>
        <v/>
      </c>
      <c r="BP47" s="1" t="str">
        <f aca="false">IF(AND(BQ$3&gt;=$J47, BQ$3&lt;$M47), $A47, "")</f>
        <v/>
      </c>
    </row>
    <row r="48" customFormat="false" ht="15" hidden="false" customHeight="true" outlineLevel="0" collapsed="false">
      <c r="A48" s="46" t="str">
        <f aca="false">IF(Job_Master!A48="","",Job_Master!A48)</f>
        <v>BJ-142</v>
      </c>
      <c r="B48" s="4" t="n">
        <f aca="false">IF($A48="","",Job_Master!B48)</f>
        <v>9</v>
      </c>
      <c r="C48" s="4" t="str">
        <f aca="false">IF($A48="","",Job_Master!C48)</f>
        <v>RW</v>
      </c>
      <c r="D48" s="4" t="n">
        <f aca="false">IF($A48="","",Job_Master!D48)</f>
        <v>2</v>
      </c>
      <c r="E48" s="48" t="str">
        <f aca="false">IF($A48="","",IFERROR(INDEX(Machine_List!$B$82:$B$86,MATCH("*"&amp;$B48&amp;"*",Machine_List!$J$82:$J$86,0)),"NO COMPATIBLE MACHINE"))</f>
        <v>QC-MC-01</v>
      </c>
      <c r="F48" s="4" t="str">
        <f aca="false">IF($E48="","",IFERROR(VLOOKUP($E48,Machine_List!$B:$G,6,0),""))</f>
        <v>General Workman</v>
      </c>
      <c r="G48" s="55" t="n">
        <f aca="false">IF($E48="","",IFERROR(VLOOKUP($E48,Machine_List!$B:$C,2,0),""))</f>
        <v>46518</v>
      </c>
      <c r="H48" s="4" t="n">
        <f aca="false">IF($E48="","",IFERROR(VLOOKUP($E48,Machine_List!$B:$D,3,0),""))</f>
        <v>6</v>
      </c>
      <c r="I48" s="56"/>
      <c r="J48" s="57" t="n">
        <f aca="true">IF($A48="","",IF($I48&lt;&gt;"",$I48,MAX(FID_Plan!$M48,IFERROR(LOOKUP(2,1/($E$3:INDIRECT("E"&amp;(ROW()-1))=$E48),$M$3:INDIRECT("M"&amp;(ROW()-1))),FID_Plan!$M48))))</f>
        <v>46467.8419312169</v>
      </c>
      <c r="K48" s="4" t="n">
        <f aca="false">IF($A48="","",IFERROR(VLOOKUP(B48,CHOOSE(MATCH(C48,Settings!$L$4:$L$10,0),OPR_2P!$A$4:$I$18,SEG_6P!$A$4:$I$18,SOL_4P!$A$4:$I$18,RW_2P!$A$4:$I$18,RW2_4P!$A$4:$I$18,FLAP_4P!$A$4:$I$18,TUBE_4P!$A$4:$I$18),8,0),0))</f>
        <v>5</v>
      </c>
      <c r="L48" s="4" t="n">
        <f aca="false">IF($A48="","",K48*D48)</f>
        <v>10</v>
      </c>
      <c r="M48" s="57" t="n">
        <f aca="false">IF($A48="","",$J48+($L48/(IF(F48="Contract Workman",Settings!$K$5,Settings!$K$4))))</f>
        <v>46468.3048941799</v>
      </c>
      <c r="N48" s="4" t="str">
        <f aca="false">IF($A48="","",IF(F48="Contract Workman",IF(AND(MOD(M48,1)&gt;=8/24,MOD(M48,1)&lt;20/24),"Shift S1","Shift S2"),IF(AND(MOD(M48,1)&gt;=7/24,MOD(M48,1)&lt;15/24),"Shift A",IF(AND(MOD(M48,1)&gt;=15/24,MOD(M48,1)&lt;23/24),"Shift B","Shift C"))))</f>
        <v>Shift A</v>
      </c>
      <c r="O48" s="52" t="str">
        <f aca="false"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3" t="str">
        <f aca="false">IF(AND(Q$3&gt;=$J48, Q$3&lt;$M48), $A48, "")</f>
        <v/>
      </c>
      <c r="Q48" s="53" t="str">
        <f aca="false">IF(AND(R$3&gt;=$J48, R$3&lt;$M48), $A48, "")</f>
        <v/>
      </c>
      <c r="R48" s="53" t="str">
        <f aca="false">IF(AND(S$3&gt;=$J48, S$3&lt;$M48), $A48, "")</f>
        <v/>
      </c>
      <c r="S48" s="53" t="str">
        <f aca="false">IF(AND(T$3&gt;=$J48, T$3&lt;$M48), $A48, "")</f>
        <v/>
      </c>
      <c r="T48" s="53" t="str">
        <f aca="false">IF(AND(U$3&gt;=$J48, U$3&lt;$M48), $A48, "")</f>
        <v/>
      </c>
      <c r="U48" s="53" t="str">
        <f aca="false">IF(AND(V$3&gt;=$J48, V$3&lt;$M48), $A48, "")</f>
        <v/>
      </c>
      <c r="V48" s="53" t="str">
        <f aca="false">IF(AND(W$3&gt;=$J48, W$3&lt;$M48), $A48, "")</f>
        <v/>
      </c>
      <c r="W48" s="53" t="str">
        <f aca="false">IF(AND(X$3&gt;=$J48, X$3&lt;$M48), $A48, "")</f>
        <v/>
      </c>
      <c r="X48" s="53" t="str">
        <f aca="false">IF(AND(Y$3&gt;=$J48, Y$3&lt;$M48), $A48, "")</f>
        <v/>
      </c>
      <c r="Y48" s="53" t="str">
        <f aca="false">IF(AND(Z$3&gt;=$J48, Z$3&lt;$M48), $A48, "")</f>
        <v/>
      </c>
      <c r="Z48" s="53" t="str">
        <f aca="false">IF(AND(AA$3&gt;=$J48, AA$3&lt;$M48), $A48, "")</f>
        <v/>
      </c>
      <c r="AA48" s="53" t="str">
        <f aca="false">IF(AND(AB$3&gt;=$J48, AB$3&lt;$M48), $A48, "")</f>
        <v/>
      </c>
      <c r="AB48" s="53" t="str">
        <f aca="false">IF(AND(AC$3&gt;=$J48, AC$3&lt;$M48), $A48, "")</f>
        <v/>
      </c>
      <c r="AC48" s="53" t="str">
        <f aca="false">IF(AND(AD$3&gt;=$J48, AD$3&lt;$M48), $A48, "")</f>
        <v/>
      </c>
      <c r="AD48" s="53" t="str">
        <f aca="false">IF(AND(AE$3&gt;=$J48, AE$3&lt;$M48), $A48, "")</f>
        <v/>
      </c>
      <c r="AE48" s="53" t="str">
        <f aca="false">IF(AND(AF$3&gt;=$J48, AF$3&lt;$M48), $A48, "")</f>
        <v/>
      </c>
      <c r="AF48" s="53" t="str">
        <f aca="false">IF(AND(AG$3&gt;=$J48, AG$3&lt;$M48), $A48, "")</f>
        <v/>
      </c>
      <c r="AG48" s="53" t="str">
        <f aca="false">IF(AND(AH$3&gt;=$J48, AH$3&lt;$M48), $A48, "")</f>
        <v/>
      </c>
      <c r="AH48" s="53" t="str">
        <f aca="false">IF(AND(AI$3&gt;=$J48, AI$3&lt;$M48), $A48, "")</f>
        <v/>
      </c>
      <c r="AI48" s="53" t="str">
        <f aca="false">IF(AND(AJ$3&gt;=$J48, AJ$3&lt;$M48), $A48, "")</f>
        <v/>
      </c>
      <c r="AJ48" s="53" t="str">
        <f aca="false">IF(AND(AK$3&gt;=$J48, AK$3&lt;$M48), $A48, "")</f>
        <v/>
      </c>
      <c r="AK48" s="53" t="str">
        <f aca="false">IF(AND(AL$3&gt;=$J48, AL$3&lt;$M48), $A48, "")</f>
        <v/>
      </c>
      <c r="AL48" s="53" t="str">
        <f aca="false">IF(AND(AM$3&gt;=$J48, AM$3&lt;$M48), $A48, "")</f>
        <v/>
      </c>
      <c r="AM48" s="53" t="str">
        <f aca="false">IF(AND(AN$3&gt;=$J48, AN$3&lt;$M48), $A48, "")</f>
        <v/>
      </c>
      <c r="AN48" s="53" t="str">
        <f aca="false">IF(AND(AO$3&gt;=$J48, AO$3&lt;$M48), $A48, "")</f>
        <v/>
      </c>
      <c r="AO48" s="53" t="str">
        <f aca="false">IF(AND(AP$3&gt;=$J48, AP$3&lt;$M48), $A48, "")</f>
        <v/>
      </c>
      <c r="AP48" s="53" t="str">
        <f aca="false">IF(AND(AQ$3&gt;=$J48, AQ$3&lt;$M48), $A48, "")</f>
        <v/>
      </c>
      <c r="AQ48" s="53" t="str">
        <f aca="false">IF(AND(AR$3&gt;=$J48, AR$3&lt;$M48), $A48, "")</f>
        <v/>
      </c>
      <c r="AR48" s="53" t="str">
        <f aca="false">IF(AND(AS$3&gt;=$J48, AS$3&lt;$M48), $A48, "")</f>
        <v/>
      </c>
      <c r="AS48" s="53" t="str">
        <f aca="false">IF(AND(AT$3&gt;=$J48, AT$3&lt;$M48), $A48, "")</f>
        <v/>
      </c>
      <c r="AT48" s="53" t="str">
        <f aca="false">IF(AND(AU$3&gt;=$J48, AU$3&lt;$M48), $A48, "")</f>
        <v/>
      </c>
      <c r="AU48" s="53" t="str">
        <f aca="false">IF(AND(AV$3&gt;=$J48, AV$3&lt;$M48), $A48, "")</f>
        <v/>
      </c>
      <c r="AV48" s="53" t="str">
        <f aca="false">IF(AND(AW$3&gt;=$J48, AW$3&lt;$M48), $A48, "")</f>
        <v/>
      </c>
      <c r="AW48" s="53" t="str">
        <f aca="false">IF(AND(AX$3&gt;=$J48, AX$3&lt;$M48), $A48, "")</f>
        <v/>
      </c>
      <c r="AX48" s="53" t="str">
        <f aca="false">IF(AND(AY$3&gt;=$J48, AY$3&lt;$M48), $A48, "")</f>
        <v/>
      </c>
      <c r="AY48" s="53" t="str">
        <f aca="false">IF(AND(AZ$3&gt;=$J48, AZ$3&lt;$M48), $A48, "")</f>
        <v/>
      </c>
      <c r="AZ48" s="53" t="str">
        <f aca="false">IF(AND(BA$3&gt;=$J48, BA$3&lt;$M48), $A48, "")</f>
        <v/>
      </c>
      <c r="BA48" s="53" t="str">
        <f aca="false">IF(AND(BB$3&gt;=$J48, BB$3&lt;$M48), $A48, "")</f>
        <v/>
      </c>
      <c r="BB48" s="53" t="str">
        <f aca="false">IF(AND(BC$3&gt;=$J48, BC$3&lt;$M48), $A48, "")</f>
        <v/>
      </c>
      <c r="BC48" s="53" t="str">
        <f aca="false">IF(AND(BD$3&gt;=$J48, BD$3&lt;$M48), $A48, "")</f>
        <v/>
      </c>
      <c r="BD48" s="53" t="str">
        <f aca="false">IF(AND(BE$3&gt;=$J48, BE$3&lt;$M48), $A48, "")</f>
        <v/>
      </c>
      <c r="BE48" s="53" t="str">
        <f aca="false">IF(AND(BF$3&gt;=$J48, BF$3&lt;$M48), $A48, "")</f>
        <v/>
      </c>
      <c r="BF48" s="53" t="str">
        <f aca="false">IF(AND(BG$3&gt;=$J48, BG$3&lt;$M48), $A48, "")</f>
        <v/>
      </c>
      <c r="BG48" s="53" t="str">
        <f aca="false">IF(AND(BH$3&gt;=$J48, BH$3&lt;$M48), $A48, "")</f>
        <v/>
      </c>
      <c r="BH48" s="53" t="str">
        <f aca="false">IF(AND(BI$3&gt;=$J48, BI$3&lt;$M48), $A48, "")</f>
        <v/>
      </c>
      <c r="BI48" s="53" t="str">
        <f aca="false">IF(AND(BJ$3&gt;=$J48, BJ$3&lt;$M48), $A48, "")</f>
        <v/>
      </c>
      <c r="BJ48" s="53" t="str">
        <f aca="false">IF(AND(BK$3&gt;=$J48, BK$3&lt;$M48), $A48, "")</f>
        <v/>
      </c>
      <c r="BK48" s="53" t="str">
        <f aca="false">IF(AND(BL$3&gt;=$J48, BL$3&lt;$M48), $A48, "")</f>
        <v/>
      </c>
      <c r="BL48" s="53" t="str">
        <f aca="false">IF(AND(BM$3&gt;=$J48, BM$3&lt;$M48), $A48, "")</f>
        <v/>
      </c>
      <c r="BM48" s="53" t="str">
        <f aca="false">IF(AND(BN$3&gt;=$J48, BN$3&lt;$M48), $A48, "")</f>
        <v/>
      </c>
      <c r="BN48" s="1" t="str">
        <f aca="false">IF(AND(BO$3&gt;=$J48, BO$3&lt;$M48), $A48, "")</f>
        <v/>
      </c>
      <c r="BO48" s="1" t="str">
        <f aca="false">IF(AND(BP$3&gt;=$J48, BP$3&lt;$M48), $A48, "")</f>
        <v/>
      </c>
      <c r="BP48" s="1" t="str">
        <f aca="false">IF(AND(BQ$3&gt;=$J48, BQ$3&lt;$M48), $A48, "")</f>
        <v/>
      </c>
    </row>
    <row r="49" customFormat="false" ht="15" hidden="false" customHeight="true" outlineLevel="0" collapsed="false">
      <c r="A49" s="46" t="str">
        <f aca="false">IF(Job_Master!A49="","",Job_Master!A49)</f>
        <v>BJ-147</v>
      </c>
      <c r="B49" s="4" t="n">
        <f aca="false">IF($A49="","",Job_Master!B49)</f>
        <v>34</v>
      </c>
      <c r="C49" s="4" t="str">
        <f aca="false">IF($A49="","",Job_Master!C49)</f>
        <v>SOL</v>
      </c>
      <c r="D49" s="4" t="n">
        <f aca="false">IF($A49="","",Job_Master!D49)</f>
        <v>4</v>
      </c>
      <c r="E49" s="48" t="str">
        <f aca="false">IF($A49="","",IFERROR(INDEX(Machine_List!$B$82:$B$86,MATCH("*"&amp;$B49&amp;"*",Machine_List!$J$82:$J$86,0)),"NO COMPATIBLE MACHINE"))</f>
        <v>QC-MC-01</v>
      </c>
      <c r="F49" s="4" t="str">
        <f aca="false">IF($E49="","",IFERROR(VLOOKUP($E49,Machine_List!$B:$G,6,0),""))</f>
        <v>General Workman</v>
      </c>
      <c r="G49" s="55" t="n">
        <f aca="false">IF($E49="","",IFERROR(VLOOKUP($E49,Machine_List!$B:$C,2,0),""))</f>
        <v>46518</v>
      </c>
      <c r="H49" s="4" t="n">
        <f aca="false">IF($E49="","",IFERROR(VLOOKUP($E49,Machine_List!$B:$D,3,0),""))</f>
        <v>6</v>
      </c>
      <c r="I49" s="56"/>
      <c r="J49" s="57" t="n">
        <f aca="true">IF($A49="","",IF($I49&lt;&gt;"",$I49,MAX(FID_Plan!$M49,IFERROR(LOOKUP(2,1/($E$3:INDIRECT("E"&amp;(ROW()-1))=$E49),$M$3:INDIRECT("M"&amp;(ROW()-1))),FID_Plan!$M49))))</f>
        <v>46468.3048941799</v>
      </c>
      <c r="K49" s="4" t="n">
        <f aca="false">IF($A49="","",IFERROR(VLOOKUP(B49,CHOOSE(MATCH(C49,Settings!$L$4:$L$10,0),OPR_2P!$A$4:$I$18,SEG_6P!$A$4:$I$18,SOL_4P!$A$4:$I$18,RW_2P!$A$4:$I$18,RW2_4P!$A$4:$I$18,FLAP_4P!$A$4:$I$18,TUBE_4P!$A$4:$I$18),8,0),0))</f>
        <v>32</v>
      </c>
      <c r="L49" s="4" t="n">
        <f aca="false">IF($A49="","",K49*D49)</f>
        <v>128</v>
      </c>
      <c r="M49" s="57" t="n">
        <f aca="false">IF($A49="","",$J49+($L49/(IF(F49="Contract Workman",Settings!$K$5,Settings!$K$4))))</f>
        <v>46474.2308201058</v>
      </c>
      <c r="N49" s="4" t="str">
        <f aca="false">IF($A49="","",IF(F49="Contract Workman",IF(AND(MOD(M49,1)&gt;=8/24,MOD(M49,1)&lt;20/24),"Shift S1","Shift S2"),IF(AND(MOD(M49,1)&gt;=7/24,MOD(M49,1)&lt;15/24),"Shift A",IF(AND(MOD(M49,1)&gt;=15/24,MOD(M49,1)&lt;23/24),"Shift B","Shift C"))))</f>
        <v>Shift C</v>
      </c>
      <c r="O49" s="52" t="str">
        <f aca="false"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3" t="str">
        <f aca="false">IF(AND(Q$3&gt;=$J49, Q$3&lt;$M49), $A49, "")</f>
        <v/>
      </c>
      <c r="Q49" s="53" t="str">
        <f aca="false">IF(AND(R$3&gt;=$J49, R$3&lt;$M49), $A49, "")</f>
        <v/>
      </c>
      <c r="R49" s="53" t="str">
        <f aca="false">IF(AND(S$3&gt;=$J49, S$3&lt;$M49), $A49, "")</f>
        <v/>
      </c>
      <c r="S49" s="53" t="str">
        <f aca="false">IF(AND(T$3&gt;=$J49, T$3&lt;$M49), $A49, "")</f>
        <v/>
      </c>
      <c r="T49" s="53" t="str">
        <f aca="false">IF(AND(U$3&gt;=$J49, U$3&lt;$M49), $A49, "")</f>
        <v/>
      </c>
      <c r="U49" s="53" t="str">
        <f aca="false">IF(AND(V$3&gt;=$J49, V$3&lt;$M49), $A49, "")</f>
        <v/>
      </c>
      <c r="V49" s="53" t="str">
        <f aca="false">IF(AND(W$3&gt;=$J49, W$3&lt;$M49), $A49, "")</f>
        <v/>
      </c>
      <c r="W49" s="53" t="str">
        <f aca="false">IF(AND(X$3&gt;=$J49, X$3&lt;$M49), $A49, "")</f>
        <v/>
      </c>
      <c r="X49" s="53" t="str">
        <f aca="false">IF(AND(Y$3&gt;=$J49, Y$3&lt;$M49), $A49, "")</f>
        <v/>
      </c>
      <c r="Y49" s="53" t="str">
        <f aca="false">IF(AND(Z$3&gt;=$J49, Z$3&lt;$M49), $A49, "")</f>
        <v/>
      </c>
      <c r="Z49" s="53" t="str">
        <f aca="false">IF(AND(AA$3&gt;=$J49, AA$3&lt;$M49), $A49, "")</f>
        <v/>
      </c>
      <c r="AA49" s="53" t="str">
        <f aca="false">IF(AND(AB$3&gt;=$J49, AB$3&lt;$M49), $A49, "")</f>
        <v/>
      </c>
      <c r="AB49" s="53" t="str">
        <f aca="false">IF(AND(AC$3&gt;=$J49, AC$3&lt;$M49), $A49, "")</f>
        <v/>
      </c>
      <c r="AC49" s="53" t="str">
        <f aca="false">IF(AND(AD$3&gt;=$J49, AD$3&lt;$M49), $A49, "")</f>
        <v/>
      </c>
      <c r="AD49" s="53" t="str">
        <f aca="false">IF(AND(AE$3&gt;=$J49, AE$3&lt;$M49), $A49, "")</f>
        <v/>
      </c>
      <c r="AE49" s="53" t="str">
        <f aca="false">IF(AND(AF$3&gt;=$J49, AF$3&lt;$M49), $A49, "")</f>
        <v/>
      </c>
      <c r="AF49" s="53" t="str">
        <f aca="false">IF(AND(AG$3&gt;=$J49, AG$3&lt;$M49), $A49, "")</f>
        <v/>
      </c>
      <c r="AG49" s="53" t="str">
        <f aca="false">IF(AND(AH$3&gt;=$J49, AH$3&lt;$M49), $A49, "")</f>
        <v/>
      </c>
      <c r="AH49" s="53" t="str">
        <f aca="false">IF(AND(AI$3&gt;=$J49, AI$3&lt;$M49), $A49, "")</f>
        <v/>
      </c>
      <c r="AI49" s="53" t="str">
        <f aca="false">IF(AND(AJ$3&gt;=$J49, AJ$3&lt;$M49), $A49, "")</f>
        <v/>
      </c>
      <c r="AJ49" s="53" t="str">
        <f aca="false">IF(AND(AK$3&gt;=$J49, AK$3&lt;$M49), $A49, "")</f>
        <v/>
      </c>
      <c r="AK49" s="53" t="str">
        <f aca="false">IF(AND(AL$3&gt;=$J49, AL$3&lt;$M49), $A49, "")</f>
        <v/>
      </c>
      <c r="AL49" s="53" t="str">
        <f aca="false">IF(AND(AM$3&gt;=$J49, AM$3&lt;$M49), $A49, "")</f>
        <v/>
      </c>
      <c r="AM49" s="53" t="str">
        <f aca="false">IF(AND(AN$3&gt;=$J49, AN$3&lt;$M49), $A49, "")</f>
        <v/>
      </c>
      <c r="AN49" s="53" t="str">
        <f aca="false">IF(AND(AO$3&gt;=$J49, AO$3&lt;$M49), $A49, "")</f>
        <v/>
      </c>
      <c r="AO49" s="53" t="str">
        <f aca="false">IF(AND(AP$3&gt;=$J49, AP$3&lt;$M49), $A49, "")</f>
        <v/>
      </c>
      <c r="AP49" s="53" t="str">
        <f aca="false">IF(AND(AQ$3&gt;=$J49, AQ$3&lt;$M49), $A49, "")</f>
        <v/>
      </c>
      <c r="AQ49" s="53" t="str">
        <f aca="false">IF(AND(AR$3&gt;=$J49, AR$3&lt;$M49), $A49, "")</f>
        <v/>
      </c>
      <c r="AR49" s="53" t="str">
        <f aca="false">IF(AND(AS$3&gt;=$J49, AS$3&lt;$M49), $A49, "")</f>
        <v/>
      </c>
      <c r="AS49" s="53" t="str">
        <f aca="false">IF(AND(AT$3&gt;=$J49, AT$3&lt;$M49), $A49, "")</f>
        <v/>
      </c>
      <c r="AT49" s="53" t="str">
        <f aca="false">IF(AND(AU$3&gt;=$J49, AU$3&lt;$M49), $A49, "")</f>
        <v/>
      </c>
      <c r="AU49" s="53" t="str">
        <f aca="false">IF(AND(AV$3&gt;=$J49, AV$3&lt;$M49), $A49, "")</f>
        <v/>
      </c>
      <c r="AV49" s="53" t="str">
        <f aca="false">IF(AND(AW$3&gt;=$J49, AW$3&lt;$M49), $A49, "")</f>
        <v/>
      </c>
      <c r="AW49" s="53" t="str">
        <f aca="false">IF(AND(AX$3&gt;=$J49, AX$3&lt;$M49), $A49, "")</f>
        <v/>
      </c>
      <c r="AX49" s="53" t="str">
        <f aca="false">IF(AND(AY$3&gt;=$J49, AY$3&lt;$M49), $A49, "")</f>
        <v/>
      </c>
      <c r="AY49" s="53" t="str">
        <f aca="false">IF(AND(AZ$3&gt;=$J49, AZ$3&lt;$M49), $A49, "")</f>
        <v/>
      </c>
      <c r="AZ49" s="53" t="str">
        <f aca="false">IF(AND(BA$3&gt;=$J49, BA$3&lt;$M49), $A49, "")</f>
        <v/>
      </c>
      <c r="BA49" s="53" t="str">
        <f aca="false">IF(AND(BB$3&gt;=$J49, BB$3&lt;$M49), $A49, "")</f>
        <v/>
      </c>
      <c r="BB49" s="53" t="str">
        <f aca="false">IF(AND(BC$3&gt;=$J49, BC$3&lt;$M49), $A49, "")</f>
        <v/>
      </c>
      <c r="BC49" s="53" t="str">
        <f aca="false">IF(AND(BD$3&gt;=$J49, BD$3&lt;$M49), $A49, "")</f>
        <v/>
      </c>
      <c r="BD49" s="53" t="str">
        <f aca="false">IF(AND(BE$3&gt;=$J49, BE$3&lt;$M49), $A49, "")</f>
        <v/>
      </c>
      <c r="BE49" s="53" t="str">
        <f aca="false">IF(AND(BF$3&gt;=$J49, BF$3&lt;$M49), $A49, "")</f>
        <v/>
      </c>
      <c r="BF49" s="53" t="str">
        <f aca="false">IF(AND(BG$3&gt;=$J49, BG$3&lt;$M49), $A49, "")</f>
        <v/>
      </c>
      <c r="BG49" s="53" t="str">
        <f aca="false">IF(AND(BH$3&gt;=$J49, BH$3&lt;$M49), $A49, "")</f>
        <v/>
      </c>
      <c r="BH49" s="53" t="str">
        <f aca="false">IF(AND(BI$3&gt;=$J49, BI$3&lt;$M49), $A49, "")</f>
        <v/>
      </c>
      <c r="BI49" s="53" t="str">
        <f aca="false">IF(AND(BJ$3&gt;=$J49, BJ$3&lt;$M49), $A49, "")</f>
        <v/>
      </c>
      <c r="BJ49" s="53" t="str">
        <f aca="false">IF(AND(BK$3&gt;=$J49, BK$3&lt;$M49), $A49, "")</f>
        <v/>
      </c>
      <c r="BK49" s="53" t="str">
        <f aca="false">IF(AND(BL$3&gt;=$J49, BL$3&lt;$M49), $A49, "")</f>
        <v/>
      </c>
      <c r="BL49" s="53" t="str">
        <f aca="false">IF(AND(BM$3&gt;=$J49, BM$3&lt;$M49), $A49, "")</f>
        <v/>
      </c>
      <c r="BM49" s="53" t="str">
        <f aca="false">IF(AND(BN$3&gt;=$J49, BN$3&lt;$M49), $A49, "")</f>
        <v/>
      </c>
      <c r="BN49" s="1" t="str">
        <f aca="false">IF(AND(BO$3&gt;=$J49, BO$3&lt;$M49), $A49, "")</f>
        <v/>
      </c>
      <c r="BO49" s="1" t="str">
        <f aca="false">IF(AND(BP$3&gt;=$J49, BP$3&lt;$M49), $A49, "")</f>
        <v/>
      </c>
      <c r="BP49" s="1" t="str">
        <f aca="false">IF(AND(BQ$3&gt;=$J49, BQ$3&lt;$M49), $A49, "")</f>
        <v/>
      </c>
    </row>
    <row r="50" customFormat="false" ht="15" hidden="false" customHeight="true" outlineLevel="0" collapsed="false">
      <c r="A50" s="46" t="str">
        <f aca="false">IF(Job_Master!A50="","",Job_Master!A50)</f>
        <v>BJ-150</v>
      </c>
      <c r="B50" s="4" t="n">
        <f aca="false">IF($A50="","",Job_Master!B50)</f>
        <v>34</v>
      </c>
      <c r="C50" s="4" t="str">
        <f aca="false">IF($A50="","",Job_Master!C50)</f>
        <v>SOL</v>
      </c>
      <c r="D50" s="4" t="n">
        <f aca="false">IF($A50="","",Job_Master!D50)</f>
        <v>4</v>
      </c>
      <c r="E50" s="48" t="str">
        <f aca="false">IF($A50="","",IFERROR(INDEX(Machine_List!$B$82:$B$86,MATCH("*"&amp;$B50&amp;"*",Machine_List!$J$82:$J$86,0)),"NO COMPATIBLE MACHINE"))</f>
        <v>QC-MC-01</v>
      </c>
      <c r="F50" s="4" t="str">
        <f aca="false">IF($E50="","",IFERROR(VLOOKUP($E50,Machine_List!$B:$G,6,0),""))</f>
        <v>General Workman</v>
      </c>
      <c r="G50" s="55" t="n">
        <f aca="false">IF($E50="","",IFERROR(VLOOKUP($E50,Machine_List!$B:$C,2,0),""))</f>
        <v>46518</v>
      </c>
      <c r="H50" s="4" t="n">
        <f aca="false">IF($E50="","",IFERROR(VLOOKUP($E50,Machine_List!$B:$D,3,0),""))</f>
        <v>6</v>
      </c>
      <c r="I50" s="56"/>
      <c r="J50" s="57" t="n">
        <f aca="true">IF($A50="","",IF($I50&lt;&gt;"",$I50,MAX(FID_Plan!$M50,IFERROR(LOOKUP(2,1/($E$3:INDIRECT("E"&amp;(ROW()-1))=$E50),$M$3:INDIRECT("M"&amp;(ROW()-1))),FID_Plan!$M50))))</f>
        <v>46474.2308201058</v>
      </c>
      <c r="K50" s="4" t="n">
        <f aca="false">IF($A50="","",IFERROR(VLOOKUP(B50,CHOOSE(MATCH(C50,Settings!$L$4:$L$10,0),OPR_2P!$A$4:$I$18,SEG_6P!$A$4:$I$18,SOL_4P!$A$4:$I$18,RW_2P!$A$4:$I$18,RW2_4P!$A$4:$I$18,FLAP_4P!$A$4:$I$18,TUBE_4P!$A$4:$I$18),8,0),0))</f>
        <v>32</v>
      </c>
      <c r="L50" s="4" t="n">
        <f aca="false">IF($A50="","",K50*D50)</f>
        <v>128</v>
      </c>
      <c r="M50" s="57" t="n">
        <f aca="false">IF($A50="","",$J50+($L50/(IF(F50="Contract Workman",Settings!$K$5,Settings!$K$4))))</f>
        <v>46480.1567460317</v>
      </c>
      <c r="N50" s="4" t="str">
        <f aca="false">IF($A50="","",IF(F50="Contract Workman",IF(AND(MOD(M50,1)&gt;=8/24,MOD(M50,1)&lt;20/24),"Shift S1","Shift S2"),IF(AND(MOD(M50,1)&gt;=7/24,MOD(M50,1)&lt;15/24),"Shift A",IF(AND(MOD(M50,1)&gt;=15/24,MOD(M50,1)&lt;23/24),"Shift B","Shift C"))))</f>
        <v>Shift C</v>
      </c>
      <c r="O50" s="52" t="str">
        <f aca="false"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3" t="str">
        <f aca="false">IF(AND(Q$3&gt;=$J50, Q$3&lt;$M50), $A50, "")</f>
        <v/>
      </c>
      <c r="Q50" s="53" t="str">
        <f aca="false">IF(AND(R$3&gt;=$J50, R$3&lt;$M50), $A50, "")</f>
        <v/>
      </c>
      <c r="R50" s="53" t="str">
        <f aca="false">IF(AND(S$3&gt;=$J50, S$3&lt;$M50), $A50, "")</f>
        <v/>
      </c>
      <c r="S50" s="53" t="str">
        <f aca="false">IF(AND(T$3&gt;=$J50, T$3&lt;$M50), $A50, "")</f>
        <v/>
      </c>
      <c r="T50" s="53" t="str">
        <f aca="false">IF(AND(U$3&gt;=$J50, U$3&lt;$M50), $A50, "")</f>
        <v/>
      </c>
      <c r="U50" s="53" t="str">
        <f aca="false">IF(AND(V$3&gt;=$J50, V$3&lt;$M50), $A50, "")</f>
        <v/>
      </c>
      <c r="V50" s="53" t="str">
        <f aca="false">IF(AND(W$3&gt;=$J50, W$3&lt;$M50), $A50, "")</f>
        <v/>
      </c>
      <c r="W50" s="53" t="str">
        <f aca="false">IF(AND(X$3&gt;=$J50, X$3&lt;$M50), $A50, "")</f>
        <v/>
      </c>
      <c r="X50" s="53" t="str">
        <f aca="false">IF(AND(Y$3&gt;=$J50, Y$3&lt;$M50), $A50, "")</f>
        <v/>
      </c>
      <c r="Y50" s="53" t="str">
        <f aca="false">IF(AND(Z$3&gt;=$J50, Z$3&lt;$M50), $A50, "")</f>
        <v/>
      </c>
      <c r="Z50" s="53" t="str">
        <f aca="false">IF(AND(AA$3&gt;=$J50, AA$3&lt;$M50), $A50, "")</f>
        <v/>
      </c>
      <c r="AA50" s="53" t="str">
        <f aca="false">IF(AND(AB$3&gt;=$J50, AB$3&lt;$M50), $A50, "")</f>
        <v/>
      </c>
      <c r="AB50" s="53" t="str">
        <f aca="false">IF(AND(AC$3&gt;=$J50, AC$3&lt;$M50), $A50, "")</f>
        <v/>
      </c>
      <c r="AC50" s="53" t="str">
        <f aca="false">IF(AND(AD$3&gt;=$J50, AD$3&lt;$M50), $A50, "")</f>
        <v/>
      </c>
      <c r="AD50" s="53" t="str">
        <f aca="false">IF(AND(AE$3&gt;=$J50, AE$3&lt;$M50), $A50, "")</f>
        <v/>
      </c>
      <c r="AE50" s="53" t="str">
        <f aca="false">IF(AND(AF$3&gt;=$J50, AF$3&lt;$M50), $A50, "")</f>
        <v/>
      </c>
      <c r="AF50" s="53" t="str">
        <f aca="false">IF(AND(AG$3&gt;=$J50, AG$3&lt;$M50), $A50, "")</f>
        <v/>
      </c>
      <c r="AG50" s="53" t="str">
        <f aca="false">IF(AND(AH$3&gt;=$J50, AH$3&lt;$M50), $A50, "")</f>
        <v/>
      </c>
      <c r="AH50" s="53" t="str">
        <f aca="false">IF(AND(AI$3&gt;=$J50, AI$3&lt;$M50), $A50, "")</f>
        <v/>
      </c>
      <c r="AI50" s="53" t="str">
        <f aca="false">IF(AND(AJ$3&gt;=$J50, AJ$3&lt;$M50), $A50, "")</f>
        <v/>
      </c>
      <c r="AJ50" s="53" t="str">
        <f aca="false">IF(AND(AK$3&gt;=$J50, AK$3&lt;$M50), $A50, "")</f>
        <v/>
      </c>
      <c r="AK50" s="53" t="str">
        <f aca="false">IF(AND(AL$3&gt;=$J50, AL$3&lt;$M50), $A50, "")</f>
        <v/>
      </c>
      <c r="AL50" s="53" t="str">
        <f aca="false">IF(AND(AM$3&gt;=$J50, AM$3&lt;$M50), $A50, "")</f>
        <v/>
      </c>
      <c r="AM50" s="53" t="str">
        <f aca="false">IF(AND(AN$3&gt;=$J50, AN$3&lt;$M50), $A50, "")</f>
        <v/>
      </c>
      <c r="AN50" s="53" t="str">
        <f aca="false">IF(AND(AO$3&gt;=$J50, AO$3&lt;$M50), $A50, "")</f>
        <v/>
      </c>
      <c r="AO50" s="53" t="str">
        <f aca="false">IF(AND(AP$3&gt;=$J50, AP$3&lt;$M50), $A50, "")</f>
        <v/>
      </c>
      <c r="AP50" s="53" t="str">
        <f aca="false">IF(AND(AQ$3&gt;=$J50, AQ$3&lt;$M50), $A50, "")</f>
        <v/>
      </c>
      <c r="AQ50" s="53" t="str">
        <f aca="false">IF(AND(AR$3&gt;=$J50, AR$3&lt;$M50), $A50, "")</f>
        <v/>
      </c>
      <c r="AR50" s="53" t="str">
        <f aca="false">IF(AND(AS$3&gt;=$J50, AS$3&lt;$M50), $A50, "")</f>
        <v/>
      </c>
      <c r="AS50" s="53" t="str">
        <f aca="false">IF(AND(AT$3&gt;=$J50, AT$3&lt;$M50), $A50, "")</f>
        <v/>
      </c>
      <c r="AT50" s="53" t="str">
        <f aca="false">IF(AND(AU$3&gt;=$J50, AU$3&lt;$M50), $A50, "")</f>
        <v/>
      </c>
      <c r="AU50" s="53" t="str">
        <f aca="false">IF(AND(AV$3&gt;=$J50, AV$3&lt;$M50), $A50, "")</f>
        <v/>
      </c>
      <c r="AV50" s="53" t="str">
        <f aca="false">IF(AND(AW$3&gt;=$J50, AW$3&lt;$M50), $A50, "")</f>
        <v/>
      </c>
      <c r="AW50" s="53" t="str">
        <f aca="false">IF(AND(AX$3&gt;=$J50, AX$3&lt;$M50), $A50, "")</f>
        <v/>
      </c>
      <c r="AX50" s="53" t="str">
        <f aca="false">IF(AND(AY$3&gt;=$J50, AY$3&lt;$M50), $A50, "")</f>
        <v/>
      </c>
      <c r="AY50" s="53" t="str">
        <f aca="false">IF(AND(AZ$3&gt;=$J50, AZ$3&lt;$M50), $A50, "")</f>
        <v/>
      </c>
      <c r="AZ50" s="53" t="str">
        <f aca="false">IF(AND(BA$3&gt;=$J50, BA$3&lt;$M50), $A50, "")</f>
        <v/>
      </c>
      <c r="BA50" s="53" t="str">
        <f aca="false">IF(AND(BB$3&gt;=$J50, BB$3&lt;$M50), $A50, "")</f>
        <v/>
      </c>
      <c r="BB50" s="53" t="str">
        <f aca="false">IF(AND(BC$3&gt;=$J50, BC$3&lt;$M50), $A50, "")</f>
        <v/>
      </c>
      <c r="BC50" s="53" t="str">
        <f aca="false">IF(AND(BD$3&gt;=$J50, BD$3&lt;$M50), $A50, "")</f>
        <v/>
      </c>
      <c r="BD50" s="53" t="str">
        <f aca="false">IF(AND(BE$3&gt;=$J50, BE$3&lt;$M50), $A50, "")</f>
        <v/>
      </c>
      <c r="BE50" s="53" t="str">
        <f aca="false">IF(AND(BF$3&gt;=$J50, BF$3&lt;$M50), $A50, "")</f>
        <v/>
      </c>
      <c r="BF50" s="53" t="str">
        <f aca="false">IF(AND(BG$3&gt;=$J50, BG$3&lt;$M50), $A50, "")</f>
        <v/>
      </c>
      <c r="BG50" s="53" t="str">
        <f aca="false">IF(AND(BH$3&gt;=$J50, BH$3&lt;$M50), $A50, "")</f>
        <v/>
      </c>
      <c r="BH50" s="53" t="str">
        <f aca="false">IF(AND(BI$3&gt;=$J50, BI$3&lt;$M50), $A50, "")</f>
        <v/>
      </c>
      <c r="BI50" s="53" t="str">
        <f aca="false">IF(AND(BJ$3&gt;=$J50, BJ$3&lt;$M50), $A50, "")</f>
        <v/>
      </c>
      <c r="BJ50" s="53" t="str">
        <f aca="false">IF(AND(BK$3&gt;=$J50, BK$3&lt;$M50), $A50, "")</f>
        <v/>
      </c>
      <c r="BK50" s="53" t="str">
        <f aca="false">IF(AND(BL$3&gt;=$J50, BL$3&lt;$M50), $A50, "")</f>
        <v/>
      </c>
      <c r="BL50" s="53" t="str">
        <f aca="false">IF(AND(BM$3&gt;=$J50, BM$3&lt;$M50), $A50, "")</f>
        <v/>
      </c>
      <c r="BM50" s="53" t="str">
        <f aca="false">IF(AND(BN$3&gt;=$J50, BN$3&lt;$M50), $A50, "")</f>
        <v/>
      </c>
      <c r="BN50" s="1" t="str">
        <f aca="false">IF(AND(BO$3&gt;=$J50, BO$3&lt;$M50), $A50, "")</f>
        <v/>
      </c>
      <c r="BO50" s="1" t="str">
        <f aca="false">IF(AND(BP$3&gt;=$J50, BP$3&lt;$M50), $A50, "")</f>
        <v/>
      </c>
      <c r="BP50" s="1" t="str">
        <f aca="false">IF(AND(BQ$3&gt;=$J50, BQ$3&lt;$M50), $A50, "")</f>
        <v/>
      </c>
    </row>
    <row r="51" customFormat="false" ht="15" hidden="false" customHeight="true" outlineLevel="0" collapsed="false">
      <c r="A51" s="46" t="str">
        <f aca="false">IF(Job_Master!A51="","",Job_Master!A51)</f>
        <v>BJ-151</v>
      </c>
      <c r="B51" s="4" t="n">
        <f aca="false">IF($A51="","",Job_Master!B51)</f>
        <v>25</v>
      </c>
      <c r="C51" s="4" t="str">
        <f aca="false">IF($A51="","",Job_Master!C51)</f>
        <v>SOL</v>
      </c>
      <c r="D51" s="4" t="n">
        <f aca="false">IF($A51="","",Job_Master!D51)</f>
        <v>4</v>
      </c>
      <c r="E51" s="48" t="str">
        <f aca="false">IF($A51="","",IFERROR(INDEX(Machine_List!$B$82:$B$86,MATCH("*"&amp;$B51&amp;"*",Machine_List!$J$82:$J$86,0)),"NO COMPATIBLE MACHINE"))</f>
        <v>QC-MC-01</v>
      </c>
      <c r="F51" s="4" t="str">
        <f aca="false">IF($E51="","",IFERROR(VLOOKUP($E51,Machine_List!$B:$G,6,0),""))</f>
        <v>General Workman</v>
      </c>
      <c r="G51" s="55" t="n">
        <f aca="false">IF($E51="","",IFERROR(VLOOKUP($E51,Machine_List!$B:$C,2,0),""))</f>
        <v>46518</v>
      </c>
      <c r="H51" s="4" t="n">
        <f aca="false">IF($E51="","",IFERROR(VLOOKUP($E51,Machine_List!$B:$D,3,0),""))</f>
        <v>6</v>
      </c>
      <c r="I51" s="56"/>
      <c r="J51" s="57" t="n">
        <f aca="true">IF($A51="","",IF($I51&lt;&gt;"",$I51,MAX(FID_Plan!$M51,IFERROR(LOOKUP(2,1/($E$3:INDIRECT("E"&amp;(ROW()-1))=$E51),$M$3:INDIRECT("M"&amp;(ROW()-1))),FID_Plan!$M51))))</f>
        <v>46480.1567460317</v>
      </c>
      <c r="K51" s="4" t="n">
        <f aca="false">IF($A51="","",IFERROR(VLOOKUP(B51,CHOOSE(MATCH(C51,Settings!$L$4:$L$10,0),OPR_2P!$A$4:$I$18,SEG_6P!$A$4:$I$18,SOL_4P!$A$4:$I$18,RW_2P!$A$4:$I$18,RW2_4P!$A$4:$I$18,FLAP_4P!$A$4:$I$18,TUBE_4P!$A$4:$I$18),8,0),0))</f>
        <v>23</v>
      </c>
      <c r="L51" s="4" t="n">
        <f aca="false">IF($A51="","",K51*D51)</f>
        <v>92</v>
      </c>
      <c r="M51" s="57" t="n">
        <f aca="false">IF($A51="","",$J51+($L51/(IF(F51="Contract Workman",Settings!$K$5,Settings!$K$4))))</f>
        <v>46484.416005291</v>
      </c>
      <c r="N51" s="4" t="str">
        <f aca="false">IF($A51="","",IF(F51="Contract Workman",IF(AND(MOD(M51,1)&gt;=8/24,MOD(M51,1)&lt;20/24),"Shift S1","Shift S2"),IF(AND(MOD(M51,1)&gt;=7/24,MOD(M51,1)&lt;15/24),"Shift A",IF(AND(MOD(M51,1)&gt;=15/24,MOD(M51,1)&lt;23/24),"Shift B","Shift C"))))</f>
        <v>Shift A</v>
      </c>
      <c r="O51" s="52" t="str">
        <f aca="false"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3" t="str">
        <f aca="false">IF(AND(Q$3&gt;=$J51, Q$3&lt;$M51), $A51, "")</f>
        <v/>
      </c>
      <c r="Q51" s="53" t="str">
        <f aca="false">IF(AND(R$3&gt;=$J51, R$3&lt;$M51), $A51, "")</f>
        <v/>
      </c>
      <c r="R51" s="53" t="str">
        <f aca="false">IF(AND(S$3&gt;=$J51, S$3&lt;$M51), $A51, "")</f>
        <v/>
      </c>
      <c r="S51" s="53" t="str">
        <f aca="false">IF(AND(T$3&gt;=$J51, T$3&lt;$M51), $A51, "")</f>
        <v/>
      </c>
      <c r="T51" s="53" t="str">
        <f aca="false">IF(AND(U$3&gt;=$J51, U$3&lt;$M51), $A51, "")</f>
        <v/>
      </c>
      <c r="U51" s="53" t="str">
        <f aca="false">IF(AND(V$3&gt;=$J51, V$3&lt;$M51), $A51, "")</f>
        <v/>
      </c>
      <c r="V51" s="53" t="str">
        <f aca="false">IF(AND(W$3&gt;=$J51, W$3&lt;$M51), $A51, "")</f>
        <v/>
      </c>
      <c r="W51" s="53" t="str">
        <f aca="false">IF(AND(X$3&gt;=$J51, X$3&lt;$M51), $A51, "")</f>
        <v/>
      </c>
      <c r="X51" s="53" t="str">
        <f aca="false">IF(AND(Y$3&gt;=$J51, Y$3&lt;$M51), $A51, "")</f>
        <v/>
      </c>
      <c r="Y51" s="53" t="str">
        <f aca="false">IF(AND(Z$3&gt;=$J51, Z$3&lt;$M51), $A51, "")</f>
        <v/>
      </c>
      <c r="Z51" s="53" t="str">
        <f aca="false">IF(AND(AA$3&gt;=$J51, AA$3&lt;$M51), $A51, "")</f>
        <v/>
      </c>
      <c r="AA51" s="53" t="str">
        <f aca="false">IF(AND(AB$3&gt;=$J51, AB$3&lt;$M51), $A51, "")</f>
        <v/>
      </c>
      <c r="AB51" s="53" t="str">
        <f aca="false">IF(AND(AC$3&gt;=$J51, AC$3&lt;$M51), $A51, "")</f>
        <v/>
      </c>
      <c r="AC51" s="53" t="str">
        <f aca="false">IF(AND(AD$3&gt;=$J51, AD$3&lt;$M51), $A51, "")</f>
        <v/>
      </c>
      <c r="AD51" s="53" t="str">
        <f aca="false">IF(AND(AE$3&gt;=$J51, AE$3&lt;$M51), $A51, "")</f>
        <v/>
      </c>
      <c r="AE51" s="53" t="str">
        <f aca="false">IF(AND(AF$3&gt;=$J51, AF$3&lt;$M51), $A51, "")</f>
        <v/>
      </c>
      <c r="AF51" s="53" t="str">
        <f aca="false">IF(AND(AG$3&gt;=$J51, AG$3&lt;$M51), $A51, "")</f>
        <v/>
      </c>
      <c r="AG51" s="53" t="str">
        <f aca="false">IF(AND(AH$3&gt;=$J51, AH$3&lt;$M51), $A51, "")</f>
        <v/>
      </c>
      <c r="AH51" s="53" t="str">
        <f aca="false">IF(AND(AI$3&gt;=$J51, AI$3&lt;$M51), $A51, "")</f>
        <v/>
      </c>
      <c r="AI51" s="53" t="str">
        <f aca="false">IF(AND(AJ$3&gt;=$J51, AJ$3&lt;$M51), $A51, "")</f>
        <v/>
      </c>
      <c r="AJ51" s="53" t="str">
        <f aca="false">IF(AND(AK$3&gt;=$J51, AK$3&lt;$M51), $A51, "")</f>
        <v/>
      </c>
      <c r="AK51" s="53" t="str">
        <f aca="false">IF(AND(AL$3&gt;=$J51, AL$3&lt;$M51), $A51, "")</f>
        <v/>
      </c>
      <c r="AL51" s="53" t="str">
        <f aca="false">IF(AND(AM$3&gt;=$J51, AM$3&lt;$M51), $A51, "")</f>
        <v/>
      </c>
      <c r="AM51" s="53" t="str">
        <f aca="false">IF(AND(AN$3&gt;=$J51, AN$3&lt;$M51), $A51, "")</f>
        <v/>
      </c>
      <c r="AN51" s="53" t="str">
        <f aca="false">IF(AND(AO$3&gt;=$J51, AO$3&lt;$M51), $A51, "")</f>
        <v/>
      </c>
      <c r="AO51" s="53" t="str">
        <f aca="false">IF(AND(AP$3&gt;=$J51, AP$3&lt;$M51), $A51, "")</f>
        <v/>
      </c>
      <c r="AP51" s="53" t="str">
        <f aca="false">IF(AND(AQ$3&gt;=$J51, AQ$3&lt;$M51), $A51, "")</f>
        <v/>
      </c>
      <c r="AQ51" s="53" t="str">
        <f aca="false">IF(AND(AR$3&gt;=$J51, AR$3&lt;$M51), $A51, "")</f>
        <v/>
      </c>
      <c r="AR51" s="53" t="str">
        <f aca="false">IF(AND(AS$3&gt;=$J51, AS$3&lt;$M51), $A51, "")</f>
        <v/>
      </c>
      <c r="AS51" s="53" t="str">
        <f aca="false">IF(AND(AT$3&gt;=$J51, AT$3&lt;$M51), $A51, "")</f>
        <v/>
      </c>
      <c r="AT51" s="53" t="str">
        <f aca="false">IF(AND(AU$3&gt;=$J51, AU$3&lt;$M51), $A51, "")</f>
        <v/>
      </c>
      <c r="AU51" s="53" t="str">
        <f aca="false">IF(AND(AV$3&gt;=$J51, AV$3&lt;$M51), $A51, "")</f>
        <v/>
      </c>
      <c r="AV51" s="53" t="str">
        <f aca="false">IF(AND(AW$3&gt;=$J51, AW$3&lt;$M51), $A51, "")</f>
        <v/>
      </c>
      <c r="AW51" s="53" t="str">
        <f aca="false">IF(AND(AX$3&gt;=$J51, AX$3&lt;$M51), $A51, "")</f>
        <v/>
      </c>
      <c r="AX51" s="53" t="str">
        <f aca="false">IF(AND(AY$3&gt;=$J51, AY$3&lt;$M51), $A51, "")</f>
        <v/>
      </c>
      <c r="AY51" s="53" t="str">
        <f aca="false">IF(AND(AZ$3&gt;=$J51, AZ$3&lt;$M51), $A51, "")</f>
        <v/>
      </c>
      <c r="AZ51" s="53" t="str">
        <f aca="false">IF(AND(BA$3&gt;=$J51, BA$3&lt;$M51), $A51, "")</f>
        <v/>
      </c>
      <c r="BA51" s="53" t="str">
        <f aca="false">IF(AND(BB$3&gt;=$J51, BB$3&lt;$M51), $A51, "")</f>
        <v/>
      </c>
      <c r="BB51" s="53" t="str">
        <f aca="false">IF(AND(BC$3&gt;=$J51, BC$3&lt;$M51), $A51, "")</f>
        <v/>
      </c>
      <c r="BC51" s="53" t="str">
        <f aca="false">IF(AND(BD$3&gt;=$J51, BD$3&lt;$M51), $A51, "")</f>
        <v/>
      </c>
      <c r="BD51" s="53" t="str">
        <f aca="false">IF(AND(BE$3&gt;=$J51, BE$3&lt;$M51), $A51, "")</f>
        <v/>
      </c>
      <c r="BE51" s="53" t="str">
        <f aca="false">IF(AND(BF$3&gt;=$J51, BF$3&lt;$M51), $A51, "")</f>
        <v/>
      </c>
      <c r="BF51" s="53" t="str">
        <f aca="false">IF(AND(BG$3&gt;=$J51, BG$3&lt;$M51), $A51, "")</f>
        <v/>
      </c>
      <c r="BG51" s="53" t="str">
        <f aca="false">IF(AND(BH$3&gt;=$J51, BH$3&lt;$M51), $A51, "")</f>
        <v/>
      </c>
      <c r="BH51" s="53" t="str">
        <f aca="false">IF(AND(BI$3&gt;=$J51, BI$3&lt;$M51), $A51, "")</f>
        <v/>
      </c>
      <c r="BI51" s="53" t="str">
        <f aca="false">IF(AND(BJ$3&gt;=$J51, BJ$3&lt;$M51), $A51, "")</f>
        <v/>
      </c>
      <c r="BJ51" s="53" t="str">
        <f aca="false">IF(AND(BK$3&gt;=$J51, BK$3&lt;$M51), $A51, "")</f>
        <v/>
      </c>
      <c r="BK51" s="53" t="str">
        <f aca="false">IF(AND(BL$3&gt;=$J51, BL$3&lt;$M51), $A51, "")</f>
        <v/>
      </c>
      <c r="BL51" s="53" t="str">
        <f aca="false">IF(AND(BM$3&gt;=$J51, BM$3&lt;$M51), $A51, "")</f>
        <v/>
      </c>
      <c r="BM51" s="53" t="str">
        <f aca="false">IF(AND(BN$3&gt;=$J51, BN$3&lt;$M51), $A51, "")</f>
        <v/>
      </c>
      <c r="BN51" s="1" t="str">
        <f aca="false">IF(AND(BO$3&gt;=$J51, BO$3&lt;$M51), $A51, "")</f>
        <v/>
      </c>
      <c r="BO51" s="1" t="str">
        <f aca="false">IF(AND(BP$3&gt;=$J51, BP$3&lt;$M51), $A51, "")</f>
        <v/>
      </c>
      <c r="BP51" s="1" t="str">
        <f aca="false">IF(AND(BQ$3&gt;=$J51, BQ$3&lt;$M51), $A51, "")</f>
        <v/>
      </c>
    </row>
    <row r="52" customFormat="false" ht="15" hidden="false" customHeight="true" outlineLevel="0" collapsed="false">
      <c r="A52" s="46" t="str">
        <f aca="false">IF(Job_Master!A52="","",Job_Master!A52)</f>
        <v>BJ-152</v>
      </c>
      <c r="B52" s="4" t="n">
        <f aca="false">IF($A52="","",Job_Master!B52)</f>
        <v>34</v>
      </c>
      <c r="C52" s="4" t="str">
        <f aca="false">IF($A52="","",Job_Master!C52)</f>
        <v>2P</v>
      </c>
      <c r="D52" s="4" t="n">
        <f aca="false">IF($A52="","",Job_Master!D52)</f>
        <v>2</v>
      </c>
      <c r="E52" s="48" t="str">
        <f aca="false">IF($A52="","",IFERROR(INDEX(Machine_List!$B$82:$B$86,MATCH("*"&amp;$B52&amp;"*",Machine_List!$J$82:$J$86,0)),"NO COMPATIBLE MACHINE"))</f>
        <v>QC-MC-01</v>
      </c>
      <c r="F52" s="4" t="str">
        <f aca="false">IF($E52="","",IFERROR(VLOOKUP($E52,Machine_List!$B:$G,6,0),""))</f>
        <v>General Workman</v>
      </c>
      <c r="G52" s="55" t="n">
        <f aca="false">IF($E52="","",IFERROR(VLOOKUP($E52,Machine_List!$B:$C,2,0),""))</f>
        <v>46518</v>
      </c>
      <c r="H52" s="4" t="n">
        <f aca="false">IF($E52="","",IFERROR(VLOOKUP($E52,Machine_List!$B:$D,3,0),""))</f>
        <v>6</v>
      </c>
      <c r="I52" s="56"/>
      <c r="J52" s="57" t="n">
        <f aca="true">IF($A52="","",IF($I52&lt;&gt;"",$I52,MAX(FID_Plan!$M52,IFERROR(LOOKUP(2,1/($E$3:INDIRECT("E"&amp;(ROW()-1))=$E52),$M$3:INDIRECT("M"&amp;(ROW()-1))),FID_Plan!$M52))))</f>
        <v>46484.416005291</v>
      </c>
      <c r="K52" s="4" t="n">
        <f aca="false">IF($A52="","",IFERROR(VLOOKUP(B52,CHOOSE(MATCH(C52,Settings!$L$4:$L$10,0),OPR_2P!$A$4:$I$18,SEG_6P!$A$4:$I$18,SOL_4P!$A$4:$I$18,RW_2P!$A$4:$I$18,RW2_4P!$A$4:$I$18,FLAP_4P!$A$4:$I$18,TUBE_4P!$A$4:$I$18),8,0),0))</f>
        <v>27</v>
      </c>
      <c r="L52" s="4" t="n">
        <f aca="false">IF($A52="","",K52*D52)</f>
        <v>54</v>
      </c>
      <c r="M52" s="57" t="n">
        <f aca="false">IF($A52="","",$J52+($L52/(IF(F52="Contract Workman",Settings!$K$5,Settings!$K$4))))</f>
        <v>46486.916005291</v>
      </c>
      <c r="N52" s="4" t="str">
        <f aca="false">IF($A52="","",IF(F52="Contract Workman",IF(AND(MOD(M52,1)&gt;=8/24,MOD(M52,1)&lt;20/24),"Shift S1","Shift S2"),IF(AND(MOD(M52,1)&gt;=7/24,MOD(M52,1)&lt;15/24),"Shift A",IF(AND(MOD(M52,1)&gt;=15/24,MOD(M52,1)&lt;23/24),"Shift B","Shift C"))))</f>
        <v>Shift B</v>
      </c>
      <c r="O52" s="52" t="str">
        <f aca="false"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3" t="str">
        <f aca="false">IF(AND(Q$3&gt;=$J52, Q$3&lt;$M52), $A52, "")</f>
        <v/>
      </c>
      <c r="Q52" s="53" t="str">
        <f aca="false">IF(AND(R$3&gt;=$J52, R$3&lt;$M52), $A52, "")</f>
        <v/>
      </c>
      <c r="R52" s="53" t="str">
        <f aca="false">IF(AND(S$3&gt;=$J52, S$3&lt;$M52), $A52, "")</f>
        <v/>
      </c>
      <c r="S52" s="53" t="str">
        <f aca="false">IF(AND(T$3&gt;=$J52, T$3&lt;$M52), $A52, "")</f>
        <v/>
      </c>
      <c r="T52" s="53" t="str">
        <f aca="false">IF(AND(U$3&gt;=$J52, U$3&lt;$M52), $A52, "")</f>
        <v/>
      </c>
      <c r="U52" s="53" t="str">
        <f aca="false">IF(AND(V$3&gt;=$J52, V$3&lt;$M52), $A52, "")</f>
        <v/>
      </c>
      <c r="V52" s="53" t="str">
        <f aca="false">IF(AND(W$3&gt;=$J52, W$3&lt;$M52), $A52, "")</f>
        <v/>
      </c>
      <c r="W52" s="53" t="str">
        <f aca="false">IF(AND(X$3&gt;=$J52, X$3&lt;$M52), $A52, "")</f>
        <v/>
      </c>
      <c r="X52" s="53" t="str">
        <f aca="false">IF(AND(Y$3&gt;=$J52, Y$3&lt;$M52), $A52, "")</f>
        <v/>
      </c>
      <c r="Y52" s="53" t="str">
        <f aca="false">IF(AND(Z$3&gt;=$J52, Z$3&lt;$M52), $A52, "")</f>
        <v/>
      </c>
      <c r="Z52" s="53" t="str">
        <f aca="false">IF(AND(AA$3&gt;=$J52, AA$3&lt;$M52), $A52, "")</f>
        <v/>
      </c>
      <c r="AA52" s="53" t="str">
        <f aca="false">IF(AND(AB$3&gt;=$J52, AB$3&lt;$M52), $A52, "")</f>
        <v/>
      </c>
      <c r="AB52" s="53" t="str">
        <f aca="false">IF(AND(AC$3&gt;=$J52, AC$3&lt;$M52), $A52, "")</f>
        <v/>
      </c>
      <c r="AC52" s="53" t="str">
        <f aca="false">IF(AND(AD$3&gt;=$J52, AD$3&lt;$M52), $A52, "")</f>
        <v/>
      </c>
      <c r="AD52" s="53" t="str">
        <f aca="false">IF(AND(AE$3&gt;=$J52, AE$3&lt;$M52), $A52, "")</f>
        <v/>
      </c>
      <c r="AE52" s="53" t="str">
        <f aca="false">IF(AND(AF$3&gt;=$J52, AF$3&lt;$M52), $A52, "")</f>
        <v/>
      </c>
      <c r="AF52" s="53" t="str">
        <f aca="false">IF(AND(AG$3&gt;=$J52, AG$3&lt;$M52), $A52, "")</f>
        <v/>
      </c>
      <c r="AG52" s="53" t="str">
        <f aca="false">IF(AND(AH$3&gt;=$J52, AH$3&lt;$M52), $A52, "")</f>
        <v/>
      </c>
      <c r="AH52" s="53" t="str">
        <f aca="false">IF(AND(AI$3&gt;=$J52, AI$3&lt;$M52), $A52, "")</f>
        <v/>
      </c>
      <c r="AI52" s="53" t="str">
        <f aca="false">IF(AND(AJ$3&gt;=$J52, AJ$3&lt;$M52), $A52, "")</f>
        <v/>
      </c>
      <c r="AJ52" s="53" t="str">
        <f aca="false">IF(AND(AK$3&gt;=$J52, AK$3&lt;$M52), $A52, "")</f>
        <v/>
      </c>
      <c r="AK52" s="53" t="str">
        <f aca="false">IF(AND(AL$3&gt;=$J52, AL$3&lt;$M52), $A52, "")</f>
        <v/>
      </c>
      <c r="AL52" s="53" t="str">
        <f aca="false">IF(AND(AM$3&gt;=$J52, AM$3&lt;$M52), $A52, "")</f>
        <v/>
      </c>
      <c r="AM52" s="53" t="str">
        <f aca="false">IF(AND(AN$3&gt;=$J52, AN$3&lt;$M52), $A52, "")</f>
        <v/>
      </c>
      <c r="AN52" s="53" t="str">
        <f aca="false">IF(AND(AO$3&gt;=$J52, AO$3&lt;$M52), $A52, "")</f>
        <v/>
      </c>
      <c r="AO52" s="53" t="str">
        <f aca="false">IF(AND(AP$3&gt;=$J52, AP$3&lt;$M52), $A52, "")</f>
        <v/>
      </c>
      <c r="AP52" s="53" t="str">
        <f aca="false">IF(AND(AQ$3&gt;=$J52, AQ$3&lt;$M52), $A52, "")</f>
        <v/>
      </c>
      <c r="AQ52" s="53" t="str">
        <f aca="false">IF(AND(AR$3&gt;=$J52, AR$3&lt;$M52), $A52, "")</f>
        <v/>
      </c>
      <c r="AR52" s="53" t="str">
        <f aca="false">IF(AND(AS$3&gt;=$J52, AS$3&lt;$M52), $A52, "")</f>
        <v/>
      </c>
      <c r="AS52" s="53" t="str">
        <f aca="false">IF(AND(AT$3&gt;=$J52, AT$3&lt;$M52), $A52, "")</f>
        <v/>
      </c>
      <c r="AT52" s="53" t="str">
        <f aca="false">IF(AND(AU$3&gt;=$J52, AU$3&lt;$M52), $A52, "")</f>
        <v/>
      </c>
      <c r="AU52" s="53" t="str">
        <f aca="false">IF(AND(AV$3&gt;=$J52, AV$3&lt;$M52), $A52, "")</f>
        <v/>
      </c>
      <c r="AV52" s="53" t="str">
        <f aca="false">IF(AND(AW$3&gt;=$J52, AW$3&lt;$M52), $A52, "")</f>
        <v/>
      </c>
      <c r="AW52" s="53" t="str">
        <f aca="false">IF(AND(AX$3&gt;=$J52, AX$3&lt;$M52), $A52, "")</f>
        <v/>
      </c>
      <c r="AX52" s="53" t="str">
        <f aca="false">IF(AND(AY$3&gt;=$J52, AY$3&lt;$M52), $A52, "")</f>
        <v/>
      </c>
      <c r="AY52" s="53" t="str">
        <f aca="false">IF(AND(AZ$3&gt;=$J52, AZ$3&lt;$M52), $A52, "")</f>
        <v/>
      </c>
      <c r="AZ52" s="53" t="str">
        <f aca="false">IF(AND(BA$3&gt;=$J52, BA$3&lt;$M52), $A52, "")</f>
        <v/>
      </c>
      <c r="BA52" s="53" t="str">
        <f aca="false">IF(AND(BB$3&gt;=$J52, BB$3&lt;$M52), $A52, "")</f>
        <v/>
      </c>
      <c r="BB52" s="53" t="str">
        <f aca="false">IF(AND(BC$3&gt;=$J52, BC$3&lt;$M52), $A52, "")</f>
        <v/>
      </c>
      <c r="BC52" s="53" t="str">
        <f aca="false">IF(AND(BD$3&gt;=$J52, BD$3&lt;$M52), $A52, "")</f>
        <v/>
      </c>
      <c r="BD52" s="53" t="str">
        <f aca="false">IF(AND(BE$3&gt;=$J52, BE$3&lt;$M52), $A52, "")</f>
        <v/>
      </c>
      <c r="BE52" s="53" t="str">
        <f aca="false">IF(AND(BF$3&gt;=$J52, BF$3&lt;$M52), $A52, "")</f>
        <v/>
      </c>
      <c r="BF52" s="53" t="str">
        <f aca="false">IF(AND(BG$3&gt;=$J52, BG$3&lt;$M52), $A52, "")</f>
        <v/>
      </c>
      <c r="BG52" s="53" t="str">
        <f aca="false">IF(AND(BH$3&gt;=$J52, BH$3&lt;$M52), $A52, "")</f>
        <v/>
      </c>
      <c r="BH52" s="53" t="str">
        <f aca="false">IF(AND(BI$3&gt;=$J52, BI$3&lt;$M52), $A52, "")</f>
        <v/>
      </c>
      <c r="BI52" s="53" t="str">
        <f aca="false">IF(AND(BJ$3&gt;=$J52, BJ$3&lt;$M52), $A52, "")</f>
        <v/>
      </c>
      <c r="BJ52" s="53" t="str">
        <f aca="false">IF(AND(BK$3&gt;=$J52, BK$3&lt;$M52), $A52, "")</f>
        <v/>
      </c>
      <c r="BK52" s="53" t="str">
        <f aca="false">IF(AND(BL$3&gt;=$J52, BL$3&lt;$M52), $A52, "")</f>
        <v/>
      </c>
      <c r="BL52" s="53" t="str">
        <f aca="false">IF(AND(BM$3&gt;=$J52, BM$3&lt;$M52), $A52, "")</f>
        <v/>
      </c>
      <c r="BM52" s="53" t="str">
        <f aca="false">IF(AND(BN$3&gt;=$J52, BN$3&lt;$M52), $A52, "")</f>
        <v/>
      </c>
      <c r="BN52" s="1" t="str">
        <f aca="false">IF(AND(BO$3&gt;=$J52, BO$3&lt;$M52), $A52, "")</f>
        <v/>
      </c>
      <c r="BO52" s="1" t="str">
        <f aca="false">IF(AND(BP$3&gt;=$J52, BP$3&lt;$M52), $A52, "")</f>
        <v/>
      </c>
      <c r="BP52" s="1" t="str">
        <f aca="false">IF(AND(BQ$3&gt;=$J52, BQ$3&lt;$M52), $A52, "")</f>
        <v/>
      </c>
    </row>
    <row r="53" customFormat="false" ht="15" hidden="false" customHeight="true" outlineLevel="0" collapsed="false">
      <c r="A53" s="46" t="str">
        <f aca="false">IF(Job_Master!A53="","",Job_Master!A53)</f>
        <v>BJ-143</v>
      </c>
      <c r="B53" s="4" t="n">
        <f aca="false">IF($A53="","",Job_Master!B53)</f>
        <v>17</v>
      </c>
      <c r="C53" s="4" t="str">
        <f aca="false">IF($A53="","",Job_Master!C53)</f>
        <v>SOL</v>
      </c>
      <c r="D53" s="4" t="n">
        <f aca="false">IF($A53="","",Job_Master!D53)</f>
        <v>4</v>
      </c>
      <c r="E53" s="48" t="str">
        <f aca="false">IF($A53="","",IFERROR(INDEX(Machine_List!$B$82:$B$86,MATCH("*"&amp;$B53&amp;"*",Machine_List!$J$82:$J$86,0)),"NO COMPATIBLE MACHINE"))</f>
        <v>QC-MC-01</v>
      </c>
      <c r="F53" s="4" t="str">
        <f aca="false">IF($E53="","",IFERROR(VLOOKUP($E53,Machine_List!$B:$G,6,0),""))</f>
        <v>General Workman</v>
      </c>
      <c r="G53" s="55" t="n">
        <f aca="false">IF($E53="","",IFERROR(VLOOKUP($E53,Machine_List!$B:$C,2,0),""))</f>
        <v>46518</v>
      </c>
      <c r="H53" s="4" t="n">
        <f aca="false">IF($E53="","",IFERROR(VLOOKUP($E53,Machine_List!$B:$D,3,0),""))</f>
        <v>6</v>
      </c>
      <c r="I53" s="56"/>
      <c r="J53" s="57" t="n">
        <f aca="true">IF($A53="","",IF($I53&lt;&gt;"",$I53,MAX(FID_Plan!$M53,IFERROR(LOOKUP(2,1/($E$3:INDIRECT("E"&amp;(ROW()-1))=$E53),$M$3:INDIRECT("M"&amp;(ROW()-1))),FID_Plan!$M53))))</f>
        <v>46486.916005291</v>
      </c>
      <c r="K53" s="4" t="n">
        <f aca="false">IF($A53="","",IFERROR(VLOOKUP(B53,CHOOSE(MATCH(C53,Settings!$L$4:$L$10,0),OPR_2P!$A$4:$I$18,SEG_6P!$A$4:$I$18,SOL_4P!$A$4:$I$18,RW_2P!$A$4:$I$18,RW2_4P!$A$4:$I$18,FLAP_4P!$A$4:$I$18,TUBE_4P!$A$4:$I$18),8,0),0))</f>
        <v>15</v>
      </c>
      <c r="L53" s="4" t="n">
        <f aca="false">IF($A53="","",K53*D53)</f>
        <v>60</v>
      </c>
      <c r="M53" s="57" t="n">
        <f aca="false">IF($A53="","",$J53+($L53/(IF(F53="Contract Workman",Settings!$K$5,Settings!$K$4))))</f>
        <v>46489.6937830688</v>
      </c>
      <c r="N53" s="4" t="str">
        <f aca="false">IF($A53="","",IF(F53="Contract Workman",IF(AND(MOD(M53,1)&gt;=8/24,MOD(M53,1)&lt;20/24),"Shift S1","Shift S2"),IF(AND(MOD(M53,1)&gt;=7/24,MOD(M53,1)&lt;15/24),"Shift A",IF(AND(MOD(M53,1)&gt;=15/24,MOD(M53,1)&lt;23/24),"Shift B","Shift C"))))</f>
        <v>Shift B</v>
      </c>
      <c r="O53" s="52" t="str">
        <f aca="false"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3" t="str">
        <f aca="false">IF(AND(Q$3&gt;=$J53, Q$3&lt;$M53), $A53, "")</f>
        <v/>
      </c>
      <c r="Q53" s="53" t="str">
        <f aca="false">IF(AND(R$3&gt;=$J53, R$3&lt;$M53), $A53, "")</f>
        <v/>
      </c>
      <c r="R53" s="53" t="str">
        <f aca="false">IF(AND(S$3&gt;=$J53, S$3&lt;$M53), $A53, "")</f>
        <v/>
      </c>
      <c r="S53" s="53" t="str">
        <f aca="false">IF(AND(T$3&gt;=$J53, T$3&lt;$M53), $A53, "")</f>
        <v/>
      </c>
      <c r="T53" s="53" t="str">
        <f aca="false">IF(AND(U$3&gt;=$J53, U$3&lt;$M53), $A53, "")</f>
        <v/>
      </c>
      <c r="U53" s="53" t="str">
        <f aca="false">IF(AND(V$3&gt;=$J53, V$3&lt;$M53), $A53, "")</f>
        <v/>
      </c>
      <c r="V53" s="53" t="str">
        <f aca="false">IF(AND(W$3&gt;=$J53, W$3&lt;$M53), $A53, "")</f>
        <v/>
      </c>
      <c r="W53" s="53" t="str">
        <f aca="false">IF(AND(X$3&gt;=$J53, X$3&lt;$M53), $A53, "")</f>
        <v/>
      </c>
      <c r="X53" s="53" t="str">
        <f aca="false">IF(AND(Y$3&gt;=$J53, Y$3&lt;$M53), $A53, "")</f>
        <v/>
      </c>
      <c r="Y53" s="53" t="str">
        <f aca="false">IF(AND(Z$3&gt;=$J53, Z$3&lt;$M53), $A53, "")</f>
        <v/>
      </c>
      <c r="Z53" s="53" t="str">
        <f aca="false">IF(AND(AA$3&gt;=$J53, AA$3&lt;$M53), $A53, "")</f>
        <v/>
      </c>
      <c r="AA53" s="53" t="str">
        <f aca="false">IF(AND(AB$3&gt;=$J53, AB$3&lt;$M53), $A53, "")</f>
        <v/>
      </c>
      <c r="AB53" s="53" t="str">
        <f aca="false">IF(AND(AC$3&gt;=$J53, AC$3&lt;$M53), $A53, "")</f>
        <v/>
      </c>
      <c r="AC53" s="53" t="str">
        <f aca="false">IF(AND(AD$3&gt;=$J53, AD$3&lt;$M53), $A53, "")</f>
        <v/>
      </c>
      <c r="AD53" s="53" t="str">
        <f aca="false">IF(AND(AE$3&gt;=$J53, AE$3&lt;$M53), $A53, "")</f>
        <v/>
      </c>
      <c r="AE53" s="53" t="str">
        <f aca="false">IF(AND(AF$3&gt;=$J53, AF$3&lt;$M53), $A53, "")</f>
        <v/>
      </c>
      <c r="AF53" s="53" t="str">
        <f aca="false">IF(AND(AG$3&gt;=$J53, AG$3&lt;$M53), $A53, "")</f>
        <v/>
      </c>
      <c r="AG53" s="53" t="str">
        <f aca="false">IF(AND(AH$3&gt;=$J53, AH$3&lt;$M53), $A53, "")</f>
        <v/>
      </c>
      <c r="AH53" s="53" t="str">
        <f aca="false">IF(AND(AI$3&gt;=$J53, AI$3&lt;$M53), $A53, "")</f>
        <v/>
      </c>
      <c r="AI53" s="53" t="str">
        <f aca="false">IF(AND(AJ$3&gt;=$J53, AJ$3&lt;$M53), $A53, "")</f>
        <v/>
      </c>
      <c r="AJ53" s="53" t="str">
        <f aca="false">IF(AND(AK$3&gt;=$J53, AK$3&lt;$M53), $A53, "")</f>
        <v/>
      </c>
      <c r="AK53" s="53" t="str">
        <f aca="false">IF(AND(AL$3&gt;=$J53, AL$3&lt;$M53), $A53, "")</f>
        <v/>
      </c>
      <c r="AL53" s="53" t="str">
        <f aca="false">IF(AND(AM$3&gt;=$J53, AM$3&lt;$M53), $A53, "")</f>
        <v/>
      </c>
      <c r="AM53" s="53" t="str">
        <f aca="false">IF(AND(AN$3&gt;=$J53, AN$3&lt;$M53), $A53, "")</f>
        <v/>
      </c>
      <c r="AN53" s="53" t="str">
        <f aca="false">IF(AND(AO$3&gt;=$J53, AO$3&lt;$M53), $A53, "")</f>
        <v/>
      </c>
      <c r="AO53" s="53" t="str">
        <f aca="false">IF(AND(AP$3&gt;=$J53, AP$3&lt;$M53), $A53, "")</f>
        <v/>
      </c>
      <c r="AP53" s="53" t="str">
        <f aca="false">IF(AND(AQ$3&gt;=$J53, AQ$3&lt;$M53), $A53, "")</f>
        <v/>
      </c>
      <c r="AQ53" s="53" t="str">
        <f aca="false">IF(AND(AR$3&gt;=$J53, AR$3&lt;$M53), $A53, "")</f>
        <v/>
      </c>
      <c r="AR53" s="53" t="str">
        <f aca="false">IF(AND(AS$3&gt;=$J53, AS$3&lt;$M53), $A53, "")</f>
        <v/>
      </c>
      <c r="AS53" s="53" t="str">
        <f aca="false">IF(AND(AT$3&gt;=$J53, AT$3&lt;$M53), $A53, "")</f>
        <v/>
      </c>
      <c r="AT53" s="53" t="str">
        <f aca="false">IF(AND(AU$3&gt;=$J53, AU$3&lt;$M53), $A53, "")</f>
        <v/>
      </c>
      <c r="AU53" s="53" t="str">
        <f aca="false">IF(AND(AV$3&gt;=$J53, AV$3&lt;$M53), $A53, "")</f>
        <v/>
      </c>
      <c r="AV53" s="53" t="str">
        <f aca="false">IF(AND(AW$3&gt;=$J53, AW$3&lt;$M53), $A53, "")</f>
        <v/>
      </c>
      <c r="AW53" s="53" t="str">
        <f aca="false">IF(AND(AX$3&gt;=$J53, AX$3&lt;$M53), $A53, "")</f>
        <v/>
      </c>
      <c r="AX53" s="53" t="str">
        <f aca="false">IF(AND(AY$3&gt;=$J53, AY$3&lt;$M53), $A53, "")</f>
        <v/>
      </c>
      <c r="AY53" s="53" t="str">
        <f aca="false">IF(AND(AZ$3&gt;=$J53, AZ$3&lt;$M53), $A53, "")</f>
        <v/>
      </c>
      <c r="AZ53" s="53" t="str">
        <f aca="false">IF(AND(BA$3&gt;=$J53, BA$3&lt;$M53), $A53, "")</f>
        <v/>
      </c>
      <c r="BA53" s="53" t="str">
        <f aca="false">IF(AND(BB$3&gt;=$J53, BB$3&lt;$M53), $A53, "")</f>
        <v/>
      </c>
      <c r="BB53" s="53" t="str">
        <f aca="false">IF(AND(BC$3&gt;=$J53, BC$3&lt;$M53), $A53, "")</f>
        <v/>
      </c>
      <c r="BC53" s="53" t="str">
        <f aca="false">IF(AND(BD$3&gt;=$J53, BD$3&lt;$M53), $A53, "")</f>
        <v/>
      </c>
      <c r="BD53" s="53" t="str">
        <f aca="false">IF(AND(BE$3&gt;=$J53, BE$3&lt;$M53), $A53, "")</f>
        <v/>
      </c>
      <c r="BE53" s="53" t="str">
        <f aca="false">IF(AND(BF$3&gt;=$J53, BF$3&lt;$M53), $A53, "")</f>
        <v/>
      </c>
      <c r="BF53" s="53" t="str">
        <f aca="false">IF(AND(BG$3&gt;=$J53, BG$3&lt;$M53), $A53, "")</f>
        <v/>
      </c>
      <c r="BG53" s="53" t="str">
        <f aca="false">IF(AND(BH$3&gt;=$J53, BH$3&lt;$M53), $A53, "")</f>
        <v/>
      </c>
      <c r="BH53" s="53" t="str">
        <f aca="false">IF(AND(BI$3&gt;=$J53, BI$3&lt;$M53), $A53, "")</f>
        <v/>
      </c>
      <c r="BI53" s="53" t="str">
        <f aca="false">IF(AND(BJ$3&gt;=$J53, BJ$3&lt;$M53), $A53, "")</f>
        <v/>
      </c>
      <c r="BJ53" s="53" t="str">
        <f aca="false">IF(AND(BK$3&gt;=$J53, BK$3&lt;$M53), $A53, "")</f>
        <v/>
      </c>
      <c r="BK53" s="53" t="str">
        <f aca="false">IF(AND(BL$3&gt;=$J53, BL$3&lt;$M53), $A53, "")</f>
        <v/>
      </c>
      <c r="BL53" s="53" t="str">
        <f aca="false">IF(AND(BM$3&gt;=$J53, BM$3&lt;$M53), $A53, "")</f>
        <v/>
      </c>
      <c r="BM53" s="53" t="str">
        <f aca="false">IF(AND(BN$3&gt;=$J53, BN$3&lt;$M53), $A53, "")</f>
        <v/>
      </c>
      <c r="BN53" s="1" t="str">
        <f aca="false">IF(AND(BO$3&gt;=$J53, BO$3&lt;$M53), $A53, "")</f>
        <v/>
      </c>
      <c r="BO53" s="1" t="str">
        <f aca="false">IF(AND(BP$3&gt;=$J53, BP$3&lt;$M53), $A53, "")</f>
        <v/>
      </c>
      <c r="BP53" s="1" t="str">
        <f aca="false">IF(AND(BQ$3&gt;=$J53, BQ$3&lt;$M53), $A53, "")</f>
        <v/>
      </c>
    </row>
    <row r="54" customFormat="false" ht="15" hidden="false" customHeight="true" outlineLevel="0" collapsed="false">
      <c r="A54" s="46" t="str">
        <f aca="false">IF(Job_Master!A54="","",Job_Master!A54)</f>
        <v>BJ-154</v>
      </c>
      <c r="B54" s="4" t="n">
        <f aca="false">IF($A54="","",Job_Master!B54)</f>
        <v>25</v>
      </c>
      <c r="C54" s="4" t="str">
        <f aca="false">IF($A54="","",Job_Master!C54)</f>
        <v>RW</v>
      </c>
      <c r="D54" s="4" t="n">
        <f aca="false">IF($A54="","",Job_Master!D54)</f>
        <v>2</v>
      </c>
      <c r="E54" s="48" t="str">
        <f aca="false">IF($A54="","",IFERROR(INDEX(Machine_List!$B$82:$B$86,MATCH("*"&amp;$B54&amp;"*",Machine_List!$J$82:$J$86,0)),"NO COMPATIBLE MACHINE"))</f>
        <v>QC-MC-01</v>
      </c>
      <c r="F54" s="4" t="str">
        <f aca="false">IF($E54="","",IFERROR(VLOOKUP($E54,Machine_List!$B:$G,6,0),""))</f>
        <v>General Workman</v>
      </c>
      <c r="G54" s="55" t="n">
        <f aca="false">IF($E54="","",IFERROR(VLOOKUP($E54,Machine_List!$B:$C,2,0),""))</f>
        <v>46518</v>
      </c>
      <c r="H54" s="4" t="n">
        <f aca="false">IF($E54="","",IFERROR(VLOOKUP($E54,Machine_List!$B:$D,3,0),""))</f>
        <v>6</v>
      </c>
      <c r="I54" s="56"/>
      <c r="J54" s="57" t="n">
        <f aca="true">IF($A54="","",IF($I54&lt;&gt;"",$I54,MAX(FID_Plan!$M54,IFERROR(LOOKUP(2,1/($E$3:INDIRECT("E"&amp;(ROW()-1))=$E54),$M$3:INDIRECT("M"&amp;(ROW()-1))),FID_Plan!$M54))))</f>
        <v>46489.6937830688</v>
      </c>
      <c r="K54" s="4" t="n">
        <f aca="false">IF($A54="","",IFERROR(VLOOKUP(B54,CHOOSE(MATCH(C54,Settings!$L$4:$L$10,0),OPR_2P!$A$4:$I$18,SEG_6P!$A$4:$I$18,SOL_4P!$A$4:$I$18,RW_2P!$A$4:$I$18,RW2_4P!$A$4:$I$18,FLAP_4P!$A$4:$I$18,TUBE_4P!$A$4:$I$18),8,0),0))</f>
        <v>16</v>
      </c>
      <c r="L54" s="4" t="n">
        <f aca="false">IF($A54="","",K54*D54)</f>
        <v>32</v>
      </c>
      <c r="M54" s="57" t="n">
        <f aca="false">IF($A54="","",$J54+($L54/(IF(F54="Contract Workman",Settings!$K$5,Settings!$K$4))))</f>
        <v>46491.1752645503</v>
      </c>
      <c r="N54" s="4" t="str">
        <f aca="false">IF($A54="","",IF(F54="Contract Workman",IF(AND(MOD(M54,1)&gt;=8/24,MOD(M54,1)&lt;20/24),"Shift S1","Shift S2"),IF(AND(MOD(M54,1)&gt;=7/24,MOD(M54,1)&lt;15/24),"Shift A",IF(AND(MOD(M54,1)&gt;=15/24,MOD(M54,1)&lt;23/24),"Shift B","Shift C"))))</f>
        <v>Shift C</v>
      </c>
      <c r="O54" s="52" t="str">
        <f aca="false"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3" t="str">
        <f aca="false">IF(AND(Q$3&gt;=$J54, Q$3&lt;$M54), $A54, "")</f>
        <v/>
      </c>
      <c r="Q54" s="53" t="str">
        <f aca="false">IF(AND(R$3&gt;=$J54, R$3&lt;$M54), $A54, "")</f>
        <v/>
      </c>
      <c r="R54" s="53" t="str">
        <f aca="false">IF(AND(S$3&gt;=$J54, S$3&lt;$M54), $A54, "")</f>
        <v/>
      </c>
      <c r="S54" s="53" t="str">
        <f aca="false">IF(AND(T$3&gt;=$J54, T$3&lt;$M54), $A54, "")</f>
        <v/>
      </c>
      <c r="T54" s="53" t="str">
        <f aca="false">IF(AND(U$3&gt;=$J54, U$3&lt;$M54), $A54, "")</f>
        <v/>
      </c>
      <c r="U54" s="53" t="str">
        <f aca="false">IF(AND(V$3&gt;=$J54, V$3&lt;$M54), $A54, "")</f>
        <v/>
      </c>
      <c r="V54" s="53" t="str">
        <f aca="false">IF(AND(W$3&gt;=$J54, W$3&lt;$M54), $A54, "")</f>
        <v/>
      </c>
      <c r="W54" s="53" t="str">
        <f aca="false">IF(AND(X$3&gt;=$J54, X$3&lt;$M54), $A54, "")</f>
        <v/>
      </c>
      <c r="X54" s="53" t="str">
        <f aca="false">IF(AND(Y$3&gt;=$J54, Y$3&lt;$M54), $A54, "")</f>
        <v/>
      </c>
      <c r="Y54" s="53" t="str">
        <f aca="false">IF(AND(Z$3&gt;=$J54, Z$3&lt;$M54), $A54, "")</f>
        <v/>
      </c>
      <c r="Z54" s="53" t="str">
        <f aca="false">IF(AND(AA$3&gt;=$J54, AA$3&lt;$M54), $A54, "")</f>
        <v/>
      </c>
      <c r="AA54" s="53" t="str">
        <f aca="false">IF(AND(AB$3&gt;=$J54, AB$3&lt;$M54), $A54, "")</f>
        <v/>
      </c>
      <c r="AB54" s="53" t="str">
        <f aca="false">IF(AND(AC$3&gt;=$J54, AC$3&lt;$M54), $A54, "")</f>
        <v/>
      </c>
      <c r="AC54" s="53" t="str">
        <f aca="false">IF(AND(AD$3&gt;=$J54, AD$3&lt;$M54), $A54, "")</f>
        <v/>
      </c>
      <c r="AD54" s="53" t="str">
        <f aca="false">IF(AND(AE$3&gt;=$J54, AE$3&lt;$M54), $A54, "")</f>
        <v/>
      </c>
      <c r="AE54" s="53" t="str">
        <f aca="false">IF(AND(AF$3&gt;=$J54, AF$3&lt;$M54), $A54, "")</f>
        <v/>
      </c>
      <c r="AF54" s="53" t="str">
        <f aca="false">IF(AND(AG$3&gt;=$J54, AG$3&lt;$M54), $A54, "")</f>
        <v/>
      </c>
      <c r="AG54" s="53" t="str">
        <f aca="false">IF(AND(AH$3&gt;=$J54, AH$3&lt;$M54), $A54, "")</f>
        <v/>
      </c>
      <c r="AH54" s="53" t="str">
        <f aca="false">IF(AND(AI$3&gt;=$J54, AI$3&lt;$M54), $A54, "")</f>
        <v/>
      </c>
      <c r="AI54" s="53" t="str">
        <f aca="false">IF(AND(AJ$3&gt;=$J54, AJ$3&lt;$M54), $A54, "")</f>
        <v/>
      </c>
      <c r="AJ54" s="53" t="str">
        <f aca="false">IF(AND(AK$3&gt;=$J54, AK$3&lt;$M54), $A54, "")</f>
        <v/>
      </c>
      <c r="AK54" s="53" t="str">
        <f aca="false">IF(AND(AL$3&gt;=$J54, AL$3&lt;$M54), $A54, "")</f>
        <v/>
      </c>
      <c r="AL54" s="53" t="str">
        <f aca="false">IF(AND(AM$3&gt;=$J54, AM$3&lt;$M54), $A54, "")</f>
        <v/>
      </c>
      <c r="AM54" s="53" t="str">
        <f aca="false">IF(AND(AN$3&gt;=$J54, AN$3&lt;$M54), $A54, "")</f>
        <v/>
      </c>
      <c r="AN54" s="53" t="str">
        <f aca="false">IF(AND(AO$3&gt;=$J54, AO$3&lt;$M54), $A54, "")</f>
        <v/>
      </c>
      <c r="AO54" s="53" t="str">
        <f aca="false">IF(AND(AP$3&gt;=$J54, AP$3&lt;$M54), $A54, "")</f>
        <v/>
      </c>
      <c r="AP54" s="53" t="str">
        <f aca="false">IF(AND(AQ$3&gt;=$J54, AQ$3&lt;$M54), $A54, "")</f>
        <v/>
      </c>
      <c r="AQ54" s="53" t="str">
        <f aca="false">IF(AND(AR$3&gt;=$J54, AR$3&lt;$M54), $A54, "")</f>
        <v/>
      </c>
      <c r="AR54" s="53" t="str">
        <f aca="false">IF(AND(AS$3&gt;=$J54, AS$3&lt;$M54), $A54, "")</f>
        <v/>
      </c>
      <c r="AS54" s="53" t="str">
        <f aca="false">IF(AND(AT$3&gt;=$J54, AT$3&lt;$M54), $A54, "")</f>
        <v/>
      </c>
      <c r="AT54" s="53" t="str">
        <f aca="false">IF(AND(AU$3&gt;=$J54, AU$3&lt;$M54), $A54, "")</f>
        <v/>
      </c>
      <c r="AU54" s="53" t="str">
        <f aca="false">IF(AND(AV$3&gt;=$J54, AV$3&lt;$M54), $A54, "")</f>
        <v/>
      </c>
      <c r="AV54" s="53" t="str">
        <f aca="false">IF(AND(AW$3&gt;=$J54, AW$3&lt;$M54), $A54, "")</f>
        <v/>
      </c>
      <c r="AW54" s="53" t="str">
        <f aca="false">IF(AND(AX$3&gt;=$J54, AX$3&lt;$M54), $A54, "")</f>
        <v/>
      </c>
      <c r="AX54" s="53" t="str">
        <f aca="false">IF(AND(AY$3&gt;=$J54, AY$3&lt;$M54), $A54, "")</f>
        <v/>
      </c>
      <c r="AY54" s="53" t="str">
        <f aca="false">IF(AND(AZ$3&gt;=$J54, AZ$3&lt;$M54), $A54, "")</f>
        <v/>
      </c>
      <c r="AZ54" s="53" t="str">
        <f aca="false">IF(AND(BA$3&gt;=$J54, BA$3&lt;$M54), $A54, "")</f>
        <v/>
      </c>
      <c r="BA54" s="53" t="str">
        <f aca="false">IF(AND(BB$3&gt;=$J54, BB$3&lt;$M54), $A54, "")</f>
        <v/>
      </c>
      <c r="BB54" s="53" t="str">
        <f aca="false">IF(AND(BC$3&gt;=$J54, BC$3&lt;$M54), $A54, "")</f>
        <v/>
      </c>
      <c r="BC54" s="53" t="str">
        <f aca="false">IF(AND(BD$3&gt;=$J54, BD$3&lt;$M54), $A54, "")</f>
        <v/>
      </c>
      <c r="BD54" s="53" t="str">
        <f aca="false">IF(AND(BE$3&gt;=$J54, BE$3&lt;$M54), $A54, "")</f>
        <v/>
      </c>
      <c r="BE54" s="53" t="str">
        <f aca="false">IF(AND(BF$3&gt;=$J54, BF$3&lt;$M54), $A54, "")</f>
        <v/>
      </c>
      <c r="BF54" s="53" t="str">
        <f aca="false">IF(AND(BG$3&gt;=$J54, BG$3&lt;$M54), $A54, "")</f>
        <v/>
      </c>
      <c r="BG54" s="53" t="str">
        <f aca="false">IF(AND(BH$3&gt;=$J54, BH$3&lt;$M54), $A54, "")</f>
        <v/>
      </c>
      <c r="BH54" s="53" t="str">
        <f aca="false">IF(AND(BI$3&gt;=$J54, BI$3&lt;$M54), $A54, "")</f>
        <v/>
      </c>
      <c r="BI54" s="53" t="str">
        <f aca="false">IF(AND(BJ$3&gt;=$J54, BJ$3&lt;$M54), $A54, "")</f>
        <v/>
      </c>
      <c r="BJ54" s="53" t="str">
        <f aca="false">IF(AND(BK$3&gt;=$J54, BK$3&lt;$M54), $A54, "")</f>
        <v/>
      </c>
      <c r="BK54" s="53" t="str">
        <f aca="false">IF(AND(BL$3&gt;=$J54, BL$3&lt;$M54), $A54, "")</f>
        <v/>
      </c>
      <c r="BL54" s="53" t="str">
        <f aca="false">IF(AND(BM$3&gt;=$J54, BM$3&lt;$M54), $A54, "")</f>
        <v/>
      </c>
      <c r="BM54" s="53" t="str">
        <f aca="false">IF(AND(BN$3&gt;=$J54, BN$3&lt;$M54), $A54, "")</f>
        <v/>
      </c>
      <c r="BN54" s="1" t="str">
        <f aca="false">IF(AND(BO$3&gt;=$J54, BO$3&lt;$M54), $A54, "")</f>
        <v/>
      </c>
      <c r="BO54" s="1" t="str">
        <f aca="false">IF(AND(BP$3&gt;=$J54, BP$3&lt;$M54), $A54, "")</f>
        <v/>
      </c>
      <c r="BP54" s="1" t="str">
        <f aca="false">IF(AND(BQ$3&gt;=$J54, BQ$3&lt;$M54), $A54, "")</f>
        <v/>
      </c>
    </row>
    <row r="55" customFormat="false" ht="15" hidden="false" customHeight="true" outlineLevel="0" collapsed="false">
      <c r="A55" s="46" t="str">
        <f aca="false">IF(Job_Master!A55="","",Job_Master!A55)</f>
        <v>BJ-156</v>
      </c>
      <c r="B55" s="4" t="n">
        <f aca="false">IF($A55="","",Job_Master!B55)</f>
        <v>25</v>
      </c>
      <c r="C55" s="4" t="str">
        <f aca="false">IF($A55="","",Job_Master!C55)</f>
        <v>2P</v>
      </c>
      <c r="D55" s="4" t="n">
        <f aca="false">IF($A55="","",Job_Master!D55)</f>
        <v>2</v>
      </c>
      <c r="E55" s="48" t="str">
        <f aca="false">IF($A55="","",IFERROR(INDEX(Machine_List!$B$82:$B$86,MATCH("*"&amp;$B55&amp;"*",Machine_List!$J$82:$J$86,0)),"NO COMPATIBLE MACHINE"))</f>
        <v>QC-MC-01</v>
      </c>
      <c r="F55" s="4" t="str">
        <f aca="false">IF($E55="","",IFERROR(VLOOKUP($E55,Machine_List!$B:$G,6,0),""))</f>
        <v>General Workman</v>
      </c>
      <c r="G55" s="55" t="n">
        <f aca="false">IF($E55="","",IFERROR(VLOOKUP($E55,Machine_List!$B:$C,2,0),""))</f>
        <v>46518</v>
      </c>
      <c r="H55" s="4" t="n">
        <f aca="false">IF($E55="","",IFERROR(VLOOKUP($E55,Machine_List!$B:$D,3,0),""))</f>
        <v>6</v>
      </c>
      <c r="I55" s="56"/>
      <c r="J55" s="57" t="n">
        <f aca="true">IF($A55="","",IF($I55&lt;&gt;"",$I55,MAX(FID_Plan!$M55,IFERROR(LOOKUP(2,1/($E$3:INDIRECT("E"&amp;(ROW()-1))=$E55),$M$3:INDIRECT("M"&amp;(ROW()-1))),FID_Plan!$M55))))</f>
        <v>46491.1752645503</v>
      </c>
      <c r="K55" s="4" t="n">
        <f aca="false">IF($A55="","",IFERROR(VLOOKUP(B55,CHOOSE(MATCH(C55,Settings!$L$4:$L$10,0),OPR_2P!$A$4:$I$18,SEG_6P!$A$4:$I$18,SOL_4P!$A$4:$I$18,RW_2P!$A$4:$I$18,RW2_4P!$A$4:$I$18,FLAP_4P!$A$4:$I$18,TUBE_4P!$A$4:$I$18),8,0),0))</f>
        <v>27</v>
      </c>
      <c r="L55" s="4" t="n">
        <f aca="false">IF($A55="","",K55*D55)</f>
        <v>54</v>
      </c>
      <c r="M55" s="57" t="n">
        <f aca="false">IF($A55="","",$J55+($L55/(IF(F55="Contract Workman",Settings!$K$5,Settings!$K$4))))</f>
        <v>46493.6752645503</v>
      </c>
      <c r="N55" s="4" t="str">
        <f aca="false">IF($A55="","",IF(F55="Contract Workman",IF(AND(MOD(M55,1)&gt;=8/24,MOD(M55,1)&lt;20/24),"Shift S1","Shift S2"),IF(AND(MOD(M55,1)&gt;=7/24,MOD(M55,1)&lt;15/24),"Shift A",IF(AND(MOD(M55,1)&gt;=15/24,MOD(M55,1)&lt;23/24),"Shift B","Shift C"))))</f>
        <v>Shift B</v>
      </c>
      <c r="O55" s="52" t="str">
        <f aca="false"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3" t="str">
        <f aca="false">IF(AND(Q$3&gt;=$J55, Q$3&lt;$M55), $A55, "")</f>
        <v/>
      </c>
      <c r="Q55" s="53" t="str">
        <f aca="false">IF(AND(R$3&gt;=$J55, R$3&lt;$M55), $A55, "")</f>
        <v/>
      </c>
      <c r="R55" s="53" t="str">
        <f aca="false">IF(AND(S$3&gt;=$J55, S$3&lt;$M55), $A55, "")</f>
        <v/>
      </c>
      <c r="S55" s="53" t="str">
        <f aca="false">IF(AND(T$3&gt;=$J55, T$3&lt;$M55), $A55, "")</f>
        <v/>
      </c>
      <c r="T55" s="53" t="str">
        <f aca="false">IF(AND(U$3&gt;=$J55, U$3&lt;$M55), $A55, "")</f>
        <v/>
      </c>
      <c r="U55" s="53" t="str">
        <f aca="false">IF(AND(V$3&gt;=$J55, V$3&lt;$M55), $A55, "")</f>
        <v/>
      </c>
      <c r="V55" s="53" t="str">
        <f aca="false">IF(AND(W$3&gt;=$J55, W$3&lt;$M55), $A55, "")</f>
        <v/>
      </c>
      <c r="W55" s="53" t="str">
        <f aca="false">IF(AND(X$3&gt;=$J55, X$3&lt;$M55), $A55, "")</f>
        <v/>
      </c>
      <c r="X55" s="53" t="str">
        <f aca="false">IF(AND(Y$3&gt;=$J55, Y$3&lt;$M55), $A55, "")</f>
        <v/>
      </c>
      <c r="Y55" s="53" t="str">
        <f aca="false">IF(AND(Z$3&gt;=$J55, Z$3&lt;$M55), $A55, "")</f>
        <v/>
      </c>
      <c r="Z55" s="53" t="str">
        <f aca="false">IF(AND(AA$3&gt;=$J55, AA$3&lt;$M55), $A55, "")</f>
        <v/>
      </c>
      <c r="AA55" s="53" t="str">
        <f aca="false">IF(AND(AB$3&gt;=$J55, AB$3&lt;$M55), $A55, "")</f>
        <v/>
      </c>
      <c r="AB55" s="53" t="str">
        <f aca="false">IF(AND(AC$3&gt;=$J55, AC$3&lt;$M55), $A55, "")</f>
        <v/>
      </c>
      <c r="AC55" s="53" t="str">
        <f aca="false">IF(AND(AD$3&gt;=$J55, AD$3&lt;$M55), $A55, "")</f>
        <v/>
      </c>
      <c r="AD55" s="53" t="str">
        <f aca="false">IF(AND(AE$3&gt;=$J55, AE$3&lt;$M55), $A55, "")</f>
        <v/>
      </c>
      <c r="AE55" s="53" t="str">
        <f aca="false">IF(AND(AF$3&gt;=$J55, AF$3&lt;$M55), $A55, "")</f>
        <v/>
      </c>
      <c r="AF55" s="53" t="str">
        <f aca="false">IF(AND(AG$3&gt;=$J55, AG$3&lt;$M55), $A55, "")</f>
        <v/>
      </c>
      <c r="AG55" s="53" t="str">
        <f aca="false">IF(AND(AH$3&gt;=$J55, AH$3&lt;$M55), $A55, "")</f>
        <v/>
      </c>
      <c r="AH55" s="53" t="str">
        <f aca="false">IF(AND(AI$3&gt;=$J55, AI$3&lt;$M55), $A55, "")</f>
        <v/>
      </c>
      <c r="AI55" s="53" t="str">
        <f aca="false">IF(AND(AJ$3&gt;=$J55, AJ$3&lt;$M55), $A55, "")</f>
        <v/>
      </c>
      <c r="AJ55" s="53" t="str">
        <f aca="false">IF(AND(AK$3&gt;=$J55, AK$3&lt;$M55), $A55, "")</f>
        <v/>
      </c>
      <c r="AK55" s="53" t="str">
        <f aca="false">IF(AND(AL$3&gt;=$J55, AL$3&lt;$M55), $A55, "")</f>
        <v/>
      </c>
      <c r="AL55" s="53" t="str">
        <f aca="false">IF(AND(AM$3&gt;=$J55, AM$3&lt;$M55), $A55, "")</f>
        <v/>
      </c>
      <c r="AM55" s="53" t="str">
        <f aca="false">IF(AND(AN$3&gt;=$J55, AN$3&lt;$M55), $A55, "")</f>
        <v/>
      </c>
      <c r="AN55" s="53" t="str">
        <f aca="false">IF(AND(AO$3&gt;=$J55, AO$3&lt;$M55), $A55, "")</f>
        <v/>
      </c>
      <c r="AO55" s="53" t="str">
        <f aca="false">IF(AND(AP$3&gt;=$J55, AP$3&lt;$M55), $A55, "")</f>
        <v/>
      </c>
      <c r="AP55" s="53" t="str">
        <f aca="false">IF(AND(AQ$3&gt;=$J55, AQ$3&lt;$M55), $A55, "")</f>
        <v/>
      </c>
      <c r="AQ55" s="53" t="str">
        <f aca="false">IF(AND(AR$3&gt;=$J55, AR$3&lt;$M55), $A55, "")</f>
        <v/>
      </c>
      <c r="AR55" s="53" t="str">
        <f aca="false">IF(AND(AS$3&gt;=$J55, AS$3&lt;$M55), $A55, "")</f>
        <v/>
      </c>
      <c r="AS55" s="53" t="str">
        <f aca="false">IF(AND(AT$3&gt;=$J55, AT$3&lt;$M55), $A55, "")</f>
        <v/>
      </c>
      <c r="AT55" s="53" t="str">
        <f aca="false">IF(AND(AU$3&gt;=$J55, AU$3&lt;$M55), $A55, "")</f>
        <v/>
      </c>
      <c r="AU55" s="53" t="str">
        <f aca="false">IF(AND(AV$3&gt;=$J55, AV$3&lt;$M55), $A55, "")</f>
        <v/>
      </c>
      <c r="AV55" s="53" t="str">
        <f aca="false">IF(AND(AW$3&gt;=$J55, AW$3&lt;$M55), $A55, "")</f>
        <v/>
      </c>
      <c r="AW55" s="53" t="str">
        <f aca="false">IF(AND(AX$3&gt;=$J55, AX$3&lt;$M55), $A55, "")</f>
        <v/>
      </c>
      <c r="AX55" s="53" t="str">
        <f aca="false">IF(AND(AY$3&gt;=$J55, AY$3&lt;$M55), $A55, "")</f>
        <v/>
      </c>
      <c r="AY55" s="53" t="str">
        <f aca="false">IF(AND(AZ$3&gt;=$J55, AZ$3&lt;$M55), $A55, "")</f>
        <v/>
      </c>
      <c r="AZ55" s="53" t="str">
        <f aca="false">IF(AND(BA$3&gt;=$J55, BA$3&lt;$M55), $A55, "")</f>
        <v/>
      </c>
      <c r="BA55" s="53" t="str">
        <f aca="false">IF(AND(BB$3&gt;=$J55, BB$3&lt;$M55), $A55, "")</f>
        <v/>
      </c>
      <c r="BB55" s="53" t="str">
        <f aca="false">IF(AND(BC$3&gt;=$J55, BC$3&lt;$M55), $A55, "")</f>
        <v/>
      </c>
      <c r="BC55" s="53" t="str">
        <f aca="false">IF(AND(BD$3&gt;=$J55, BD$3&lt;$M55), $A55, "")</f>
        <v/>
      </c>
      <c r="BD55" s="53" t="str">
        <f aca="false">IF(AND(BE$3&gt;=$J55, BE$3&lt;$M55), $A55, "")</f>
        <v/>
      </c>
      <c r="BE55" s="53" t="str">
        <f aca="false">IF(AND(BF$3&gt;=$J55, BF$3&lt;$M55), $A55, "")</f>
        <v/>
      </c>
      <c r="BF55" s="53" t="str">
        <f aca="false">IF(AND(BG$3&gt;=$J55, BG$3&lt;$M55), $A55, "")</f>
        <v/>
      </c>
      <c r="BG55" s="53" t="str">
        <f aca="false">IF(AND(BH$3&gt;=$J55, BH$3&lt;$M55), $A55, "")</f>
        <v/>
      </c>
      <c r="BH55" s="53" t="str">
        <f aca="false">IF(AND(BI$3&gt;=$J55, BI$3&lt;$M55), $A55, "")</f>
        <v/>
      </c>
      <c r="BI55" s="53" t="str">
        <f aca="false">IF(AND(BJ$3&gt;=$J55, BJ$3&lt;$M55), $A55, "")</f>
        <v/>
      </c>
      <c r="BJ55" s="53" t="str">
        <f aca="false">IF(AND(BK$3&gt;=$J55, BK$3&lt;$M55), $A55, "")</f>
        <v/>
      </c>
      <c r="BK55" s="53" t="str">
        <f aca="false">IF(AND(BL$3&gt;=$J55, BL$3&lt;$M55), $A55, "")</f>
        <v/>
      </c>
      <c r="BL55" s="53" t="str">
        <f aca="false">IF(AND(BM$3&gt;=$J55, BM$3&lt;$M55), $A55, "")</f>
        <v/>
      </c>
      <c r="BM55" s="53" t="str">
        <f aca="false">IF(AND(BN$3&gt;=$J55, BN$3&lt;$M55), $A55, "")</f>
        <v/>
      </c>
      <c r="BN55" s="1" t="str">
        <f aca="false">IF(AND(BO$3&gt;=$J55, BO$3&lt;$M55), $A55, "")</f>
        <v/>
      </c>
      <c r="BO55" s="1" t="str">
        <f aca="false">IF(AND(BP$3&gt;=$J55, BP$3&lt;$M55), $A55, "")</f>
        <v/>
      </c>
      <c r="BP55" s="1" t="str">
        <f aca="false">IF(AND(BQ$3&gt;=$J55, BQ$3&lt;$M55), $A55, "")</f>
        <v/>
      </c>
    </row>
    <row r="56" customFormat="false" ht="15" hidden="false" customHeight="true" outlineLevel="0" collapsed="false">
      <c r="A56" s="46" t="str">
        <f aca="false">IF(Job_Master!A56="","",Job_Master!A56)</f>
        <v>BJ-145</v>
      </c>
      <c r="B56" s="4" t="n">
        <f aca="false">IF($A56="","",Job_Master!B56)</f>
        <v>15</v>
      </c>
      <c r="C56" s="4" t="str">
        <f aca="false">IF($A56="","",Job_Master!C56)</f>
        <v>2P</v>
      </c>
      <c r="D56" s="4" t="n">
        <f aca="false">IF($A56="","",Job_Master!D56)</f>
        <v>2</v>
      </c>
      <c r="E56" s="48" t="str">
        <f aca="false">IF($A56="","",IFERROR(INDEX(Machine_List!$B$82:$B$86,MATCH("*"&amp;$B56&amp;"*",Machine_List!$J$82:$J$86,0)),"NO COMPATIBLE MACHINE"))</f>
        <v>QC-MC-01</v>
      </c>
      <c r="F56" s="4" t="str">
        <f aca="false">IF($E56="","",IFERROR(VLOOKUP($E56,Machine_List!$B:$G,6,0),""))</f>
        <v>General Workman</v>
      </c>
      <c r="G56" s="55" t="n">
        <f aca="false">IF($E56="","",IFERROR(VLOOKUP($E56,Machine_List!$B:$C,2,0),""))</f>
        <v>46518</v>
      </c>
      <c r="H56" s="4" t="n">
        <f aca="false">IF($E56="","",IFERROR(VLOOKUP($E56,Machine_List!$B:$D,3,0),""))</f>
        <v>6</v>
      </c>
      <c r="I56" s="56"/>
      <c r="J56" s="57" t="n">
        <f aca="true">IF($A56="","",IF($I56&lt;&gt;"",$I56,MAX(FID_Plan!$M56,IFERROR(LOOKUP(2,1/($E$3:INDIRECT("E"&amp;(ROW()-1))=$E56),$M$3:INDIRECT("M"&amp;(ROW()-1))),FID_Plan!$M56))))</f>
        <v>46493.6752645503</v>
      </c>
      <c r="K56" s="4" t="n">
        <f aca="false">IF($A56="","",IFERROR(VLOOKUP(B56,CHOOSE(MATCH(C56,Settings!$L$4:$L$10,0),OPR_2P!$A$4:$I$18,SEG_6P!$A$4:$I$18,SOL_4P!$A$4:$I$18,RW_2P!$A$4:$I$18,RW2_4P!$A$4:$I$18,FLAP_4P!$A$4:$I$18,TUBE_4P!$A$4:$I$18),8,0),0))</f>
        <v>13</v>
      </c>
      <c r="L56" s="4" t="n">
        <f aca="false">IF($A56="","",K56*D56)</f>
        <v>26</v>
      </c>
      <c r="M56" s="57" t="n">
        <f aca="false">IF($A56="","",$J56+($L56/(IF(F56="Contract Workman",Settings!$K$5,Settings!$K$4))))</f>
        <v>46494.878968254</v>
      </c>
      <c r="N56" s="4" t="str">
        <f aca="false">IF($A56="","",IF(F56="Contract Workman",IF(AND(MOD(M56,1)&gt;=8/24,MOD(M56,1)&lt;20/24),"Shift S1","Shift S2"),IF(AND(MOD(M56,1)&gt;=7/24,MOD(M56,1)&lt;15/24),"Shift A",IF(AND(MOD(M56,1)&gt;=15/24,MOD(M56,1)&lt;23/24),"Shift B","Shift C"))))</f>
        <v>Shift B</v>
      </c>
      <c r="O56" s="52" t="str">
        <f aca="false"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3" t="str">
        <f aca="false">IF(AND(Q$3&gt;=$J56, Q$3&lt;$M56), $A56, "")</f>
        <v/>
      </c>
      <c r="Q56" s="53" t="str">
        <f aca="false">IF(AND(R$3&gt;=$J56, R$3&lt;$M56), $A56, "")</f>
        <v/>
      </c>
      <c r="R56" s="53" t="str">
        <f aca="false">IF(AND(S$3&gt;=$J56, S$3&lt;$M56), $A56, "")</f>
        <v/>
      </c>
      <c r="S56" s="53" t="str">
        <f aca="false">IF(AND(T$3&gt;=$J56, T$3&lt;$M56), $A56, "")</f>
        <v/>
      </c>
      <c r="T56" s="53" t="str">
        <f aca="false">IF(AND(U$3&gt;=$J56, U$3&lt;$M56), $A56, "")</f>
        <v/>
      </c>
      <c r="U56" s="53" t="str">
        <f aca="false">IF(AND(V$3&gt;=$J56, V$3&lt;$M56), $A56, "")</f>
        <v/>
      </c>
      <c r="V56" s="53" t="str">
        <f aca="false">IF(AND(W$3&gt;=$J56, W$3&lt;$M56), $A56, "")</f>
        <v/>
      </c>
      <c r="W56" s="53" t="str">
        <f aca="false">IF(AND(X$3&gt;=$J56, X$3&lt;$M56), $A56, "")</f>
        <v/>
      </c>
      <c r="X56" s="53" t="str">
        <f aca="false">IF(AND(Y$3&gt;=$J56, Y$3&lt;$M56), $A56, "")</f>
        <v/>
      </c>
      <c r="Y56" s="53" t="str">
        <f aca="false">IF(AND(Z$3&gt;=$J56, Z$3&lt;$M56), $A56, "")</f>
        <v/>
      </c>
      <c r="Z56" s="53" t="str">
        <f aca="false">IF(AND(AA$3&gt;=$J56, AA$3&lt;$M56), $A56, "")</f>
        <v/>
      </c>
      <c r="AA56" s="53" t="str">
        <f aca="false">IF(AND(AB$3&gt;=$J56, AB$3&lt;$M56), $A56, "")</f>
        <v/>
      </c>
      <c r="AB56" s="53" t="str">
        <f aca="false">IF(AND(AC$3&gt;=$J56, AC$3&lt;$M56), $A56, "")</f>
        <v/>
      </c>
      <c r="AC56" s="53" t="str">
        <f aca="false">IF(AND(AD$3&gt;=$J56, AD$3&lt;$M56), $A56, "")</f>
        <v/>
      </c>
      <c r="AD56" s="53" t="str">
        <f aca="false">IF(AND(AE$3&gt;=$J56, AE$3&lt;$M56), $A56, "")</f>
        <v/>
      </c>
      <c r="AE56" s="53" t="str">
        <f aca="false">IF(AND(AF$3&gt;=$J56, AF$3&lt;$M56), $A56, "")</f>
        <v/>
      </c>
      <c r="AF56" s="53" t="str">
        <f aca="false">IF(AND(AG$3&gt;=$J56, AG$3&lt;$M56), $A56, "")</f>
        <v/>
      </c>
      <c r="AG56" s="53" t="str">
        <f aca="false">IF(AND(AH$3&gt;=$J56, AH$3&lt;$M56), $A56, "")</f>
        <v/>
      </c>
      <c r="AH56" s="53" t="str">
        <f aca="false">IF(AND(AI$3&gt;=$J56, AI$3&lt;$M56), $A56, "")</f>
        <v/>
      </c>
      <c r="AI56" s="53" t="str">
        <f aca="false">IF(AND(AJ$3&gt;=$J56, AJ$3&lt;$M56), $A56, "")</f>
        <v/>
      </c>
      <c r="AJ56" s="53" t="str">
        <f aca="false">IF(AND(AK$3&gt;=$J56, AK$3&lt;$M56), $A56, "")</f>
        <v/>
      </c>
      <c r="AK56" s="53" t="str">
        <f aca="false">IF(AND(AL$3&gt;=$J56, AL$3&lt;$M56), $A56, "")</f>
        <v/>
      </c>
      <c r="AL56" s="53" t="str">
        <f aca="false">IF(AND(AM$3&gt;=$J56, AM$3&lt;$M56), $A56, "")</f>
        <v/>
      </c>
      <c r="AM56" s="53" t="str">
        <f aca="false">IF(AND(AN$3&gt;=$J56, AN$3&lt;$M56), $A56, "")</f>
        <v/>
      </c>
      <c r="AN56" s="53" t="str">
        <f aca="false">IF(AND(AO$3&gt;=$J56, AO$3&lt;$M56), $A56, "")</f>
        <v/>
      </c>
      <c r="AO56" s="53" t="str">
        <f aca="false">IF(AND(AP$3&gt;=$J56, AP$3&lt;$M56), $A56, "")</f>
        <v/>
      </c>
      <c r="AP56" s="53" t="str">
        <f aca="false">IF(AND(AQ$3&gt;=$J56, AQ$3&lt;$M56), $A56, "")</f>
        <v/>
      </c>
      <c r="AQ56" s="53" t="str">
        <f aca="false">IF(AND(AR$3&gt;=$J56, AR$3&lt;$M56), $A56, "")</f>
        <v/>
      </c>
      <c r="AR56" s="53" t="str">
        <f aca="false">IF(AND(AS$3&gt;=$J56, AS$3&lt;$M56), $A56, "")</f>
        <v/>
      </c>
      <c r="AS56" s="53" t="str">
        <f aca="false">IF(AND(AT$3&gt;=$J56, AT$3&lt;$M56), $A56, "")</f>
        <v/>
      </c>
      <c r="AT56" s="53" t="str">
        <f aca="false">IF(AND(AU$3&gt;=$J56, AU$3&lt;$M56), $A56, "")</f>
        <v/>
      </c>
      <c r="AU56" s="53" t="str">
        <f aca="false">IF(AND(AV$3&gt;=$J56, AV$3&lt;$M56), $A56, "")</f>
        <v/>
      </c>
      <c r="AV56" s="53" t="str">
        <f aca="false">IF(AND(AW$3&gt;=$J56, AW$3&lt;$M56), $A56, "")</f>
        <v/>
      </c>
      <c r="AW56" s="53" t="str">
        <f aca="false">IF(AND(AX$3&gt;=$J56, AX$3&lt;$M56), $A56, "")</f>
        <v/>
      </c>
      <c r="AX56" s="53" t="str">
        <f aca="false">IF(AND(AY$3&gt;=$J56, AY$3&lt;$M56), $A56, "")</f>
        <v/>
      </c>
      <c r="AY56" s="53" t="str">
        <f aca="false">IF(AND(AZ$3&gt;=$J56, AZ$3&lt;$M56), $A56, "")</f>
        <v/>
      </c>
      <c r="AZ56" s="53" t="str">
        <f aca="false">IF(AND(BA$3&gt;=$J56, BA$3&lt;$M56), $A56, "")</f>
        <v/>
      </c>
      <c r="BA56" s="53" t="str">
        <f aca="false">IF(AND(BB$3&gt;=$J56, BB$3&lt;$M56), $A56, "")</f>
        <v/>
      </c>
      <c r="BB56" s="53" t="str">
        <f aca="false">IF(AND(BC$3&gt;=$J56, BC$3&lt;$M56), $A56, "")</f>
        <v/>
      </c>
      <c r="BC56" s="53" t="str">
        <f aca="false">IF(AND(BD$3&gt;=$J56, BD$3&lt;$M56), $A56, "")</f>
        <v/>
      </c>
      <c r="BD56" s="53" t="str">
        <f aca="false">IF(AND(BE$3&gt;=$J56, BE$3&lt;$M56), $A56, "")</f>
        <v/>
      </c>
      <c r="BE56" s="53" t="str">
        <f aca="false">IF(AND(BF$3&gt;=$J56, BF$3&lt;$M56), $A56, "")</f>
        <v/>
      </c>
      <c r="BF56" s="53" t="str">
        <f aca="false">IF(AND(BG$3&gt;=$J56, BG$3&lt;$M56), $A56, "")</f>
        <v/>
      </c>
      <c r="BG56" s="53" t="str">
        <f aca="false">IF(AND(BH$3&gt;=$J56, BH$3&lt;$M56), $A56, "")</f>
        <v/>
      </c>
      <c r="BH56" s="53" t="str">
        <f aca="false">IF(AND(BI$3&gt;=$J56, BI$3&lt;$M56), $A56, "")</f>
        <v/>
      </c>
      <c r="BI56" s="53" t="str">
        <f aca="false">IF(AND(BJ$3&gt;=$J56, BJ$3&lt;$M56), $A56, "")</f>
        <v/>
      </c>
      <c r="BJ56" s="53" t="str">
        <f aca="false">IF(AND(BK$3&gt;=$J56, BK$3&lt;$M56), $A56, "")</f>
        <v/>
      </c>
      <c r="BK56" s="53" t="str">
        <f aca="false">IF(AND(BL$3&gt;=$J56, BL$3&lt;$M56), $A56, "")</f>
        <v/>
      </c>
      <c r="BL56" s="53" t="str">
        <f aca="false">IF(AND(BM$3&gt;=$J56, BM$3&lt;$M56), $A56, "")</f>
        <v/>
      </c>
      <c r="BM56" s="53" t="str">
        <f aca="false">IF(AND(BN$3&gt;=$J56, BN$3&lt;$M56), $A56, "")</f>
        <v/>
      </c>
      <c r="BN56" s="1" t="str">
        <f aca="false">IF(AND(BO$3&gt;=$J56, BO$3&lt;$M56), $A56, "")</f>
        <v/>
      </c>
      <c r="BO56" s="1" t="str">
        <f aca="false">IF(AND(BP$3&gt;=$J56, BP$3&lt;$M56), $A56, "")</f>
        <v/>
      </c>
      <c r="BP56" s="1" t="str">
        <f aca="false">IF(AND(BQ$3&gt;=$J56, BQ$3&lt;$M56), $A56, "")</f>
        <v/>
      </c>
    </row>
    <row r="57" customFormat="false" ht="15" hidden="false" customHeight="true" outlineLevel="0" collapsed="false">
      <c r="A57" s="46" t="str">
        <f aca="false">IF(Job_Master!A57="","",Job_Master!A57)</f>
        <v>BJ-153</v>
      </c>
      <c r="B57" s="4" t="n">
        <f aca="false">IF($A57="","",Job_Master!B57)</f>
        <v>34</v>
      </c>
      <c r="C57" s="4" t="str">
        <f aca="false">IF($A57="","",Job_Master!C57)</f>
        <v>SEG</v>
      </c>
      <c r="D57" s="4" t="n">
        <f aca="false">IF($A57="","",Job_Master!D57)</f>
        <v>6</v>
      </c>
      <c r="E57" s="48" t="str">
        <f aca="false">IF($A57="","",IFERROR(INDEX(Machine_List!$B$82:$B$86,MATCH("*"&amp;$B57&amp;"*",Machine_List!$J$82:$J$86,0)),"NO COMPATIBLE MACHINE"))</f>
        <v>QC-MC-01</v>
      </c>
      <c r="F57" s="4" t="str">
        <f aca="false">IF($E57="","",IFERROR(VLOOKUP($E57,Machine_List!$B:$G,6,0),""))</f>
        <v>General Workman</v>
      </c>
      <c r="G57" s="55" t="n">
        <f aca="false">IF($E57="","",IFERROR(VLOOKUP($E57,Machine_List!$B:$C,2,0),""))</f>
        <v>46518</v>
      </c>
      <c r="H57" s="4" t="n">
        <f aca="false">IF($E57="","",IFERROR(VLOOKUP($E57,Machine_List!$B:$D,3,0),""))</f>
        <v>6</v>
      </c>
      <c r="I57" s="56"/>
      <c r="J57" s="57" t="n">
        <f aca="true">IF($A57="","",IF($I57&lt;&gt;"",$I57,MAX(FID_Plan!$M57,IFERROR(LOOKUP(2,1/($E$3:INDIRECT("E"&amp;(ROW()-1))=$E57),$M$3:INDIRECT("M"&amp;(ROW()-1))),FID_Plan!$M57))))</f>
        <v>46515.8875661376</v>
      </c>
      <c r="K57" s="4" t="n">
        <f aca="false">IF($A57="","",IFERROR(VLOOKUP(B57,CHOOSE(MATCH(C57,Settings!$L$4:$L$10,0),OPR_2P!$A$4:$I$18,SEG_6P!$A$4:$I$18,SOL_4P!$A$4:$I$18,RW_2P!$A$4:$I$18,RW2_4P!$A$4:$I$18,FLAP_4P!$A$4:$I$18,TUBE_4P!$A$4:$I$18),8,0),0))</f>
        <v>31</v>
      </c>
      <c r="L57" s="4" t="n">
        <f aca="false">IF($A57="","",K57*D57)</f>
        <v>186</v>
      </c>
      <c r="M57" s="57" t="n">
        <f aca="false">IF($A57="","",$J57+($L57/(IF(F57="Contract Workman",Settings!$K$5,Settings!$K$4))))</f>
        <v>46524.4986772487</v>
      </c>
      <c r="N57" s="4" t="str">
        <f aca="false">IF($A57="","",IF(F57="Contract Workman",IF(AND(MOD(M57,1)&gt;=8/24,MOD(M57,1)&lt;20/24),"Shift S1","Shift S2"),IF(AND(MOD(M57,1)&gt;=7/24,MOD(M57,1)&lt;15/24),"Shift A",IF(AND(MOD(M57,1)&gt;=15/24,MOD(M57,1)&lt;23/24),"Shift B","Shift C"))))</f>
        <v>Shift A</v>
      </c>
      <c r="O57" s="52" t="str">
        <f aca="false"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3" t="str">
        <f aca="false">IF(AND(Q$3&gt;=$J57, Q$3&lt;$M57), $A57, "")</f>
        <v/>
      </c>
      <c r="Q57" s="53" t="str">
        <f aca="false">IF(AND(R$3&gt;=$J57, R$3&lt;$M57), $A57, "")</f>
        <v/>
      </c>
      <c r="R57" s="53" t="str">
        <f aca="false">IF(AND(S$3&gt;=$J57, S$3&lt;$M57), $A57, "")</f>
        <v/>
      </c>
      <c r="S57" s="53" t="str">
        <f aca="false">IF(AND(T$3&gt;=$J57, T$3&lt;$M57), $A57, "")</f>
        <v/>
      </c>
      <c r="T57" s="53" t="str">
        <f aca="false">IF(AND(U$3&gt;=$J57, U$3&lt;$M57), $A57, "")</f>
        <v/>
      </c>
      <c r="U57" s="53" t="str">
        <f aca="false">IF(AND(V$3&gt;=$J57, V$3&lt;$M57), $A57, "")</f>
        <v/>
      </c>
      <c r="V57" s="53" t="str">
        <f aca="false">IF(AND(W$3&gt;=$J57, W$3&lt;$M57), $A57, "")</f>
        <v/>
      </c>
      <c r="W57" s="53" t="str">
        <f aca="false">IF(AND(X$3&gt;=$J57, X$3&lt;$M57), $A57, "")</f>
        <v/>
      </c>
      <c r="X57" s="53" t="str">
        <f aca="false">IF(AND(Y$3&gt;=$J57, Y$3&lt;$M57), $A57, "")</f>
        <v/>
      </c>
      <c r="Y57" s="53" t="str">
        <f aca="false">IF(AND(Z$3&gt;=$J57, Z$3&lt;$M57), $A57, "")</f>
        <v/>
      </c>
      <c r="Z57" s="53" t="str">
        <f aca="false">IF(AND(AA$3&gt;=$J57, AA$3&lt;$M57), $A57, "")</f>
        <v/>
      </c>
      <c r="AA57" s="53" t="str">
        <f aca="false">IF(AND(AB$3&gt;=$J57, AB$3&lt;$M57), $A57, "")</f>
        <v/>
      </c>
      <c r="AB57" s="53" t="str">
        <f aca="false">IF(AND(AC$3&gt;=$J57, AC$3&lt;$M57), $A57, "")</f>
        <v/>
      </c>
      <c r="AC57" s="53" t="str">
        <f aca="false">IF(AND(AD$3&gt;=$J57, AD$3&lt;$M57), $A57, "")</f>
        <v/>
      </c>
      <c r="AD57" s="53" t="str">
        <f aca="false">IF(AND(AE$3&gt;=$J57, AE$3&lt;$M57), $A57, "")</f>
        <v/>
      </c>
      <c r="AE57" s="53" t="str">
        <f aca="false">IF(AND(AF$3&gt;=$J57, AF$3&lt;$M57), $A57, "")</f>
        <v/>
      </c>
      <c r="AF57" s="53" t="str">
        <f aca="false">IF(AND(AG$3&gt;=$J57, AG$3&lt;$M57), $A57, "")</f>
        <v/>
      </c>
      <c r="AG57" s="53" t="str">
        <f aca="false">IF(AND(AH$3&gt;=$J57, AH$3&lt;$M57), $A57, "")</f>
        <v/>
      </c>
      <c r="AH57" s="53" t="str">
        <f aca="false">IF(AND(AI$3&gt;=$J57, AI$3&lt;$M57), $A57, "")</f>
        <v/>
      </c>
      <c r="AI57" s="53" t="str">
        <f aca="false">IF(AND(AJ$3&gt;=$J57, AJ$3&lt;$M57), $A57, "")</f>
        <v/>
      </c>
      <c r="AJ57" s="53" t="str">
        <f aca="false">IF(AND(AK$3&gt;=$J57, AK$3&lt;$M57), $A57, "")</f>
        <v/>
      </c>
      <c r="AK57" s="53" t="str">
        <f aca="false">IF(AND(AL$3&gt;=$J57, AL$3&lt;$M57), $A57, "")</f>
        <v/>
      </c>
      <c r="AL57" s="53" t="str">
        <f aca="false">IF(AND(AM$3&gt;=$J57, AM$3&lt;$M57), $A57, "")</f>
        <v/>
      </c>
      <c r="AM57" s="53" t="str">
        <f aca="false">IF(AND(AN$3&gt;=$J57, AN$3&lt;$M57), $A57, "")</f>
        <v/>
      </c>
      <c r="AN57" s="53" t="str">
        <f aca="false">IF(AND(AO$3&gt;=$J57, AO$3&lt;$M57), $A57, "")</f>
        <v/>
      </c>
      <c r="AO57" s="53" t="str">
        <f aca="false">IF(AND(AP$3&gt;=$J57, AP$3&lt;$M57), $A57, "")</f>
        <v/>
      </c>
      <c r="AP57" s="53" t="str">
        <f aca="false">IF(AND(AQ$3&gt;=$J57, AQ$3&lt;$M57), $A57, "")</f>
        <v/>
      </c>
      <c r="AQ57" s="53" t="str">
        <f aca="false">IF(AND(AR$3&gt;=$J57, AR$3&lt;$M57), $A57, "")</f>
        <v/>
      </c>
      <c r="AR57" s="53" t="str">
        <f aca="false">IF(AND(AS$3&gt;=$J57, AS$3&lt;$M57), $A57, "")</f>
        <v/>
      </c>
      <c r="AS57" s="53" t="str">
        <f aca="false">IF(AND(AT$3&gt;=$J57, AT$3&lt;$M57), $A57, "")</f>
        <v/>
      </c>
      <c r="AT57" s="53" t="str">
        <f aca="false">IF(AND(AU$3&gt;=$J57, AU$3&lt;$M57), $A57, "")</f>
        <v/>
      </c>
      <c r="AU57" s="53" t="str">
        <f aca="false">IF(AND(AV$3&gt;=$J57, AV$3&lt;$M57), $A57, "")</f>
        <v/>
      </c>
      <c r="AV57" s="53" t="str">
        <f aca="false">IF(AND(AW$3&gt;=$J57, AW$3&lt;$M57), $A57, "")</f>
        <v/>
      </c>
      <c r="AW57" s="53" t="str">
        <f aca="false">IF(AND(AX$3&gt;=$J57, AX$3&lt;$M57), $A57, "")</f>
        <v/>
      </c>
      <c r="AX57" s="53" t="str">
        <f aca="false">IF(AND(AY$3&gt;=$J57, AY$3&lt;$M57), $A57, "")</f>
        <v/>
      </c>
      <c r="AY57" s="53" t="str">
        <f aca="false">IF(AND(AZ$3&gt;=$J57, AZ$3&lt;$M57), $A57, "")</f>
        <v/>
      </c>
      <c r="AZ57" s="53" t="str">
        <f aca="false">IF(AND(BA$3&gt;=$J57, BA$3&lt;$M57), $A57, "")</f>
        <v/>
      </c>
      <c r="BA57" s="53" t="str">
        <f aca="false">IF(AND(BB$3&gt;=$J57, BB$3&lt;$M57), $A57, "")</f>
        <v/>
      </c>
      <c r="BB57" s="53" t="str">
        <f aca="false">IF(AND(BC$3&gt;=$J57, BC$3&lt;$M57), $A57, "")</f>
        <v/>
      </c>
      <c r="BC57" s="53" t="str">
        <f aca="false">IF(AND(BD$3&gt;=$J57, BD$3&lt;$M57), $A57, "")</f>
        <v/>
      </c>
      <c r="BD57" s="53" t="str">
        <f aca="false">IF(AND(BE$3&gt;=$J57, BE$3&lt;$M57), $A57, "")</f>
        <v/>
      </c>
      <c r="BE57" s="53" t="str">
        <f aca="false">IF(AND(BF$3&gt;=$J57, BF$3&lt;$M57), $A57, "")</f>
        <v/>
      </c>
      <c r="BF57" s="53" t="str">
        <f aca="false">IF(AND(BG$3&gt;=$J57, BG$3&lt;$M57), $A57, "")</f>
        <v/>
      </c>
      <c r="BG57" s="53" t="str">
        <f aca="false">IF(AND(BH$3&gt;=$J57, BH$3&lt;$M57), $A57, "")</f>
        <v/>
      </c>
      <c r="BH57" s="53" t="str">
        <f aca="false">IF(AND(BI$3&gt;=$J57, BI$3&lt;$M57), $A57, "")</f>
        <v/>
      </c>
      <c r="BI57" s="53" t="str">
        <f aca="false">IF(AND(BJ$3&gt;=$J57, BJ$3&lt;$M57), $A57, "")</f>
        <v/>
      </c>
      <c r="BJ57" s="53" t="str">
        <f aca="false">IF(AND(BK$3&gt;=$J57, BK$3&lt;$M57), $A57, "")</f>
        <v/>
      </c>
      <c r="BK57" s="53" t="str">
        <f aca="false">IF(AND(BL$3&gt;=$J57, BL$3&lt;$M57), $A57, "")</f>
        <v/>
      </c>
      <c r="BL57" s="53" t="str">
        <f aca="false">IF(AND(BM$3&gt;=$J57, BM$3&lt;$M57), $A57, "")</f>
        <v/>
      </c>
      <c r="BM57" s="53" t="str">
        <f aca="false">IF(AND(BN$3&gt;=$J57, BN$3&lt;$M57), $A57, "")</f>
        <v/>
      </c>
      <c r="BN57" s="1" t="str">
        <f aca="false">IF(AND(BO$3&gt;=$J57, BO$3&lt;$M57), $A57, "")</f>
        <v/>
      </c>
      <c r="BO57" s="1" t="str">
        <f aca="false">IF(AND(BP$3&gt;=$J57, BP$3&lt;$M57), $A57, "")</f>
        <v/>
      </c>
      <c r="BP57" s="1" t="str">
        <f aca="false">IF(AND(BQ$3&gt;=$J57, BQ$3&lt;$M57), $A57, "")</f>
        <v/>
      </c>
    </row>
    <row r="58" customFormat="false" ht="15" hidden="false" customHeight="true" outlineLevel="0" collapsed="false">
      <c r="A58" s="46" t="str">
        <f aca="false">IF(Job_Master!A58="","",Job_Master!A58)</f>
        <v>BJ-160</v>
      </c>
      <c r="B58" s="4" t="n">
        <f aca="false">IF($A58="","",Job_Master!B58)</f>
        <v>34</v>
      </c>
      <c r="C58" s="4" t="str">
        <f aca="false">IF($A58="","",Job_Master!C58)</f>
        <v>2P</v>
      </c>
      <c r="D58" s="4" t="n">
        <f aca="false">IF($A58="","",Job_Master!D58)</f>
        <v>2</v>
      </c>
      <c r="E58" s="48" t="str">
        <f aca="false">IF($A58="","",IFERROR(INDEX(Machine_List!$B$82:$B$86,MATCH("*"&amp;$B58&amp;"*",Machine_List!$J$82:$J$86,0)),"NO COMPATIBLE MACHINE"))</f>
        <v>QC-MC-01</v>
      </c>
      <c r="F58" s="4" t="str">
        <f aca="false">IF($E58="","",IFERROR(VLOOKUP($E58,Machine_List!$B:$G,6,0),""))</f>
        <v>General Workman</v>
      </c>
      <c r="G58" s="55" t="n">
        <f aca="false">IF($E58="","",IFERROR(VLOOKUP($E58,Machine_List!$B:$C,2,0),""))</f>
        <v>46518</v>
      </c>
      <c r="H58" s="4" t="n">
        <f aca="false">IF($E58="","",IFERROR(VLOOKUP($E58,Machine_List!$B:$D,3,0),""))</f>
        <v>6</v>
      </c>
      <c r="I58" s="56"/>
      <c r="J58" s="57" t="n">
        <f aca="true">IF($A58="","",IF($I58&lt;&gt;"",$I58,MAX(FID_Plan!$M58,IFERROR(LOOKUP(2,1/($E$3:INDIRECT("E"&amp;(ROW()-1))=$E58),$M$3:INDIRECT("M"&amp;(ROW()-1))),FID_Plan!$M58))))</f>
        <v>46524.4986772487</v>
      </c>
      <c r="K58" s="4" t="n">
        <f aca="false">IF($A58="","",IFERROR(VLOOKUP(B58,CHOOSE(MATCH(C58,Settings!$L$4:$L$10,0),OPR_2P!$A$4:$I$18,SEG_6P!$A$4:$I$18,SOL_4P!$A$4:$I$18,RW_2P!$A$4:$I$18,RW2_4P!$A$4:$I$18,FLAP_4P!$A$4:$I$18,TUBE_4P!$A$4:$I$18),8,0),0))</f>
        <v>27</v>
      </c>
      <c r="L58" s="4" t="n">
        <f aca="false">IF($A58="","",K58*D58)</f>
        <v>54</v>
      </c>
      <c r="M58" s="57" t="n">
        <f aca="false">IF($A58="","",$J58+($L58/(IF(F58="Contract Workman",Settings!$K$5,Settings!$K$4))))</f>
        <v>46526.9986772487</v>
      </c>
      <c r="N58" s="4" t="str">
        <f aca="false">IF($A58="","",IF(F58="Contract Workman",IF(AND(MOD(M58,1)&gt;=8/24,MOD(M58,1)&lt;20/24),"Shift S1","Shift S2"),IF(AND(MOD(M58,1)&gt;=7/24,MOD(M58,1)&lt;15/24),"Shift A",IF(AND(MOD(M58,1)&gt;=15/24,MOD(M58,1)&lt;23/24),"Shift B","Shift C"))))</f>
        <v>Shift C</v>
      </c>
      <c r="O58" s="52" t="str">
        <f aca="false"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3" t="str">
        <f aca="false">IF(AND(Q$3&gt;=$J58, Q$3&lt;$M58), $A58, "")</f>
        <v/>
      </c>
      <c r="Q58" s="53" t="str">
        <f aca="false">IF(AND(R$3&gt;=$J58, R$3&lt;$M58), $A58, "")</f>
        <v/>
      </c>
      <c r="R58" s="53" t="str">
        <f aca="false">IF(AND(S$3&gt;=$J58, S$3&lt;$M58), $A58, "")</f>
        <v/>
      </c>
      <c r="S58" s="53" t="str">
        <f aca="false">IF(AND(T$3&gt;=$J58, T$3&lt;$M58), $A58, "")</f>
        <v/>
      </c>
      <c r="T58" s="53" t="str">
        <f aca="false">IF(AND(U$3&gt;=$J58, U$3&lt;$M58), $A58, "")</f>
        <v/>
      </c>
      <c r="U58" s="53" t="str">
        <f aca="false">IF(AND(V$3&gt;=$J58, V$3&lt;$M58), $A58, "")</f>
        <v/>
      </c>
      <c r="V58" s="53" t="str">
        <f aca="false">IF(AND(W$3&gt;=$J58, W$3&lt;$M58), $A58, "")</f>
        <v/>
      </c>
      <c r="W58" s="53" t="str">
        <f aca="false">IF(AND(X$3&gt;=$J58, X$3&lt;$M58), $A58, "")</f>
        <v/>
      </c>
      <c r="X58" s="53" t="str">
        <f aca="false">IF(AND(Y$3&gt;=$J58, Y$3&lt;$M58), $A58, "")</f>
        <v/>
      </c>
      <c r="Y58" s="53" t="str">
        <f aca="false">IF(AND(Z$3&gt;=$J58, Z$3&lt;$M58), $A58, "")</f>
        <v/>
      </c>
      <c r="Z58" s="53" t="str">
        <f aca="false">IF(AND(AA$3&gt;=$J58, AA$3&lt;$M58), $A58, "")</f>
        <v/>
      </c>
      <c r="AA58" s="53" t="str">
        <f aca="false">IF(AND(AB$3&gt;=$J58, AB$3&lt;$M58), $A58, "")</f>
        <v/>
      </c>
      <c r="AB58" s="53" t="str">
        <f aca="false">IF(AND(AC$3&gt;=$J58, AC$3&lt;$M58), $A58, "")</f>
        <v/>
      </c>
      <c r="AC58" s="53" t="str">
        <f aca="false">IF(AND(AD$3&gt;=$J58, AD$3&lt;$M58), $A58, "")</f>
        <v/>
      </c>
      <c r="AD58" s="53" t="str">
        <f aca="false">IF(AND(AE$3&gt;=$J58, AE$3&lt;$M58), $A58, "")</f>
        <v/>
      </c>
      <c r="AE58" s="53" t="str">
        <f aca="false">IF(AND(AF$3&gt;=$J58, AF$3&lt;$M58), $A58, "")</f>
        <v/>
      </c>
      <c r="AF58" s="53" t="str">
        <f aca="false">IF(AND(AG$3&gt;=$J58, AG$3&lt;$M58), $A58, "")</f>
        <v/>
      </c>
      <c r="AG58" s="53" t="str">
        <f aca="false">IF(AND(AH$3&gt;=$J58, AH$3&lt;$M58), $A58, "")</f>
        <v/>
      </c>
      <c r="AH58" s="53" t="str">
        <f aca="false">IF(AND(AI$3&gt;=$J58, AI$3&lt;$M58), $A58, "")</f>
        <v/>
      </c>
      <c r="AI58" s="53" t="str">
        <f aca="false">IF(AND(AJ$3&gt;=$J58, AJ$3&lt;$M58), $A58, "")</f>
        <v/>
      </c>
      <c r="AJ58" s="53" t="str">
        <f aca="false">IF(AND(AK$3&gt;=$J58, AK$3&lt;$M58), $A58, "")</f>
        <v/>
      </c>
      <c r="AK58" s="53" t="str">
        <f aca="false">IF(AND(AL$3&gt;=$J58, AL$3&lt;$M58), $A58, "")</f>
        <v/>
      </c>
      <c r="AL58" s="53" t="str">
        <f aca="false">IF(AND(AM$3&gt;=$J58, AM$3&lt;$M58), $A58, "")</f>
        <v/>
      </c>
      <c r="AM58" s="53" t="str">
        <f aca="false">IF(AND(AN$3&gt;=$J58, AN$3&lt;$M58), $A58, "")</f>
        <v/>
      </c>
      <c r="AN58" s="53" t="str">
        <f aca="false">IF(AND(AO$3&gt;=$J58, AO$3&lt;$M58), $A58, "")</f>
        <v/>
      </c>
      <c r="AO58" s="53" t="str">
        <f aca="false">IF(AND(AP$3&gt;=$J58, AP$3&lt;$M58), $A58, "")</f>
        <v/>
      </c>
      <c r="AP58" s="53" t="str">
        <f aca="false">IF(AND(AQ$3&gt;=$J58, AQ$3&lt;$M58), $A58, "")</f>
        <v/>
      </c>
      <c r="AQ58" s="53" t="str">
        <f aca="false">IF(AND(AR$3&gt;=$J58, AR$3&lt;$M58), $A58, "")</f>
        <v/>
      </c>
      <c r="AR58" s="53" t="str">
        <f aca="false">IF(AND(AS$3&gt;=$J58, AS$3&lt;$M58), $A58, "")</f>
        <v/>
      </c>
      <c r="AS58" s="53" t="str">
        <f aca="false">IF(AND(AT$3&gt;=$J58, AT$3&lt;$M58), $A58, "")</f>
        <v/>
      </c>
      <c r="AT58" s="53" t="str">
        <f aca="false">IF(AND(AU$3&gt;=$J58, AU$3&lt;$M58), $A58, "")</f>
        <v/>
      </c>
      <c r="AU58" s="53" t="str">
        <f aca="false">IF(AND(AV$3&gt;=$J58, AV$3&lt;$M58), $A58, "")</f>
        <v/>
      </c>
      <c r="AV58" s="53" t="str">
        <f aca="false">IF(AND(AW$3&gt;=$J58, AW$3&lt;$M58), $A58, "")</f>
        <v/>
      </c>
      <c r="AW58" s="53" t="str">
        <f aca="false">IF(AND(AX$3&gt;=$J58, AX$3&lt;$M58), $A58, "")</f>
        <v/>
      </c>
      <c r="AX58" s="53" t="str">
        <f aca="false">IF(AND(AY$3&gt;=$J58, AY$3&lt;$M58), $A58, "")</f>
        <v/>
      </c>
      <c r="AY58" s="53" t="str">
        <f aca="false">IF(AND(AZ$3&gt;=$J58, AZ$3&lt;$M58), $A58, "")</f>
        <v/>
      </c>
      <c r="AZ58" s="53" t="str">
        <f aca="false">IF(AND(BA$3&gt;=$J58, BA$3&lt;$M58), $A58, "")</f>
        <v/>
      </c>
      <c r="BA58" s="53" t="str">
        <f aca="false">IF(AND(BB$3&gt;=$J58, BB$3&lt;$M58), $A58, "")</f>
        <v/>
      </c>
      <c r="BB58" s="53" t="str">
        <f aca="false">IF(AND(BC$3&gt;=$J58, BC$3&lt;$M58), $A58, "")</f>
        <v/>
      </c>
      <c r="BC58" s="53" t="str">
        <f aca="false">IF(AND(BD$3&gt;=$J58, BD$3&lt;$M58), $A58, "")</f>
        <v/>
      </c>
      <c r="BD58" s="53" t="str">
        <f aca="false">IF(AND(BE$3&gt;=$J58, BE$3&lt;$M58), $A58, "")</f>
        <v/>
      </c>
      <c r="BE58" s="53" t="str">
        <f aca="false">IF(AND(BF$3&gt;=$J58, BF$3&lt;$M58), $A58, "")</f>
        <v/>
      </c>
      <c r="BF58" s="53" t="str">
        <f aca="false">IF(AND(BG$3&gt;=$J58, BG$3&lt;$M58), $A58, "")</f>
        <v/>
      </c>
      <c r="BG58" s="53" t="str">
        <f aca="false">IF(AND(BH$3&gt;=$J58, BH$3&lt;$M58), $A58, "")</f>
        <v/>
      </c>
      <c r="BH58" s="53" t="str">
        <f aca="false">IF(AND(BI$3&gt;=$J58, BI$3&lt;$M58), $A58, "")</f>
        <v/>
      </c>
      <c r="BI58" s="53" t="str">
        <f aca="false">IF(AND(BJ$3&gt;=$J58, BJ$3&lt;$M58), $A58, "")</f>
        <v/>
      </c>
      <c r="BJ58" s="53" t="str">
        <f aca="false">IF(AND(BK$3&gt;=$J58, BK$3&lt;$M58), $A58, "")</f>
        <v/>
      </c>
      <c r="BK58" s="53" t="str">
        <f aca="false">IF(AND(BL$3&gt;=$J58, BL$3&lt;$M58), $A58, "")</f>
        <v/>
      </c>
      <c r="BL58" s="53" t="str">
        <f aca="false">IF(AND(BM$3&gt;=$J58, BM$3&lt;$M58), $A58, "")</f>
        <v/>
      </c>
      <c r="BM58" s="53" t="str">
        <f aca="false">IF(AND(BN$3&gt;=$J58, BN$3&lt;$M58), $A58, "")</f>
        <v/>
      </c>
      <c r="BN58" s="1" t="str">
        <f aca="false">IF(AND(BO$3&gt;=$J58, BO$3&lt;$M58), $A58, "")</f>
        <v/>
      </c>
      <c r="BO58" s="1" t="str">
        <f aca="false">IF(AND(BP$3&gt;=$J58, BP$3&lt;$M58), $A58, "")</f>
        <v/>
      </c>
      <c r="BP58" s="1" t="str">
        <f aca="false">IF(AND(BQ$3&gt;=$J58, BQ$3&lt;$M58), $A58, "")</f>
        <v/>
      </c>
    </row>
    <row r="59" customFormat="false" ht="15" hidden="false" customHeight="true" outlineLevel="0" collapsed="false">
      <c r="A59" s="46" t="str">
        <f aca="false">IF(Job_Master!A59="","",Job_Master!A59)</f>
        <v>BJ-158</v>
      </c>
      <c r="B59" s="4" t="n">
        <f aca="false">IF($A59="","",Job_Master!B59)</f>
        <v>54</v>
      </c>
      <c r="C59" s="4" t="str">
        <f aca="false">IF($A59="","",Job_Master!C59)</f>
        <v>2P</v>
      </c>
      <c r="D59" s="4" t="n">
        <f aca="false">IF($A59="","",Job_Master!D59)</f>
        <v>2</v>
      </c>
      <c r="E59" s="48" t="str">
        <f aca="false">IF($A59="","",IFERROR(INDEX(Machine_List!$B$82:$B$86,MATCH("*"&amp;$B59&amp;"*",Machine_List!$J$82:$J$86,0)),"NO COMPATIBLE MACHINE"))</f>
        <v>QC-MC-01</v>
      </c>
      <c r="F59" s="4" t="str">
        <f aca="false">IF($E59="","",IFERROR(VLOOKUP($E59,Machine_List!$B:$G,6,0),""))</f>
        <v>General Workman</v>
      </c>
      <c r="G59" s="55" t="n">
        <f aca="false">IF($E59="","",IFERROR(VLOOKUP($E59,Machine_List!$B:$C,2,0),""))</f>
        <v>46518</v>
      </c>
      <c r="H59" s="4" t="n">
        <f aca="false">IF($E59="","",IFERROR(VLOOKUP($E59,Machine_List!$B:$D,3,0),""))</f>
        <v>6</v>
      </c>
      <c r="I59" s="56"/>
      <c r="J59" s="57" t="n">
        <f aca="true">IF($A59="","",IF($I59&lt;&gt;"",$I59,MAX(FID_Plan!$M59,IFERROR(LOOKUP(2,1/($E$3:INDIRECT("E"&amp;(ROW()-1))=$E59),$M$3:INDIRECT("M"&amp;(ROW()-1))),FID_Plan!$M59))))</f>
        <v>46526.9986772487</v>
      </c>
      <c r="K59" s="4" t="n">
        <f aca="false">IF($A59="","",IFERROR(VLOOKUP(B59,CHOOSE(MATCH(C59,Settings!$L$4:$L$10,0),OPR_2P!$A$4:$I$18,SEG_6P!$A$4:$I$18,SOL_4P!$A$4:$I$18,RW_2P!$A$4:$I$18,RW2_4P!$A$4:$I$18,FLAP_4P!$A$4:$I$18,TUBE_4P!$A$4:$I$18),8,0),0))</f>
        <v>67</v>
      </c>
      <c r="L59" s="4" t="n">
        <f aca="false">IF($A59="","",K59*D59)</f>
        <v>134</v>
      </c>
      <c r="M59" s="57" t="n">
        <f aca="false">IF($A59="","",$J59+($L59/(IF(F59="Contract Workman",Settings!$K$5,Settings!$K$4))))</f>
        <v>46533.2023809524</v>
      </c>
      <c r="N59" s="4" t="str">
        <f aca="false">IF($A59="","",IF(F59="Contract Workman",IF(AND(MOD(M59,1)&gt;=8/24,MOD(M59,1)&lt;20/24),"Shift S1","Shift S2"),IF(AND(MOD(M59,1)&gt;=7/24,MOD(M59,1)&lt;15/24),"Shift A",IF(AND(MOD(M59,1)&gt;=15/24,MOD(M59,1)&lt;23/24),"Shift B","Shift C"))))</f>
        <v>Shift C</v>
      </c>
      <c r="O59" s="52" t="str">
        <f aca="false"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3" t="str">
        <f aca="false">IF(AND(Q$3&gt;=$J59, Q$3&lt;$M59), $A59, "")</f>
        <v/>
      </c>
      <c r="Q59" s="53" t="str">
        <f aca="false">IF(AND(R$3&gt;=$J59, R$3&lt;$M59), $A59, "")</f>
        <v/>
      </c>
      <c r="R59" s="53" t="str">
        <f aca="false">IF(AND(S$3&gt;=$J59, S$3&lt;$M59), $A59, "")</f>
        <v/>
      </c>
      <c r="S59" s="53" t="str">
        <f aca="false">IF(AND(T$3&gt;=$J59, T$3&lt;$M59), $A59, "")</f>
        <v/>
      </c>
      <c r="T59" s="53" t="str">
        <f aca="false">IF(AND(U$3&gt;=$J59, U$3&lt;$M59), $A59, "")</f>
        <v/>
      </c>
      <c r="U59" s="53" t="str">
        <f aca="false">IF(AND(V$3&gt;=$J59, V$3&lt;$M59), $A59, "")</f>
        <v/>
      </c>
      <c r="V59" s="53" t="str">
        <f aca="false">IF(AND(W$3&gt;=$J59, W$3&lt;$M59), $A59, "")</f>
        <v/>
      </c>
      <c r="W59" s="53" t="str">
        <f aca="false">IF(AND(X$3&gt;=$J59, X$3&lt;$M59), $A59, "")</f>
        <v/>
      </c>
      <c r="X59" s="53" t="str">
        <f aca="false">IF(AND(Y$3&gt;=$J59, Y$3&lt;$M59), $A59, "")</f>
        <v/>
      </c>
      <c r="Y59" s="53" t="str">
        <f aca="false">IF(AND(Z$3&gt;=$J59, Z$3&lt;$M59), $A59, "")</f>
        <v/>
      </c>
      <c r="Z59" s="53" t="str">
        <f aca="false">IF(AND(AA$3&gt;=$J59, AA$3&lt;$M59), $A59, "")</f>
        <v/>
      </c>
      <c r="AA59" s="53" t="str">
        <f aca="false">IF(AND(AB$3&gt;=$J59, AB$3&lt;$M59), $A59, "")</f>
        <v/>
      </c>
      <c r="AB59" s="53" t="str">
        <f aca="false">IF(AND(AC$3&gt;=$J59, AC$3&lt;$M59), $A59, "")</f>
        <v/>
      </c>
      <c r="AC59" s="53" t="str">
        <f aca="false">IF(AND(AD$3&gt;=$J59, AD$3&lt;$M59), $A59, "")</f>
        <v/>
      </c>
      <c r="AD59" s="53" t="str">
        <f aca="false">IF(AND(AE$3&gt;=$J59, AE$3&lt;$M59), $A59, "")</f>
        <v/>
      </c>
      <c r="AE59" s="53" t="str">
        <f aca="false">IF(AND(AF$3&gt;=$J59, AF$3&lt;$M59), $A59, "")</f>
        <v/>
      </c>
      <c r="AF59" s="53" t="str">
        <f aca="false">IF(AND(AG$3&gt;=$J59, AG$3&lt;$M59), $A59, "")</f>
        <v/>
      </c>
      <c r="AG59" s="53" t="str">
        <f aca="false">IF(AND(AH$3&gt;=$J59, AH$3&lt;$M59), $A59, "")</f>
        <v/>
      </c>
      <c r="AH59" s="53" t="str">
        <f aca="false">IF(AND(AI$3&gt;=$J59, AI$3&lt;$M59), $A59, "")</f>
        <v/>
      </c>
      <c r="AI59" s="53" t="str">
        <f aca="false">IF(AND(AJ$3&gt;=$J59, AJ$3&lt;$M59), $A59, "")</f>
        <v/>
      </c>
      <c r="AJ59" s="53" t="str">
        <f aca="false">IF(AND(AK$3&gt;=$J59, AK$3&lt;$M59), $A59, "")</f>
        <v/>
      </c>
      <c r="AK59" s="53" t="str">
        <f aca="false">IF(AND(AL$3&gt;=$J59, AL$3&lt;$M59), $A59, "")</f>
        <v/>
      </c>
      <c r="AL59" s="53" t="str">
        <f aca="false">IF(AND(AM$3&gt;=$J59, AM$3&lt;$M59), $A59, "")</f>
        <v/>
      </c>
      <c r="AM59" s="53" t="str">
        <f aca="false">IF(AND(AN$3&gt;=$J59, AN$3&lt;$M59), $A59, "")</f>
        <v/>
      </c>
      <c r="AN59" s="53" t="str">
        <f aca="false">IF(AND(AO$3&gt;=$J59, AO$3&lt;$M59), $A59, "")</f>
        <v/>
      </c>
      <c r="AO59" s="53" t="str">
        <f aca="false">IF(AND(AP$3&gt;=$J59, AP$3&lt;$M59), $A59, "")</f>
        <v/>
      </c>
      <c r="AP59" s="53" t="str">
        <f aca="false">IF(AND(AQ$3&gt;=$J59, AQ$3&lt;$M59), $A59, "")</f>
        <v/>
      </c>
      <c r="AQ59" s="53" t="str">
        <f aca="false">IF(AND(AR$3&gt;=$J59, AR$3&lt;$M59), $A59, "")</f>
        <v/>
      </c>
      <c r="AR59" s="53" t="str">
        <f aca="false">IF(AND(AS$3&gt;=$J59, AS$3&lt;$M59), $A59, "")</f>
        <v/>
      </c>
      <c r="AS59" s="53" t="str">
        <f aca="false">IF(AND(AT$3&gt;=$J59, AT$3&lt;$M59), $A59, "")</f>
        <v/>
      </c>
      <c r="AT59" s="53" t="str">
        <f aca="false">IF(AND(AU$3&gt;=$J59, AU$3&lt;$M59), $A59, "")</f>
        <v/>
      </c>
      <c r="AU59" s="53" t="str">
        <f aca="false">IF(AND(AV$3&gt;=$J59, AV$3&lt;$M59), $A59, "")</f>
        <v/>
      </c>
      <c r="AV59" s="53" t="str">
        <f aca="false">IF(AND(AW$3&gt;=$J59, AW$3&lt;$M59), $A59, "")</f>
        <v/>
      </c>
      <c r="AW59" s="53" t="str">
        <f aca="false">IF(AND(AX$3&gt;=$J59, AX$3&lt;$M59), $A59, "")</f>
        <v/>
      </c>
      <c r="AX59" s="53" t="str">
        <f aca="false">IF(AND(AY$3&gt;=$J59, AY$3&lt;$M59), $A59, "")</f>
        <v/>
      </c>
      <c r="AY59" s="53" t="str">
        <f aca="false">IF(AND(AZ$3&gt;=$J59, AZ$3&lt;$M59), $A59, "")</f>
        <v/>
      </c>
      <c r="AZ59" s="53" t="str">
        <f aca="false">IF(AND(BA$3&gt;=$J59, BA$3&lt;$M59), $A59, "")</f>
        <v/>
      </c>
      <c r="BA59" s="53" t="str">
        <f aca="false">IF(AND(BB$3&gt;=$J59, BB$3&lt;$M59), $A59, "")</f>
        <v/>
      </c>
      <c r="BB59" s="53" t="str">
        <f aca="false">IF(AND(BC$3&gt;=$J59, BC$3&lt;$M59), $A59, "")</f>
        <v/>
      </c>
      <c r="BC59" s="53" t="str">
        <f aca="false">IF(AND(BD$3&gt;=$J59, BD$3&lt;$M59), $A59, "")</f>
        <v/>
      </c>
      <c r="BD59" s="53" t="str">
        <f aca="false">IF(AND(BE$3&gt;=$J59, BE$3&lt;$M59), $A59, "")</f>
        <v/>
      </c>
      <c r="BE59" s="53" t="str">
        <f aca="false">IF(AND(BF$3&gt;=$J59, BF$3&lt;$M59), $A59, "")</f>
        <v/>
      </c>
      <c r="BF59" s="53" t="str">
        <f aca="false">IF(AND(BG$3&gt;=$J59, BG$3&lt;$M59), $A59, "")</f>
        <v/>
      </c>
      <c r="BG59" s="53" t="str">
        <f aca="false">IF(AND(BH$3&gt;=$J59, BH$3&lt;$M59), $A59, "")</f>
        <v/>
      </c>
      <c r="BH59" s="53" t="str">
        <f aca="false">IF(AND(BI$3&gt;=$J59, BI$3&lt;$M59), $A59, "")</f>
        <v/>
      </c>
      <c r="BI59" s="53" t="str">
        <f aca="false">IF(AND(BJ$3&gt;=$J59, BJ$3&lt;$M59), $A59, "")</f>
        <v/>
      </c>
      <c r="BJ59" s="53" t="str">
        <f aca="false">IF(AND(BK$3&gt;=$J59, BK$3&lt;$M59), $A59, "")</f>
        <v/>
      </c>
      <c r="BK59" s="53" t="str">
        <f aca="false">IF(AND(BL$3&gt;=$J59, BL$3&lt;$M59), $A59, "")</f>
        <v/>
      </c>
      <c r="BL59" s="53" t="str">
        <f aca="false">IF(AND(BM$3&gt;=$J59, BM$3&lt;$M59), $A59, "")</f>
        <v/>
      </c>
      <c r="BM59" s="53" t="str">
        <f aca="false">IF(AND(BN$3&gt;=$J59, BN$3&lt;$M59), $A59, "")</f>
        <v/>
      </c>
      <c r="BN59" s="1" t="str">
        <f aca="false">IF(AND(BO$3&gt;=$J59, BO$3&lt;$M59), $A59, "")</f>
        <v/>
      </c>
      <c r="BO59" s="1" t="str">
        <f aca="false">IF(AND(BP$3&gt;=$J59, BP$3&lt;$M59), $A59, "")</f>
        <v/>
      </c>
      <c r="BP59" s="1" t="str">
        <f aca="false">IF(AND(BQ$3&gt;=$J59, BQ$3&lt;$M59), $A59, "")</f>
        <v/>
      </c>
    </row>
    <row r="60" customFormat="false" ht="15" hidden="false" customHeight="true" outlineLevel="0" collapsed="false">
      <c r="A60" s="46" t="str">
        <f aca="false">IF(Job_Master!A60="","",Job_Master!A60)</f>
        <v>BJ-157</v>
      </c>
      <c r="B60" s="4" t="n">
        <f aca="false">IF($A60="","",Job_Master!B60)</f>
        <v>50</v>
      </c>
      <c r="C60" s="4" t="str">
        <f aca="false">IF($A60="","",Job_Master!C60)</f>
        <v>SEG</v>
      </c>
      <c r="D60" s="4" t="n">
        <f aca="false">IF($A60="","",Job_Master!D60)</f>
        <v>6</v>
      </c>
      <c r="E60" s="48" t="str">
        <f aca="false">IF($A60="","",IFERROR(INDEX(Machine_List!$B$82:$B$86,MATCH("*"&amp;$B60&amp;"*",Machine_List!$J$82:$J$86,0)),"NO COMPATIBLE MACHINE"))</f>
        <v>QC-MC-01</v>
      </c>
      <c r="F60" s="4" t="str">
        <f aca="false">IF($E60="","",IFERROR(VLOOKUP($E60,Machine_List!$B:$G,6,0),""))</f>
        <v>General Workman</v>
      </c>
      <c r="G60" s="55" t="n">
        <f aca="false">IF($E60="","",IFERROR(VLOOKUP($E60,Machine_List!$B:$C,2,0),""))</f>
        <v>46518</v>
      </c>
      <c r="H60" s="4" t="n">
        <f aca="false">IF($E60="","",IFERROR(VLOOKUP($E60,Machine_List!$B:$D,3,0),""))</f>
        <v>6</v>
      </c>
      <c r="I60" s="56"/>
      <c r="J60" s="57" t="n">
        <f aca="true">IF($A60="","",IF($I60&lt;&gt;"",$I60,MAX(FID_Plan!$M60,IFERROR(LOOKUP(2,1/($E$3:INDIRECT("E"&amp;(ROW()-1))=$E60),$M$3:INDIRECT("M"&amp;(ROW()-1))),FID_Plan!$M60))))</f>
        <v>46576.5324074074</v>
      </c>
      <c r="K60" s="4" t="n">
        <f aca="false">IF($A60="","",IFERROR(VLOOKUP(B60,CHOOSE(MATCH(C60,Settings!$L$4:$L$10,0),OPR_2P!$A$4:$I$18,SEG_6P!$A$4:$I$18,SOL_4P!$A$4:$I$18,RW_2P!$A$4:$I$18,RW2_4P!$A$4:$I$18,FLAP_4P!$A$4:$I$18,TUBE_4P!$A$4:$I$18),8,0),0))</f>
        <v>36</v>
      </c>
      <c r="L60" s="4" t="n">
        <f aca="false">IF($A60="","",K60*D60)</f>
        <v>216</v>
      </c>
      <c r="M60" s="57" t="n">
        <f aca="false">IF($A60="","",$J60+($L60/(IF(F60="Contract Workman",Settings!$K$5,Settings!$K$4))))</f>
        <v>46586.5324074074</v>
      </c>
      <c r="N60" s="4" t="str">
        <f aca="false">IF($A60="","",IF(F60="Contract Workman",IF(AND(MOD(M60,1)&gt;=8/24,MOD(M60,1)&lt;20/24),"Shift S1","Shift S2"),IF(AND(MOD(M60,1)&gt;=7/24,MOD(M60,1)&lt;15/24),"Shift A",IF(AND(MOD(M60,1)&gt;=15/24,MOD(M60,1)&lt;23/24),"Shift B","Shift C"))))</f>
        <v>Shift A</v>
      </c>
      <c r="O60" s="52" t="str">
        <f aca="false"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3" t="str">
        <f aca="false">IF(AND(Q$3&gt;=$J60, Q$3&lt;$M60), $A60, "")</f>
        <v/>
      </c>
      <c r="Q60" s="53" t="str">
        <f aca="false">IF(AND(R$3&gt;=$J60, R$3&lt;$M60), $A60, "")</f>
        <v/>
      </c>
      <c r="R60" s="53" t="str">
        <f aca="false">IF(AND(S$3&gt;=$J60, S$3&lt;$M60), $A60, "")</f>
        <v/>
      </c>
      <c r="S60" s="53" t="str">
        <f aca="false">IF(AND(T$3&gt;=$J60, T$3&lt;$M60), $A60, "")</f>
        <v/>
      </c>
      <c r="T60" s="53" t="str">
        <f aca="false">IF(AND(U$3&gt;=$J60, U$3&lt;$M60), $A60, "")</f>
        <v/>
      </c>
      <c r="U60" s="53" t="str">
        <f aca="false">IF(AND(V$3&gt;=$J60, V$3&lt;$M60), $A60, "")</f>
        <v/>
      </c>
      <c r="V60" s="53" t="str">
        <f aca="false">IF(AND(W$3&gt;=$J60, W$3&lt;$M60), $A60, "")</f>
        <v/>
      </c>
      <c r="W60" s="53" t="str">
        <f aca="false">IF(AND(X$3&gt;=$J60, X$3&lt;$M60), $A60, "")</f>
        <v/>
      </c>
      <c r="X60" s="53" t="str">
        <f aca="false">IF(AND(Y$3&gt;=$J60, Y$3&lt;$M60), $A60, "")</f>
        <v/>
      </c>
      <c r="Y60" s="53" t="str">
        <f aca="false">IF(AND(Z$3&gt;=$J60, Z$3&lt;$M60), $A60, "")</f>
        <v/>
      </c>
      <c r="Z60" s="53" t="str">
        <f aca="false">IF(AND(AA$3&gt;=$J60, AA$3&lt;$M60), $A60, "")</f>
        <v/>
      </c>
      <c r="AA60" s="53" t="str">
        <f aca="false">IF(AND(AB$3&gt;=$J60, AB$3&lt;$M60), $A60, "")</f>
        <v/>
      </c>
      <c r="AB60" s="53" t="str">
        <f aca="false">IF(AND(AC$3&gt;=$J60, AC$3&lt;$M60), $A60, "")</f>
        <v/>
      </c>
      <c r="AC60" s="53" t="str">
        <f aca="false">IF(AND(AD$3&gt;=$J60, AD$3&lt;$M60), $A60, "")</f>
        <v/>
      </c>
      <c r="AD60" s="53" t="str">
        <f aca="false">IF(AND(AE$3&gt;=$J60, AE$3&lt;$M60), $A60, "")</f>
        <v/>
      </c>
      <c r="AE60" s="53" t="str">
        <f aca="false">IF(AND(AF$3&gt;=$J60, AF$3&lt;$M60), $A60, "")</f>
        <v/>
      </c>
      <c r="AF60" s="53" t="str">
        <f aca="false">IF(AND(AG$3&gt;=$J60, AG$3&lt;$M60), $A60, "")</f>
        <v/>
      </c>
      <c r="AG60" s="53" t="str">
        <f aca="false">IF(AND(AH$3&gt;=$J60, AH$3&lt;$M60), $A60, "")</f>
        <v/>
      </c>
      <c r="AH60" s="53" t="str">
        <f aca="false">IF(AND(AI$3&gt;=$J60, AI$3&lt;$M60), $A60, "")</f>
        <v/>
      </c>
      <c r="AI60" s="53" t="str">
        <f aca="false">IF(AND(AJ$3&gt;=$J60, AJ$3&lt;$M60), $A60, "")</f>
        <v/>
      </c>
      <c r="AJ60" s="53" t="str">
        <f aca="false">IF(AND(AK$3&gt;=$J60, AK$3&lt;$M60), $A60, "")</f>
        <v/>
      </c>
      <c r="AK60" s="53" t="str">
        <f aca="false">IF(AND(AL$3&gt;=$J60, AL$3&lt;$M60), $A60, "")</f>
        <v/>
      </c>
      <c r="AL60" s="53" t="str">
        <f aca="false">IF(AND(AM$3&gt;=$J60, AM$3&lt;$M60), $A60, "")</f>
        <v/>
      </c>
      <c r="AM60" s="53" t="str">
        <f aca="false">IF(AND(AN$3&gt;=$J60, AN$3&lt;$M60), $A60, "")</f>
        <v/>
      </c>
      <c r="AN60" s="53" t="str">
        <f aca="false">IF(AND(AO$3&gt;=$J60, AO$3&lt;$M60), $A60, "")</f>
        <v/>
      </c>
      <c r="AO60" s="53" t="str">
        <f aca="false">IF(AND(AP$3&gt;=$J60, AP$3&lt;$M60), $A60, "")</f>
        <v/>
      </c>
      <c r="AP60" s="53" t="str">
        <f aca="false">IF(AND(AQ$3&gt;=$J60, AQ$3&lt;$M60), $A60, "")</f>
        <v/>
      </c>
      <c r="AQ60" s="53" t="str">
        <f aca="false">IF(AND(AR$3&gt;=$J60, AR$3&lt;$M60), $A60, "")</f>
        <v/>
      </c>
      <c r="AR60" s="53" t="str">
        <f aca="false">IF(AND(AS$3&gt;=$J60, AS$3&lt;$M60), $A60, "")</f>
        <v/>
      </c>
      <c r="AS60" s="53" t="str">
        <f aca="false">IF(AND(AT$3&gt;=$J60, AT$3&lt;$M60), $A60, "")</f>
        <v/>
      </c>
      <c r="AT60" s="53" t="str">
        <f aca="false">IF(AND(AU$3&gt;=$J60, AU$3&lt;$M60), $A60, "")</f>
        <v/>
      </c>
      <c r="AU60" s="53" t="str">
        <f aca="false">IF(AND(AV$3&gt;=$J60, AV$3&lt;$M60), $A60, "")</f>
        <v/>
      </c>
      <c r="AV60" s="53" t="str">
        <f aca="false">IF(AND(AW$3&gt;=$J60, AW$3&lt;$M60), $A60, "")</f>
        <v/>
      </c>
      <c r="AW60" s="53" t="str">
        <f aca="false">IF(AND(AX$3&gt;=$J60, AX$3&lt;$M60), $A60, "")</f>
        <v/>
      </c>
      <c r="AX60" s="53" t="str">
        <f aca="false">IF(AND(AY$3&gt;=$J60, AY$3&lt;$M60), $A60, "")</f>
        <v/>
      </c>
      <c r="AY60" s="53" t="str">
        <f aca="false">IF(AND(AZ$3&gt;=$J60, AZ$3&lt;$M60), $A60, "")</f>
        <v/>
      </c>
      <c r="AZ60" s="53" t="str">
        <f aca="false">IF(AND(BA$3&gt;=$J60, BA$3&lt;$M60), $A60, "")</f>
        <v/>
      </c>
      <c r="BA60" s="53" t="str">
        <f aca="false">IF(AND(BB$3&gt;=$J60, BB$3&lt;$M60), $A60, "")</f>
        <v/>
      </c>
      <c r="BB60" s="53" t="str">
        <f aca="false">IF(AND(BC$3&gt;=$J60, BC$3&lt;$M60), $A60, "")</f>
        <v/>
      </c>
      <c r="BC60" s="53" t="str">
        <f aca="false">IF(AND(BD$3&gt;=$J60, BD$3&lt;$M60), $A60, "")</f>
        <v/>
      </c>
      <c r="BD60" s="53" t="str">
        <f aca="false">IF(AND(BE$3&gt;=$J60, BE$3&lt;$M60), $A60, "")</f>
        <v/>
      </c>
      <c r="BE60" s="53" t="str">
        <f aca="false">IF(AND(BF$3&gt;=$J60, BF$3&lt;$M60), $A60, "")</f>
        <v/>
      </c>
      <c r="BF60" s="53" t="str">
        <f aca="false">IF(AND(BG$3&gt;=$J60, BG$3&lt;$M60), $A60, "")</f>
        <v/>
      </c>
      <c r="BG60" s="53" t="str">
        <f aca="false">IF(AND(BH$3&gt;=$J60, BH$3&lt;$M60), $A60, "")</f>
        <v/>
      </c>
      <c r="BH60" s="53" t="str">
        <f aca="false">IF(AND(BI$3&gt;=$J60, BI$3&lt;$M60), $A60, "")</f>
        <v/>
      </c>
      <c r="BI60" s="53" t="str">
        <f aca="false">IF(AND(BJ$3&gt;=$J60, BJ$3&lt;$M60), $A60, "")</f>
        <v/>
      </c>
      <c r="BJ60" s="53" t="str">
        <f aca="false">IF(AND(BK$3&gt;=$J60, BK$3&lt;$M60), $A60, "")</f>
        <v/>
      </c>
      <c r="BK60" s="53" t="str">
        <f aca="false">IF(AND(BL$3&gt;=$J60, BL$3&lt;$M60), $A60, "")</f>
        <v/>
      </c>
      <c r="BL60" s="53" t="str">
        <f aca="false">IF(AND(BM$3&gt;=$J60, BM$3&lt;$M60), $A60, "")</f>
        <v/>
      </c>
      <c r="BM60" s="53" t="str">
        <f aca="false">IF(AND(BN$3&gt;=$J60, BN$3&lt;$M60), $A60, "")</f>
        <v/>
      </c>
      <c r="BN60" s="1" t="str">
        <f aca="false">IF(AND(BO$3&gt;=$J60, BO$3&lt;$M60), $A60, "")</f>
        <v/>
      </c>
      <c r="BO60" s="1" t="str">
        <f aca="false">IF(AND(BP$3&gt;=$J60, BP$3&lt;$M60), $A60, "")</f>
        <v/>
      </c>
      <c r="BP60" s="1" t="str">
        <f aca="false">IF(AND(BQ$3&gt;=$J60, BQ$3&lt;$M60), $A60, "")</f>
        <v/>
      </c>
    </row>
    <row r="61" customFormat="false" ht="15" hidden="false" customHeight="true" outlineLevel="0" collapsed="false">
      <c r="A61" s="46" t="str">
        <f aca="false">IF(Job_Master!A61="","",Job_Master!A61)</f>
        <v>BJ-159</v>
      </c>
      <c r="B61" s="4" t="n">
        <f aca="false">IF($A61="","",Job_Master!B61)</f>
        <v>54</v>
      </c>
      <c r="C61" s="4" t="str">
        <f aca="false">IF($A61="","",Job_Master!C61)</f>
        <v>RW</v>
      </c>
      <c r="D61" s="4" t="n">
        <f aca="false">IF($A61="","",Job_Master!D61)</f>
        <v>2</v>
      </c>
      <c r="E61" s="48" t="str">
        <f aca="false">IF($A61="","",IFERROR(INDEX(Machine_List!$B$82:$B$86,MATCH("*"&amp;$B61&amp;"*",Machine_List!$J$82:$J$86,0)),"NO COMPATIBLE MACHINE"))</f>
        <v>QC-MC-01</v>
      </c>
      <c r="F61" s="4" t="str">
        <f aca="false">IF($E61="","",IFERROR(VLOOKUP($E61,Machine_List!$B:$G,6,0),""))</f>
        <v>General Workman</v>
      </c>
      <c r="G61" s="55" t="n">
        <f aca="false">IF($E61="","",IFERROR(VLOOKUP($E61,Machine_List!$B:$C,2,0),""))</f>
        <v>46518</v>
      </c>
      <c r="H61" s="4" t="n">
        <f aca="false">IF($E61="","",IFERROR(VLOOKUP($E61,Machine_List!$B:$D,3,0),""))</f>
        <v>6</v>
      </c>
      <c r="I61" s="56"/>
      <c r="J61" s="57" t="n">
        <f aca="true">IF($A61="","",IF($I61&lt;&gt;"",$I61,MAX(FID_Plan!$M61,IFERROR(LOOKUP(2,1/($E$3:INDIRECT("E"&amp;(ROW()-1))=$E61),$M$3:INDIRECT("M"&amp;(ROW()-1))),FID_Plan!$M61))))</f>
        <v>46586.5324074074</v>
      </c>
      <c r="K61" s="4" t="n">
        <f aca="false">IF($A61="","",IFERROR(VLOOKUP(B61,CHOOSE(MATCH(C61,Settings!$L$4:$L$10,0),OPR_2P!$A$4:$I$18,SEG_6P!$A$4:$I$18,SOL_4P!$A$4:$I$18,RW_2P!$A$4:$I$18,RW2_4P!$A$4:$I$18,FLAP_4P!$A$4:$I$18,TUBE_4P!$A$4:$I$18),8,0),0))</f>
        <v>68</v>
      </c>
      <c r="L61" s="4" t="n">
        <f aca="false">IF($A61="","",K61*D61)</f>
        <v>136</v>
      </c>
      <c r="M61" s="57" t="n">
        <f aca="false">IF($A61="","",$J61+($L61/(IF(F61="Contract Workman",Settings!$K$5,Settings!$K$4))))</f>
        <v>46592.8287037037</v>
      </c>
      <c r="N61" s="4" t="str">
        <f aca="false">IF($A61="","",IF(F61="Contract Workman",IF(AND(MOD(M61,1)&gt;=8/24,MOD(M61,1)&lt;20/24),"Shift S1","Shift S2"),IF(AND(MOD(M61,1)&gt;=7/24,MOD(M61,1)&lt;15/24),"Shift A",IF(AND(MOD(M61,1)&gt;=15/24,MOD(M61,1)&lt;23/24),"Shift B","Shift C"))))</f>
        <v>Shift B</v>
      </c>
      <c r="O61" s="52" t="str">
        <f aca="false"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3" t="str">
        <f aca="false">IF(AND(Q$3&gt;=$J61, Q$3&lt;$M61), $A61, "")</f>
        <v/>
      </c>
      <c r="Q61" s="53" t="str">
        <f aca="false">IF(AND(R$3&gt;=$J61, R$3&lt;$M61), $A61, "")</f>
        <v/>
      </c>
      <c r="R61" s="53" t="str">
        <f aca="false">IF(AND(S$3&gt;=$J61, S$3&lt;$M61), $A61, "")</f>
        <v/>
      </c>
      <c r="S61" s="53" t="str">
        <f aca="false">IF(AND(T$3&gt;=$J61, T$3&lt;$M61), $A61, "")</f>
        <v/>
      </c>
      <c r="T61" s="53" t="str">
        <f aca="false">IF(AND(U$3&gt;=$J61, U$3&lt;$M61), $A61, "")</f>
        <v/>
      </c>
      <c r="U61" s="53" t="str">
        <f aca="false">IF(AND(V$3&gt;=$J61, V$3&lt;$M61), $A61, "")</f>
        <v/>
      </c>
      <c r="V61" s="53" t="str">
        <f aca="false">IF(AND(W$3&gt;=$J61, W$3&lt;$M61), $A61, "")</f>
        <v/>
      </c>
      <c r="W61" s="53" t="str">
        <f aca="false">IF(AND(X$3&gt;=$J61, X$3&lt;$M61), $A61, "")</f>
        <v/>
      </c>
      <c r="X61" s="53" t="str">
        <f aca="false">IF(AND(Y$3&gt;=$J61, Y$3&lt;$M61), $A61, "")</f>
        <v/>
      </c>
      <c r="Y61" s="53" t="str">
        <f aca="false">IF(AND(Z$3&gt;=$J61, Z$3&lt;$M61), $A61, "")</f>
        <v/>
      </c>
      <c r="Z61" s="53" t="str">
        <f aca="false">IF(AND(AA$3&gt;=$J61, AA$3&lt;$M61), $A61, "")</f>
        <v/>
      </c>
      <c r="AA61" s="53" t="str">
        <f aca="false">IF(AND(AB$3&gt;=$J61, AB$3&lt;$M61), $A61, "")</f>
        <v/>
      </c>
      <c r="AB61" s="53" t="str">
        <f aca="false">IF(AND(AC$3&gt;=$J61, AC$3&lt;$M61), $A61, "")</f>
        <v/>
      </c>
      <c r="AC61" s="53" t="str">
        <f aca="false">IF(AND(AD$3&gt;=$J61, AD$3&lt;$M61), $A61, "")</f>
        <v/>
      </c>
      <c r="AD61" s="53" t="str">
        <f aca="false">IF(AND(AE$3&gt;=$J61, AE$3&lt;$M61), $A61, "")</f>
        <v/>
      </c>
      <c r="AE61" s="53" t="str">
        <f aca="false">IF(AND(AF$3&gt;=$J61, AF$3&lt;$M61), $A61, "")</f>
        <v/>
      </c>
      <c r="AF61" s="53" t="str">
        <f aca="false">IF(AND(AG$3&gt;=$J61, AG$3&lt;$M61), $A61, "")</f>
        <v/>
      </c>
      <c r="AG61" s="53" t="str">
        <f aca="false">IF(AND(AH$3&gt;=$J61, AH$3&lt;$M61), $A61, "")</f>
        <v/>
      </c>
      <c r="AH61" s="53" t="str">
        <f aca="false">IF(AND(AI$3&gt;=$J61, AI$3&lt;$M61), $A61, "")</f>
        <v/>
      </c>
      <c r="AI61" s="53" t="str">
        <f aca="false">IF(AND(AJ$3&gt;=$J61, AJ$3&lt;$M61), $A61, "")</f>
        <v/>
      </c>
      <c r="AJ61" s="53" t="str">
        <f aca="false">IF(AND(AK$3&gt;=$J61, AK$3&lt;$M61), $A61, "")</f>
        <v/>
      </c>
      <c r="AK61" s="53" t="str">
        <f aca="false">IF(AND(AL$3&gt;=$J61, AL$3&lt;$M61), $A61, "")</f>
        <v/>
      </c>
      <c r="AL61" s="53" t="str">
        <f aca="false">IF(AND(AM$3&gt;=$J61, AM$3&lt;$M61), $A61, "")</f>
        <v/>
      </c>
      <c r="AM61" s="53" t="str">
        <f aca="false">IF(AND(AN$3&gt;=$J61, AN$3&lt;$M61), $A61, "")</f>
        <v/>
      </c>
      <c r="AN61" s="53" t="str">
        <f aca="false">IF(AND(AO$3&gt;=$J61, AO$3&lt;$M61), $A61, "")</f>
        <v/>
      </c>
      <c r="AO61" s="53" t="str">
        <f aca="false">IF(AND(AP$3&gt;=$J61, AP$3&lt;$M61), $A61, "")</f>
        <v/>
      </c>
      <c r="AP61" s="53" t="str">
        <f aca="false">IF(AND(AQ$3&gt;=$J61, AQ$3&lt;$M61), $A61, "")</f>
        <v/>
      </c>
      <c r="AQ61" s="53" t="str">
        <f aca="false">IF(AND(AR$3&gt;=$J61, AR$3&lt;$M61), $A61, "")</f>
        <v/>
      </c>
      <c r="AR61" s="53" t="str">
        <f aca="false">IF(AND(AS$3&gt;=$J61, AS$3&lt;$M61), $A61, "")</f>
        <v/>
      </c>
      <c r="AS61" s="53" t="str">
        <f aca="false">IF(AND(AT$3&gt;=$J61, AT$3&lt;$M61), $A61, "")</f>
        <v/>
      </c>
      <c r="AT61" s="53" t="str">
        <f aca="false">IF(AND(AU$3&gt;=$J61, AU$3&lt;$M61), $A61, "")</f>
        <v/>
      </c>
      <c r="AU61" s="53" t="str">
        <f aca="false">IF(AND(AV$3&gt;=$J61, AV$3&lt;$M61), $A61, "")</f>
        <v/>
      </c>
      <c r="AV61" s="53" t="str">
        <f aca="false">IF(AND(AW$3&gt;=$J61, AW$3&lt;$M61), $A61, "")</f>
        <v/>
      </c>
      <c r="AW61" s="53" t="str">
        <f aca="false">IF(AND(AX$3&gt;=$J61, AX$3&lt;$M61), $A61, "")</f>
        <v/>
      </c>
      <c r="AX61" s="53" t="str">
        <f aca="false">IF(AND(AY$3&gt;=$J61, AY$3&lt;$M61), $A61, "")</f>
        <v/>
      </c>
      <c r="AY61" s="53" t="str">
        <f aca="false">IF(AND(AZ$3&gt;=$J61, AZ$3&lt;$M61), $A61, "")</f>
        <v/>
      </c>
      <c r="AZ61" s="53" t="str">
        <f aca="false">IF(AND(BA$3&gt;=$J61, BA$3&lt;$M61), $A61, "")</f>
        <v/>
      </c>
      <c r="BA61" s="53" t="str">
        <f aca="false">IF(AND(BB$3&gt;=$J61, BB$3&lt;$M61), $A61, "")</f>
        <v/>
      </c>
      <c r="BB61" s="53" t="str">
        <f aca="false">IF(AND(BC$3&gt;=$J61, BC$3&lt;$M61), $A61, "")</f>
        <v/>
      </c>
      <c r="BC61" s="53" t="str">
        <f aca="false">IF(AND(BD$3&gt;=$J61, BD$3&lt;$M61), $A61, "")</f>
        <v/>
      </c>
      <c r="BD61" s="53" t="str">
        <f aca="false">IF(AND(BE$3&gt;=$J61, BE$3&lt;$M61), $A61, "")</f>
        <v/>
      </c>
      <c r="BE61" s="53" t="str">
        <f aca="false">IF(AND(BF$3&gt;=$J61, BF$3&lt;$M61), $A61, "")</f>
        <v/>
      </c>
      <c r="BF61" s="53" t="str">
        <f aca="false">IF(AND(BG$3&gt;=$J61, BG$3&lt;$M61), $A61, "")</f>
        <v/>
      </c>
      <c r="BG61" s="53" t="str">
        <f aca="false">IF(AND(BH$3&gt;=$J61, BH$3&lt;$M61), $A61, "")</f>
        <v/>
      </c>
      <c r="BH61" s="53" t="str">
        <f aca="false">IF(AND(BI$3&gt;=$J61, BI$3&lt;$M61), $A61, "")</f>
        <v/>
      </c>
      <c r="BI61" s="53" t="str">
        <f aca="false">IF(AND(BJ$3&gt;=$J61, BJ$3&lt;$M61), $A61, "")</f>
        <v/>
      </c>
      <c r="BJ61" s="53" t="str">
        <f aca="false">IF(AND(BK$3&gt;=$J61, BK$3&lt;$M61), $A61, "")</f>
        <v/>
      </c>
      <c r="BK61" s="53" t="str">
        <f aca="false">IF(AND(BL$3&gt;=$J61, BL$3&lt;$M61), $A61, "")</f>
        <v/>
      </c>
      <c r="BL61" s="53" t="str">
        <f aca="false">IF(AND(BM$3&gt;=$J61, BM$3&lt;$M61), $A61, "")</f>
        <v/>
      </c>
      <c r="BM61" s="53" t="str">
        <f aca="false">IF(AND(BN$3&gt;=$J61, BN$3&lt;$M61), $A61, "")</f>
        <v/>
      </c>
      <c r="BN61" s="1" t="str">
        <f aca="false">IF(AND(BO$3&gt;=$J61, BO$3&lt;$M61), $A61, "")</f>
        <v/>
      </c>
      <c r="BO61" s="1" t="str">
        <f aca="false">IF(AND(BP$3&gt;=$J61, BP$3&lt;$M61), $A61, "")</f>
        <v/>
      </c>
      <c r="BP61" s="1" t="str">
        <f aca="false">IF(AND(BQ$3&gt;=$J61, BQ$3&lt;$M61), $A61, "")</f>
        <v/>
      </c>
    </row>
    <row r="62" customFormat="false" ht="15" hidden="false" customHeight="true" outlineLevel="0" collapsed="false">
      <c r="A62" s="46" t="str">
        <f aca="false">IF(Job_Master!A62="","",Job_Master!A62)</f>
        <v>BJ-148</v>
      </c>
      <c r="B62" s="4" t="n">
        <f aca="false">IF($A62="","",Job_Master!B62)</f>
        <v>9</v>
      </c>
      <c r="C62" s="4" t="str">
        <f aca="false">IF($A62="","",Job_Master!C62)</f>
        <v>SEG</v>
      </c>
      <c r="D62" s="4" t="n">
        <f aca="false">IF($A62="","",Job_Master!D62)</f>
        <v>6</v>
      </c>
      <c r="E62" s="48" t="str">
        <f aca="false">IF($A62="","",IFERROR(INDEX(Machine_List!$B$82:$B$86,MATCH("*"&amp;$B62&amp;"*",Machine_List!$J$82:$J$86,0)),"NO COMPATIBLE MACHINE"))</f>
        <v>QC-MC-01</v>
      </c>
      <c r="F62" s="4" t="str">
        <f aca="false">IF($E62="","",IFERROR(VLOOKUP($E62,Machine_List!$B:$G,6,0),""))</f>
        <v>General Workman</v>
      </c>
      <c r="G62" s="55" t="n">
        <f aca="false">IF($E62="","",IFERROR(VLOOKUP($E62,Machine_List!$B:$C,2,0),""))</f>
        <v>46518</v>
      </c>
      <c r="H62" s="4" t="n">
        <f aca="false">IF($E62="","",IFERROR(VLOOKUP($E62,Machine_List!$B:$D,3,0),""))</f>
        <v>6</v>
      </c>
      <c r="I62" s="56"/>
      <c r="J62" s="57" t="n">
        <f aca="true">IF($A62="","",IF($I62&lt;&gt;"",$I62,MAX(FID_Plan!$M62,IFERROR(LOOKUP(2,1/($E$3:INDIRECT("E"&amp;(ROW()-1))=$E62),$M$3:INDIRECT("M"&amp;(ROW()-1))),FID_Plan!$M62))))</f>
        <v>46592.8287037037</v>
      </c>
      <c r="K62" s="4" t="n">
        <f aca="false">IF($A62="","",IFERROR(VLOOKUP(B62,CHOOSE(MATCH(C62,Settings!$L$4:$L$10,0),OPR_2P!$A$4:$I$18,SEG_6P!$A$4:$I$18,SOL_4P!$A$4:$I$18,RW_2P!$A$4:$I$18,RW2_4P!$A$4:$I$18,FLAP_4P!$A$4:$I$18,TUBE_4P!$A$4:$I$18),8,0),0))</f>
        <v>2</v>
      </c>
      <c r="L62" s="4" t="n">
        <f aca="false">IF($A62="","",K62*D62)</f>
        <v>12</v>
      </c>
      <c r="M62" s="57" t="n">
        <f aca="false">IF($A62="","",$J62+($L62/(IF(F62="Contract Workman",Settings!$K$5,Settings!$K$4))))</f>
        <v>46593.3842592593</v>
      </c>
      <c r="N62" s="4" t="str">
        <f aca="false">IF($A62="","",IF(F62="Contract Workman",IF(AND(MOD(M62,1)&gt;=8/24,MOD(M62,1)&lt;20/24),"Shift S1","Shift S2"),IF(AND(MOD(M62,1)&gt;=7/24,MOD(M62,1)&lt;15/24),"Shift A",IF(AND(MOD(M62,1)&gt;=15/24,MOD(M62,1)&lt;23/24),"Shift B","Shift C"))))</f>
        <v>Shift A</v>
      </c>
      <c r="O62" s="52" t="str">
        <f aca="false"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3" t="str">
        <f aca="false">IF(AND(Q$3&gt;=$J62, Q$3&lt;$M62), $A62, "")</f>
        <v/>
      </c>
      <c r="Q62" s="53" t="str">
        <f aca="false">IF(AND(R$3&gt;=$J62, R$3&lt;$M62), $A62, "")</f>
        <v/>
      </c>
      <c r="R62" s="53" t="str">
        <f aca="false">IF(AND(S$3&gt;=$J62, S$3&lt;$M62), $A62, "")</f>
        <v/>
      </c>
      <c r="S62" s="53" t="str">
        <f aca="false">IF(AND(T$3&gt;=$J62, T$3&lt;$M62), $A62, "")</f>
        <v/>
      </c>
      <c r="T62" s="53" t="str">
        <f aca="false">IF(AND(U$3&gt;=$J62, U$3&lt;$M62), $A62, "")</f>
        <v/>
      </c>
      <c r="U62" s="53" t="str">
        <f aca="false">IF(AND(V$3&gt;=$J62, V$3&lt;$M62), $A62, "")</f>
        <v/>
      </c>
      <c r="V62" s="53" t="str">
        <f aca="false">IF(AND(W$3&gt;=$J62, W$3&lt;$M62), $A62, "")</f>
        <v/>
      </c>
      <c r="W62" s="53" t="str">
        <f aca="false">IF(AND(X$3&gt;=$J62, X$3&lt;$M62), $A62, "")</f>
        <v/>
      </c>
      <c r="X62" s="53" t="str">
        <f aca="false">IF(AND(Y$3&gt;=$J62, Y$3&lt;$M62), $A62, "")</f>
        <v/>
      </c>
      <c r="Y62" s="53" t="str">
        <f aca="false">IF(AND(Z$3&gt;=$J62, Z$3&lt;$M62), $A62, "")</f>
        <v/>
      </c>
      <c r="Z62" s="53" t="str">
        <f aca="false">IF(AND(AA$3&gt;=$J62, AA$3&lt;$M62), $A62, "")</f>
        <v/>
      </c>
      <c r="AA62" s="53" t="str">
        <f aca="false">IF(AND(AB$3&gt;=$J62, AB$3&lt;$M62), $A62, "")</f>
        <v/>
      </c>
      <c r="AB62" s="53" t="str">
        <f aca="false">IF(AND(AC$3&gt;=$J62, AC$3&lt;$M62), $A62, "")</f>
        <v/>
      </c>
      <c r="AC62" s="53" t="str">
        <f aca="false">IF(AND(AD$3&gt;=$J62, AD$3&lt;$M62), $A62, "")</f>
        <v/>
      </c>
      <c r="AD62" s="53" t="str">
        <f aca="false">IF(AND(AE$3&gt;=$J62, AE$3&lt;$M62), $A62, "")</f>
        <v/>
      </c>
      <c r="AE62" s="53" t="str">
        <f aca="false">IF(AND(AF$3&gt;=$J62, AF$3&lt;$M62), $A62, "")</f>
        <v/>
      </c>
      <c r="AF62" s="53" t="str">
        <f aca="false">IF(AND(AG$3&gt;=$J62, AG$3&lt;$M62), $A62, "")</f>
        <v/>
      </c>
      <c r="AG62" s="53" t="str">
        <f aca="false">IF(AND(AH$3&gt;=$J62, AH$3&lt;$M62), $A62, "")</f>
        <v/>
      </c>
      <c r="AH62" s="53" t="str">
        <f aca="false">IF(AND(AI$3&gt;=$J62, AI$3&lt;$M62), $A62, "")</f>
        <v/>
      </c>
      <c r="AI62" s="53" t="str">
        <f aca="false">IF(AND(AJ$3&gt;=$J62, AJ$3&lt;$M62), $A62, "")</f>
        <v/>
      </c>
      <c r="AJ62" s="53" t="str">
        <f aca="false">IF(AND(AK$3&gt;=$J62, AK$3&lt;$M62), $A62, "")</f>
        <v/>
      </c>
      <c r="AK62" s="53" t="str">
        <f aca="false">IF(AND(AL$3&gt;=$J62, AL$3&lt;$M62), $A62, "")</f>
        <v/>
      </c>
      <c r="AL62" s="53" t="str">
        <f aca="false">IF(AND(AM$3&gt;=$J62, AM$3&lt;$M62), $A62, "")</f>
        <v/>
      </c>
      <c r="AM62" s="53" t="str">
        <f aca="false">IF(AND(AN$3&gt;=$J62, AN$3&lt;$M62), $A62, "")</f>
        <v/>
      </c>
      <c r="AN62" s="53" t="str">
        <f aca="false">IF(AND(AO$3&gt;=$J62, AO$3&lt;$M62), $A62, "")</f>
        <v/>
      </c>
      <c r="AO62" s="53" t="str">
        <f aca="false">IF(AND(AP$3&gt;=$J62, AP$3&lt;$M62), $A62, "")</f>
        <v/>
      </c>
      <c r="AP62" s="53" t="str">
        <f aca="false">IF(AND(AQ$3&gt;=$J62, AQ$3&lt;$M62), $A62, "")</f>
        <v/>
      </c>
      <c r="AQ62" s="53" t="str">
        <f aca="false">IF(AND(AR$3&gt;=$J62, AR$3&lt;$M62), $A62, "")</f>
        <v/>
      </c>
      <c r="AR62" s="53" t="str">
        <f aca="false">IF(AND(AS$3&gt;=$J62, AS$3&lt;$M62), $A62, "")</f>
        <v/>
      </c>
      <c r="AS62" s="53" t="str">
        <f aca="false">IF(AND(AT$3&gt;=$J62, AT$3&lt;$M62), $A62, "")</f>
        <v/>
      </c>
      <c r="AT62" s="53" t="str">
        <f aca="false">IF(AND(AU$3&gt;=$J62, AU$3&lt;$M62), $A62, "")</f>
        <v/>
      </c>
      <c r="AU62" s="53" t="str">
        <f aca="false">IF(AND(AV$3&gt;=$J62, AV$3&lt;$M62), $A62, "")</f>
        <v/>
      </c>
      <c r="AV62" s="53" t="str">
        <f aca="false">IF(AND(AW$3&gt;=$J62, AW$3&lt;$M62), $A62, "")</f>
        <v/>
      </c>
      <c r="AW62" s="53" t="str">
        <f aca="false">IF(AND(AX$3&gt;=$J62, AX$3&lt;$M62), $A62, "")</f>
        <v/>
      </c>
      <c r="AX62" s="53" t="str">
        <f aca="false">IF(AND(AY$3&gt;=$J62, AY$3&lt;$M62), $A62, "")</f>
        <v/>
      </c>
      <c r="AY62" s="53" t="str">
        <f aca="false">IF(AND(AZ$3&gt;=$J62, AZ$3&lt;$M62), $A62, "")</f>
        <v/>
      </c>
      <c r="AZ62" s="53" t="str">
        <f aca="false">IF(AND(BA$3&gt;=$J62, BA$3&lt;$M62), $A62, "")</f>
        <v/>
      </c>
      <c r="BA62" s="53" t="str">
        <f aca="false">IF(AND(BB$3&gt;=$J62, BB$3&lt;$M62), $A62, "")</f>
        <v/>
      </c>
      <c r="BB62" s="53" t="str">
        <f aca="false">IF(AND(BC$3&gt;=$J62, BC$3&lt;$M62), $A62, "")</f>
        <v/>
      </c>
      <c r="BC62" s="53" t="str">
        <f aca="false">IF(AND(BD$3&gt;=$J62, BD$3&lt;$M62), $A62, "")</f>
        <v/>
      </c>
      <c r="BD62" s="53" t="str">
        <f aca="false">IF(AND(BE$3&gt;=$J62, BE$3&lt;$M62), $A62, "")</f>
        <v/>
      </c>
      <c r="BE62" s="53" t="str">
        <f aca="false">IF(AND(BF$3&gt;=$J62, BF$3&lt;$M62), $A62, "")</f>
        <v/>
      </c>
      <c r="BF62" s="53" t="str">
        <f aca="false">IF(AND(BG$3&gt;=$J62, BG$3&lt;$M62), $A62, "")</f>
        <v/>
      </c>
      <c r="BG62" s="53" t="str">
        <f aca="false">IF(AND(BH$3&gt;=$J62, BH$3&lt;$M62), $A62, "")</f>
        <v/>
      </c>
      <c r="BH62" s="53" t="str">
        <f aca="false">IF(AND(BI$3&gt;=$J62, BI$3&lt;$M62), $A62, "")</f>
        <v/>
      </c>
      <c r="BI62" s="53" t="str">
        <f aca="false">IF(AND(BJ$3&gt;=$J62, BJ$3&lt;$M62), $A62, "")</f>
        <v/>
      </c>
      <c r="BJ62" s="53" t="str">
        <f aca="false">IF(AND(BK$3&gt;=$J62, BK$3&lt;$M62), $A62, "")</f>
        <v/>
      </c>
      <c r="BK62" s="53" t="str">
        <f aca="false">IF(AND(BL$3&gt;=$J62, BL$3&lt;$M62), $A62, "")</f>
        <v/>
      </c>
      <c r="BL62" s="53" t="str">
        <f aca="false">IF(AND(BM$3&gt;=$J62, BM$3&lt;$M62), $A62, "")</f>
        <v/>
      </c>
      <c r="BM62" s="53" t="str">
        <f aca="false">IF(AND(BN$3&gt;=$J62, BN$3&lt;$M62), $A62, "")</f>
        <v/>
      </c>
      <c r="BN62" s="1" t="str">
        <f aca="false">IF(AND(BO$3&gt;=$J62, BO$3&lt;$M62), $A62, "")</f>
        <v/>
      </c>
      <c r="BO62" s="1" t="str">
        <f aca="false">IF(AND(BP$3&gt;=$J62, BP$3&lt;$M62), $A62, "")</f>
        <v/>
      </c>
      <c r="BP62" s="1" t="str">
        <f aca="false">IF(AND(BQ$3&gt;=$J62, BQ$3&lt;$M62), $A62, "")</f>
        <v/>
      </c>
    </row>
    <row r="63" customFormat="false" ht="15" hidden="false" customHeight="true" outlineLevel="0" collapsed="false">
      <c r="A63" s="46" t="str">
        <f aca="false">IF(Job_Master!A63="","",Job_Master!A63)</f>
        <v>BJ-161</v>
      </c>
      <c r="B63" s="4" t="n">
        <f aca="false">IF($A63="","",Job_Master!B63)</f>
        <v>30</v>
      </c>
      <c r="C63" s="4" t="str">
        <f aca="false">IF($A63="","",Job_Master!C63)</f>
        <v>SEG</v>
      </c>
      <c r="D63" s="4" t="n">
        <f aca="false">IF($A63="","",Job_Master!D63)</f>
        <v>6</v>
      </c>
      <c r="E63" s="48" t="str">
        <f aca="false">IF($A63="","",IFERROR(INDEX(Machine_List!$B$82:$B$86,MATCH("*"&amp;$B63&amp;"*",Machine_List!$J$82:$J$86,0)),"NO COMPATIBLE MACHINE"))</f>
        <v>QC-MC-01</v>
      </c>
      <c r="F63" s="4" t="str">
        <f aca="false">IF($E63="","",IFERROR(VLOOKUP($E63,Machine_List!$B:$G,6,0),""))</f>
        <v>General Workman</v>
      </c>
      <c r="G63" s="55" t="n">
        <f aca="false">IF($E63="","",IFERROR(VLOOKUP($E63,Machine_List!$B:$C,2,0),""))</f>
        <v>46518</v>
      </c>
      <c r="H63" s="4" t="n">
        <f aca="false">IF($E63="","",IFERROR(VLOOKUP($E63,Machine_List!$B:$D,3,0),""))</f>
        <v>6</v>
      </c>
      <c r="I63" s="56"/>
      <c r="J63" s="57" t="n">
        <f aca="true">IF($A63="","",IF($I63&lt;&gt;"",$I63,MAX(FID_Plan!$M63,IFERROR(LOOKUP(2,1/($E$3:INDIRECT("E"&amp;(ROW()-1))=$E63),$M$3:INDIRECT("M"&amp;(ROW()-1))),FID_Plan!$M63))))</f>
        <v>46593.3842592593</v>
      </c>
      <c r="K63" s="4" t="n">
        <f aca="false">IF($A63="","",IFERROR(VLOOKUP(B63,CHOOSE(MATCH(C63,Settings!$L$4:$L$10,0),OPR_2P!$A$4:$I$18,SEG_6P!$A$4:$I$18,SOL_4P!$A$4:$I$18,RW_2P!$A$4:$I$18,RW2_4P!$A$4:$I$18,FLAP_4P!$A$4:$I$18,TUBE_4P!$A$4:$I$18),8,0),0))</f>
        <v>25</v>
      </c>
      <c r="L63" s="4" t="n">
        <f aca="false">IF($A63="","",K63*D63)</f>
        <v>150</v>
      </c>
      <c r="M63" s="57" t="n">
        <f aca="false">IF($A63="","",$J63+($L63/(IF(F63="Contract Workman",Settings!$K$5,Settings!$K$4))))</f>
        <v>46600.3287037037</v>
      </c>
      <c r="N63" s="4" t="str">
        <f aca="false">IF($A63="","",IF(F63="Contract Workman",IF(AND(MOD(M63,1)&gt;=8/24,MOD(M63,1)&lt;20/24),"Shift S1","Shift S2"),IF(AND(MOD(M63,1)&gt;=7/24,MOD(M63,1)&lt;15/24),"Shift A",IF(AND(MOD(M63,1)&gt;=15/24,MOD(M63,1)&lt;23/24),"Shift B","Shift C"))))</f>
        <v>Shift A</v>
      </c>
      <c r="O63" s="52" t="str">
        <f aca="false"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3" t="str">
        <f aca="false">IF(AND(Q$3&gt;=$J63, Q$3&lt;$M63), $A63, "")</f>
        <v/>
      </c>
      <c r="Q63" s="53" t="str">
        <f aca="false">IF(AND(R$3&gt;=$J63, R$3&lt;$M63), $A63, "")</f>
        <v/>
      </c>
      <c r="R63" s="53" t="str">
        <f aca="false">IF(AND(S$3&gt;=$J63, S$3&lt;$M63), $A63, "")</f>
        <v/>
      </c>
      <c r="S63" s="53" t="str">
        <f aca="false">IF(AND(T$3&gt;=$J63, T$3&lt;$M63), $A63, "")</f>
        <v/>
      </c>
      <c r="T63" s="53" t="str">
        <f aca="false">IF(AND(U$3&gt;=$J63, U$3&lt;$M63), $A63, "")</f>
        <v/>
      </c>
      <c r="U63" s="53" t="str">
        <f aca="false">IF(AND(V$3&gt;=$J63, V$3&lt;$M63), $A63, "")</f>
        <v/>
      </c>
      <c r="V63" s="53" t="str">
        <f aca="false">IF(AND(W$3&gt;=$J63, W$3&lt;$M63), $A63, "")</f>
        <v/>
      </c>
      <c r="W63" s="53" t="str">
        <f aca="false">IF(AND(X$3&gt;=$J63, X$3&lt;$M63), $A63, "")</f>
        <v/>
      </c>
      <c r="X63" s="53" t="str">
        <f aca="false">IF(AND(Y$3&gt;=$J63, Y$3&lt;$M63), $A63, "")</f>
        <v/>
      </c>
      <c r="Y63" s="53" t="str">
        <f aca="false">IF(AND(Z$3&gt;=$J63, Z$3&lt;$M63), $A63, "")</f>
        <v/>
      </c>
      <c r="Z63" s="53" t="str">
        <f aca="false">IF(AND(AA$3&gt;=$J63, AA$3&lt;$M63), $A63, "")</f>
        <v/>
      </c>
      <c r="AA63" s="53" t="str">
        <f aca="false">IF(AND(AB$3&gt;=$J63, AB$3&lt;$M63), $A63, "")</f>
        <v/>
      </c>
      <c r="AB63" s="53" t="str">
        <f aca="false">IF(AND(AC$3&gt;=$J63, AC$3&lt;$M63), $A63, "")</f>
        <v/>
      </c>
      <c r="AC63" s="53" t="str">
        <f aca="false">IF(AND(AD$3&gt;=$J63, AD$3&lt;$M63), $A63, "")</f>
        <v/>
      </c>
      <c r="AD63" s="53" t="str">
        <f aca="false">IF(AND(AE$3&gt;=$J63, AE$3&lt;$M63), $A63, "")</f>
        <v/>
      </c>
      <c r="AE63" s="53" t="str">
        <f aca="false">IF(AND(AF$3&gt;=$J63, AF$3&lt;$M63), $A63, "")</f>
        <v/>
      </c>
      <c r="AF63" s="53" t="str">
        <f aca="false">IF(AND(AG$3&gt;=$J63, AG$3&lt;$M63), $A63, "")</f>
        <v/>
      </c>
      <c r="AG63" s="53" t="str">
        <f aca="false">IF(AND(AH$3&gt;=$J63, AH$3&lt;$M63), $A63, "")</f>
        <v/>
      </c>
      <c r="AH63" s="53" t="str">
        <f aca="false">IF(AND(AI$3&gt;=$J63, AI$3&lt;$M63), $A63, "")</f>
        <v/>
      </c>
      <c r="AI63" s="53" t="str">
        <f aca="false">IF(AND(AJ$3&gt;=$J63, AJ$3&lt;$M63), $A63, "")</f>
        <v/>
      </c>
      <c r="AJ63" s="53" t="str">
        <f aca="false">IF(AND(AK$3&gt;=$J63, AK$3&lt;$M63), $A63, "")</f>
        <v/>
      </c>
      <c r="AK63" s="53" t="str">
        <f aca="false">IF(AND(AL$3&gt;=$J63, AL$3&lt;$M63), $A63, "")</f>
        <v/>
      </c>
      <c r="AL63" s="53" t="str">
        <f aca="false">IF(AND(AM$3&gt;=$J63, AM$3&lt;$M63), $A63, "")</f>
        <v/>
      </c>
      <c r="AM63" s="53" t="str">
        <f aca="false">IF(AND(AN$3&gt;=$J63, AN$3&lt;$M63), $A63, "")</f>
        <v/>
      </c>
      <c r="AN63" s="53" t="str">
        <f aca="false">IF(AND(AO$3&gt;=$J63, AO$3&lt;$M63), $A63, "")</f>
        <v/>
      </c>
      <c r="AO63" s="53" t="str">
        <f aca="false">IF(AND(AP$3&gt;=$J63, AP$3&lt;$M63), $A63, "")</f>
        <v/>
      </c>
      <c r="AP63" s="53" t="str">
        <f aca="false">IF(AND(AQ$3&gt;=$J63, AQ$3&lt;$M63), $A63, "")</f>
        <v/>
      </c>
      <c r="AQ63" s="53" t="str">
        <f aca="false">IF(AND(AR$3&gt;=$J63, AR$3&lt;$M63), $A63, "")</f>
        <v/>
      </c>
      <c r="AR63" s="53" t="str">
        <f aca="false">IF(AND(AS$3&gt;=$J63, AS$3&lt;$M63), $A63, "")</f>
        <v/>
      </c>
      <c r="AS63" s="53" t="str">
        <f aca="false">IF(AND(AT$3&gt;=$J63, AT$3&lt;$M63), $A63, "")</f>
        <v/>
      </c>
      <c r="AT63" s="53" t="str">
        <f aca="false">IF(AND(AU$3&gt;=$J63, AU$3&lt;$M63), $A63, "")</f>
        <v/>
      </c>
      <c r="AU63" s="53" t="str">
        <f aca="false">IF(AND(AV$3&gt;=$J63, AV$3&lt;$M63), $A63, "")</f>
        <v/>
      </c>
      <c r="AV63" s="53" t="str">
        <f aca="false">IF(AND(AW$3&gt;=$J63, AW$3&lt;$M63), $A63, "")</f>
        <v/>
      </c>
      <c r="AW63" s="53" t="str">
        <f aca="false">IF(AND(AX$3&gt;=$J63, AX$3&lt;$M63), $A63, "")</f>
        <v/>
      </c>
      <c r="AX63" s="53" t="str">
        <f aca="false">IF(AND(AY$3&gt;=$J63, AY$3&lt;$M63), $A63, "")</f>
        <v/>
      </c>
      <c r="AY63" s="53" t="str">
        <f aca="false">IF(AND(AZ$3&gt;=$J63, AZ$3&lt;$M63), $A63, "")</f>
        <v/>
      </c>
      <c r="AZ63" s="53" t="str">
        <f aca="false">IF(AND(BA$3&gt;=$J63, BA$3&lt;$M63), $A63, "")</f>
        <v/>
      </c>
      <c r="BA63" s="53" t="str">
        <f aca="false">IF(AND(BB$3&gt;=$J63, BB$3&lt;$M63), $A63, "")</f>
        <v/>
      </c>
      <c r="BB63" s="53" t="str">
        <f aca="false">IF(AND(BC$3&gt;=$J63, BC$3&lt;$M63), $A63, "")</f>
        <v/>
      </c>
      <c r="BC63" s="53" t="str">
        <f aca="false">IF(AND(BD$3&gt;=$J63, BD$3&lt;$M63), $A63, "")</f>
        <v/>
      </c>
      <c r="BD63" s="53" t="str">
        <f aca="false">IF(AND(BE$3&gt;=$J63, BE$3&lt;$M63), $A63, "")</f>
        <v/>
      </c>
      <c r="BE63" s="53" t="str">
        <f aca="false">IF(AND(BF$3&gt;=$J63, BF$3&lt;$M63), $A63, "")</f>
        <v/>
      </c>
      <c r="BF63" s="53" t="str">
        <f aca="false">IF(AND(BG$3&gt;=$J63, BG$3&lt;$M63), $A63, "")</f>
        <v/>
      </c>
      <c r="BG63" s="53" t="str">
        <f aca="false">IF(AND(BH$3&gt;=$J63, BH$3&lt;$M63), $A63, "")</f>
        <v/>
      </c>
      <c r="BH63" s="53" t="str">
        <f aca="false">IF(AND(BI$3&gt;=$J63, BI$3&lt;$M63), $A63, "")</f>
        <v/>
      </c>
      <c r="BI63" s="53" t="str">
        <f aca="false">IF(AND(BJ$3&gt;=$J63, BJ$3&lt;$M63), $A63, "")</f>
        <v/>
      </c>
      <c r="BJ63" s="53" t="str">
        <f aca="false">IF(AND(BK$3&gt;=$J63, BK$3&lt;$M63), $A63, "")</f>
        <v/>
      </c>
      <c r="BK63" s="53" t="str">
        <f aca="false">IF(AND(BL$3&gt;=$J63, BL$3&lt;$M63), $A63, "")</f>
        <v/>
      </c>
      <c r="BL63" s="53" t="str">
        <f aca="false">IF(AND(BM$3&gt;=$J63, BM$3&lt;$M63), $A63, "")</f>
        <v/>
      </c>
      <c r="BM63" s="53" t="str">
        <f aca="false">IF(AND(BN$3&gt;=$J63, BN$3&lt;$M63), $A63, "")</f>
        <v/>
      </c>
      <c r="BN63" s="1" t="str">
        <f aca="false">IF(AND(BO$3&gt;=$J63, BO$3&lt;$M63), $A63, "")</f>
        <v/>
      </c>
      <c r="BO63" s="1" t="str">
        <f aca="false">IF(AND(BP$3&gt;=$J63, BP$3&lt;$M63), $A63, "")</f>
        <v/>
      </c>
      <c r="BP63" s="1" t="str">
        <f aca="false">IF(AND(BQ$3&gt;=$J63, BQ$3&lt;$M63), $A63, "")</f>
        <v/>
      </c>
    </row>
    <row r="64" customFormat="false" ht="15" hidden="false" customHeight="true" outlineLevel="0" collapsed="false">
      <c r="A64" s="46" t="str">
        <f aca="false">IF(Job_Master!A64="","",Job_Master!A64)</f>
        <v>BJ-149</v>
      </c>
      <c r="B64" s="4" t="n">
        <f aca="false">IF($A64="","",Job_Master!B64)</f>
        <v>9</v>
      </c>
      <c r="C64" s="4" t="str">
        <f aca="false">IF($A64="","",Job_Master!C64)</f>
        <v>2P</v>
      </c>
      <c r="D64" s="4" t="n">
        <f aca="false">IF($A64="","",Job_Master!D64)</f>
        <v>2</v>
      </c>
      <c r="E64" s="48" t="str">
        <f aca="false">IF($A64="","",IFERROR(INDEX(Machine_List!$B$82:$B$86,MATCH("*"&amp;$B64&amp;"*",Machine_List!$J$82:$J$86,0)),"NO COMPATIBLE MACHINE"))</f>
        <v>QC-MC-01</v>
      </c>
      <c r="F64" s="4" t="str">
        <f aca="false">IF($E64="","",IFERROR(VLOOKUP($E64,Machine_List!$B:$G,6,0),""))</f>
        <v>General Workman</v>
      </c>
      <c r="G64" s="55" t="n">
        <f aca="false">IF($E64="","",IFERROR(VLOOKUP($E64,Machine_List!$B:$C,2,0),""))</f>
        <v>46518</v>
      </c>
      <c r="H64" s="4" t="n">
        <f aca="false">IF($E64="","",IFERROR(VLOOKUP($E64,Machine_List!$B:$D,3,0),""))</f>
        <v>6</v>
      </c>
      <c r="I64" s="56"/>
      <c r="J64" s="57" t="n">
        <f aca="true">IF($A64="","",IF($I64&lt;&gt;"",$I64,MAX(FID_Plan!$M64,IFERROR(LOOKUP(2,1/($E$3:INDIRECT("E"&amp;(ROW()-1))=$E64),$M$3:INDIRECT("M"&amp;(ROW()-1))),FID_Plan!$M64))))</f>
        <v>46600.3287037037</v>
      </c>
      <c r="K64" s="4" t="n">
        <f aca="false">IF($A64="","",IFERROR(VLOOKUP(B64,CHOOSE(MATCH(C64,Settings!$L$4:$L$10,0),OPR_2P!$A$4:$I$18,SEG_6P!$A$4:$I$18,SOL_4P!$A$4:$I$18,RW_2P!$A$4:$I$18,RW2_4P!$A$4:$I$18,FLAP_4P!$A$4:$I$18,TUBE_4P!$A$4:$I$18),8,0),0))</f>
        <v>5</v>
      </c>
      <c r="L64" s="4" t="n">
        <f aca="false">IF($A64="","",K64*D64)</f>
        <v>10</v>
      </c>
      <c r="M64" s="57" t="n">
        <f aca="false">IF($A64="","",$J64+($L64/(IF(F64="Contract Workman",Settings!$K$5,Settings!$K$4))))</f>
        <v>46600.7916666667</v>
      </c>
      <c r="N64" s="4" t="str">
        <f aca="false">IF($A64="","",IF(F64="Contract Workman",IF(AND(MOD(M64,1)&gt;=8/24,MOD(M64,1)&lt;20/24),"Shift S1","Shift S2"),IF(AND(MOD(M64,1)&gt;=7/24,MOD(M64,1)&lt;15/24),"Shift A",IF(AND(MOD(M64,1)&gt;=15/24,MOD(M64,1)&lt;23/24),"Shift B","Shift C"))))</f>
        <v>Shift B</v>
      </c>
      <c r="O64" s="52" t="str">
        <f aca="false"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3" t="str">
        <f aca="false">IF(AND(Q$3&gt;=$J64, Q$3&lt;$M64), $A64, "")</f>
        <v/>
      </c>
      <c r="Q64" s="53" t="str">
        <f aca="false">IF(AND(R$3&gt;=$J64, R$3&lt;$M64), $A64, "")</f>
        <v/>
      </c>
      <c r="R64" s="53" t="str">
        <f aca="false">IF(AND(S$3&gt;=$J64, S$3&lt;$M64), $A64, "")</f>
        <v/>
      </c>
      <c r="S64" s="53" t="str">
        <f aca="false">IF(AND(T$3&gt;=$J64, T$3&lt;$M64), $A64, "")</f>
        <v/>
      </c>
      <c r="T64" s="53" t="str">
        <f aca="false">IF(AND(U$3&gt;=$J64, U$3&lt;$M64), $A64, "")</f>
        <v/>
      </c>
      <c r="U64" s="53" t="str">
        <f aca="false">IF(AND(V$3&gt;=$J64, V$3&lt;$M64), $A64, "")</f>
        <v/>
      </c>
      <c r="V64" s="53" t="str">
        <f aca="false">IF(AND(W$3&gt;=$J64, W$3&lt;$M64), $A64, "")</f>
        <v/>
      </c>
      <c r="W64" s="53" t="str">
        <f aca="false">IF(AND(X$3&gt;=$J64, X$3&lt;$M64), $A64, "")</f>
        <v/>
      </c>
      <c r="X64" s="53" t="str">
        <f aca="false">IF(AND(Y$3&gt;=$J64, Y$3&lt;$M64), $A64, "")</f>
        <v/>
      </c>
      <c r="Y64" s="53" t="str">
        <f aca="false">IF(AND(Z$3&gt;=$J64, Z$3&lt;$M64), $A64, "")</f>
        <v/>
      </c>
      <c r="Z64" s="53" t="str">
        <f aca="false">IF(AND(AA$3&gt;=$J64, AA$3&lt;$M64), $A64, "")</f>
        <v/>
      </c>
      <c r="AA64" s="53" t="str">
        <f aca="false">IF(AND(AB$3&gt;=$J64, AB$3&lt;$M64), $A64, "")</f>
        <v/>
      </c>
      <c r="AB64" s="53" t="str">
        <f aca="false">IF(AND(AC$3&gt;=$J64, AC$3&lt;$M64), $A64, "")</f>
        <v/>
      </c>
      <c r="AC64" s="53" t="str">
        <f aca="false">IF(AND(AD$3&gt;=$J64, AD$3&lt;$M64), $A64, "")</f>
        <v/>
      </c>
      <c r="AD64" s="53" t="str">
        <f aca="false">IF(AND(AE$3&gt;=$J64, AE$3&lt;$M64), $A64, "")</f>
        <v/>
      </c>
      <c r="AE64" s="53" t="str">
        <f aca="false">IF(AND(AF$3&gt;=$J64, AF$3&lt;$M64), $A64, "")</f>
        <v/>
      </c>
      <c r="AF64" s="53" t="str">
        <f aca="false">IF(AND(AG$3&gt;=$J64, AG$3&lt;$M64), $A64, "")</f>
        <v/>
      </c>
      <c r="AG64" s="53" t="str">
        <f aca="false">IF(AND(AH$3&gt;=$J64, AH$3&lt;$M64), $A64, "")</f>
        <v/>
      </c>
      <c r="AH64" s="53" t="str">
        <f aca="false">IF(AND(AI$3&gt;=$J64, AI$3&lt;$M64), $A64, "")</f>
        <v/>
      </c>
      <c r="AI64" s="53" t="str">
        <f aca="false">IF(AND(AJ$3&gt;=$J64, AJ$3&lt;$M64), $A64, "")</f>
        <v/>
      </c>
      <c r="AJ64" s="53" t="str">
        <f aca="false">IF(AND(AK$3&gt;=$J64, AK$3&lt;$M64), $A64, "")</f>
        <v/>
      </c>
      <c r="AK64" s="53" t="str">
        <f aca="false">IF(AND(AL$3&gt;=$J64, AL$3&lt;$M64), $A64, "")</f>
        <v/>
      </c>
      <c r="AL64" s="53" t="str">
        <f aca="false">IF(AND(AM$3&gt;=$J64, AM$3&lt;$M64), $A64, "")</f>
        <v/>
      </c>
      <c r="AM64" s="53" t="str">
        <f aca="false">IF(AND(AN$3&gt;=$J64, AN$3&lt;$M64), $A64, "")</f>
        <v/>
      </c>
      <c r="AN64" s="53" t="str">
        <f aca="false">IF(AND(AO$3&gt;=$J64, AO$3&lt;$M64), $A64, "")</f>
        <v/>
      </c>
      <c r="AO64" s="53" t="str">
        <f aca="false">IF(AND(AP$3&gt;=$J64, AP$3&lt;$M64), $A64, "")</f>
        <v/>
      </c>
      <c r="AP64" s="53" t="str">
        <f aca="false">IF(AND(AQ$3&gt;=$J64, AQ$3&lt;$M64), $A64, "")</f>
        <v/>
      </c>
      <c r="AQ64" s="53" t="str">
        <f aca="false">IF(AND(AR$3&gt;=$J64, AR$3&lt;$M64), $A64, "")</f>
        <v/>
      </c>
      <c r="AR64" s="53" t="str">
        <f aca="false">IF(AND(AS$3&gt;=$J64, AS$3&lt;$M64), $A64, "")</f>
        <v/>
      </c>
      <c r="AS64" s="53" t="str">
        <f aca="false">IF(AND(AT$3&gt;=$J64, AT$3&lt;$M64), $A64, "")</f>
        <v/>
      </c>
      <c r="AT64" s="53" t="str">
        <f aca="false">IF(AND(AU$3&gt;=$J64, AU$3&lt;$M64), $A64, "")</f>
        <v/>
      </c>
      <c r="AU64" s="53" t="str">
        <f aca="false">IF(AND(AV$3&gt;=$J64, AV$3&lt;$M64), $A64, "")</f>
        <v/>
      </c>
      <c r="AV64" s="53" t="str">
        <f aca="false">IF(AND(AW$3&gt;=$J64, AW$3&lt;$M64), $A64, "")</f>
        <v/>
      </c>
      <c r="AW64" s="53" t="str">
        <f aca="false">IF(AND(AX$3&gt;=$J64, AX$3&lt;$M64), $A64, "")</f>
        <v/>
      </c>
      <c r="AX64" s="53" t="str">
        <f aca="false">IF(AND(AY$3&gt;=$J64, AY$3&lt;$M64), $A64, "")</f>
        <v/>
      </c>
      <c r="AY64" s="53" t="str">
        <f aca="false">IF(AND(AZ$3&gt;=$J64, AZ$3&lt;$M64), $A64, "")</f>
        <v/>
      </c>
      <c r="AZ64" s="53" t="str">
        <f aca="false">IF(AND(BA$3&gt;=$J64, BA$3&lt;$M64), $A64, "")</f>
        <v/>
      </c>
      <c r="BA64" s="53" t="str">
        <f aca="false">IF(AND(BB$3&gt;=$J64, BB$3&lt;$M64), $A64, "")</f>
        <v/>
      </c>
      <c r="BB64" s="53" t="str">
        <f aca="false">IF(AND(BC$3&gt;=$J64, BC$3&lt;$M64), $A64, "")</f>
        <v/>
      </c>
      <c r="BC64" s="53" t="str">
        <f aca="false">IF(AND(BD$3&gt;=$J64, BD$3&lt;$M64), $A64, "")</f>
        <v/>
      </c>
      <c r="BD64" s="53" t="str">
        <f aca="false">IF(AND(BE$3&gt;=$J64, BE$3&lt;$M64), $A64, "")</f>
        <v/>
      </c>
      <c r="BE64" s="53" t="str">
        <f aca="false">IF(AND(BF$3&gt;=$J64, BF$3&lt;$M64), $A64, "")</f>
        <v/>
      </c>
      <c r="BF64" s="53" t="str">
        <f aca="false">IF(AND(BG$3&gt;=$J64, BG$3&lt;$M64), $A64, "")</f>
        <v/>
      </c>
      <c r="BG64" s="53" t="str">
        <f aca="false">IF(AND(BH$3&gt;=$J64, BH$3&lt;$M64), $A64, "")</f>
        <v/>
      </c>
      <c r="BH64" s="53" t="str">
        <f aca="false">IF(AND(BI$3&gt;=$J64, BI$3&lt;$M64), $A64, "")</f>
        <v/>
      </c>
      <c r="BI64" s="53" t="str">
        <f aca="false">IF(AND(BJ$3&gt;=$J64, BJ$3&lt;$M64), $A64, "")</f>
        <v/>
      </c>
      <c r="BJ64" s="53" t="str">
        <f aca="false">IF(AND(BK$3&gt;=$J64, BK$3&lt;$M64), $A64, "")</f>
        <v/>
      </c>
      <c r="BK64" s="53" t="str">
        <f aca="false">IF(AND(BL$3&gt;=$J64, BL$3&lt;$M64), $A64, "")</f>
        <v/>
      </c>
      <c r="BL64" s="53" t="str">
        <f aca="false">IF(AND(BM$3&gt;=$J64, BM$3&lt;$M64), $A64, "")</f>
        <v/>
      </c>
      <c r="BM64" s="53" t="str">
        <f aca="false">IF(AND(BN$3&gt;=$J64, BN$3&lt;$M64), $A64, "")</f>
        <v/>
      </c>
      <c r="BN64" s="1" t="str">
        <f aca="false">IF(AND(BO$3&gt;=$J64, BO$3&lt;$M64), $A64, "")</f>
        <v/>
      </c>
      <c r="BO64" s="1" t="str">
        <f aca="false">IF(AND(BP$3&gt;=$J64, BP$3&lt;$M64), $A64, "")</f>
        <v/>
      </c>
      <c r="BP64" s="1" t="str">
        <f aca="false">IF(AND(BQ$3&gt;=$J64, BQ$3&lt;$M64), $A64, "")</f>
        <v/>
      </c>
    </row>
    <row r="65" customFormat="false" ht="15" hidden="false" customHeight="true" outlineLevel="0" collapsed="false">
      <c r="A65" s="46" t="str">
        <f aca="false">IF(Job_Master!A65="","",Job_Master!A65)</f>
        <v>BJ-163</v>
      </c>
      <c r="B65" s="4" t="n">
        <f aca="false">IF($A65="","",Job_Master!B65)</f>
        <v>70</v>
      </c>
      <c r="C65" s="4" t="str">
        <f aca="false">IF($A65="","",Job_Master!C65)</f>
        <v>SOL</v>
      </c>
      <c r="D65" s="4" t="n">
        <f aca="false">IF($A65="","",Job_Master!D65)</f>
        <v>4</v>
      </c>
      <c r="E65" s="48" t="str">
        <f aca="false">IF($A65="","",IFERROR(INDEX(Machine_List!$B$82:$B$86,MATCH("*"&amp;$B65&amp;"*",Machine_List!$J$82:$J$86,0)),"NO COMPATIBLE MACHINE"))</f>
        <v>QC-MC-01</v>
      </c>
      <c r="F65" s="4" t="str">
        <f aca="false">IF($E65="","",IFERROR(VLOOKUP($E65,Machine_List!$B:$G,6,0),""))</f>
        <v>General Workman</v>
      </c>
      <c r="G65" s="55" t="n">
        <f aca="false">IF($E65="","",IFERROR(VLOOKUP($E65,Machine_List!$B:$C,2,0),""))</f>
        <v>46518</v>
      </c>
      <c r="H65" s="4" t="n">
        <f aca="false">IF($E65="","",IFERROR(VLOOKUP($E65,Machine_List!$B:$D,3,0),""))</f>
        <v>6</v>
      </c>
      <c r="I65" s="56"/>
      <c r="J65" s="57" t="n">
        <f aca="true">IF($A65="","",IF($I65&lt;&gt;"",$I65,MAX(FID_Plan!$M65,IFERROR(LOOKUP(2,1/($E$3:INDIRECT("E"&amp;(ROW()-1))=$E65),$M$3:INDIRECT("M"&amp;(ROW()-1))),FID_Plan!$M65))))</f>
        <v>46625.6858465608</v>
      </c>
      <c r="K65" s="4" t="n">
        <f aca="false">IF($A65="","",IFERROR(VLOOKUP(B65,CHOOSE(MATCH(C65,Settings!$L$4:$L$10,0),OPR_2P!$A$4:$I$18,SEG_6P!$A$4:$I$18,SOL_4P!$A$4:$I$18,RW_2P!$A$4:$I$18,RW2_4P!$A$4:$I$18,FLAP_4P!$A$4:$I$18,TUBE_4P!$A$4:$I$18),8,0),0))</f>
        <v>57</v>
      </c>
      <c r="L65" s="4" t="n">
        <f aca="false">IF($A65="","",K65*D65)</f>
        <v>228</v>
      </c>
      <c r="M65" s="57" t="n">
        <f aca="false">IF($A65="","",$J65+($L65/(IF(F65="Contract Workman",Settings!$K$5,Settings!$K$4))))</f>
        <v>46636.2414021164</v>
      </c>
      <c r="N65" s="4" t="str">
        <f aca="false">IF($A65="","",IF(F65="Contract Workman",IF(AND(MOD(M65,1)&gt;=8/24,MOD(M65,1)&lt;20/24),"Shift S1","Shift S2"),IF(AND(MOD(M65,1)&gt;=7/24,MOD(M65,1)&lt;15/24),"Shift A",IF(AND(MOD(M65,1)&gt;=15/24,MOD(M65,1)&lt;23/24),"Shift B","Shift C"))))</f>
        <v>Shift C</v>
      </c>
      <c r="O65" s="52" t="str">
        <f aca="false"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3" t="str">
        <f aca="false">IF(AND(Q$3&gt;=$J65, Q$3&lt;$M65), $A65, "")</f>
        <v/>
      </c>
      <c r="Q65" s="53" t="str">
        <f aca="false">IF(AND(R$3&gt;=$J65, R$3&lt;$M65), $A65, "")</f>
        <v/>
      </c>
      <c r="R65" s="53" t="str">
        <f aca="false">IF(AND(S$3&gt;=$J65, S$3&lt;$M65), $A65, "")</f>
        <v/>
      </c>
      <c r="S65" s="53" t="str">
        <f aca="false">IF(AND(T$3&gt;=$J65, T$3&lt;$M65), $A65, "")</f>
        <v/>
      </c>
      <c r="T65" s="53" t="str">
        <f aca="false">IF(AND(U$3&gt;=$J65, U$3&lt;$M65), $A65, "")</f>
        <v/>
      </c>
      <c r="U65" s="53" t="str">
        <f aca="false">IF(AND(V$3&gt;=$J65, V$3&lt;$M65), $A65, "")</f>
        <v/>
      </c>
      <c r="V65" s="53" t="str">
        <f aca="false">IF(AND(W$3&gt;=$J65, W$3&lt;$M65), $A65, "")</f>
        <v/>
      </c>
      <c r="W65" s="53" t="str">
        <f aca="false">IF(AND(X$3&gt;=$J65, X$3&lt;$M65), $A65, "")</f>
        <v/>
      </c>
      <c r="X65" s="53" t="str">
        <f aca="false">IF(AND(Y$3&gt;=$J65, Y$3&lt;$M65), $A65, "")</f>
        <v/>
      </c>
      <c r="Y65" s="53" t="str">
        <f aca="false">IF(AND(Z$3&gt;=$J65, Z$3&lt;$M65), $A65, "")</f>
        <v/>
      </c>
      <c r="Z65" s="53" t="str">
        <f aca="false">IF(AND(AA$3&gt;=$J65, AA$3&lt;$M65), $A65, "")</f>
        <v/>
      </c>
      <c r="AA65" s="53" t="str">
        <f aca="false">IF(AND(AB$3&gt;=$J65, AB$3&lt;$M65), $A65, "")</f>
        <v/>
      </c>
      <c r="AB65" s="53" t="str">
        <f aca="false">IF(AND(AC$3&gt;=$J65, AC$3&lt;$M65), $A65, "")</f>
        <v/>
      </c>
      <c r="AC65" s="53" t="str">
        <f aca="false">IF(AND(AD$3&gt;=$J65, AD$3&lt;$M65), $A65, "")</f>
        <v/>
      </c>
      <c r="AD65" s="53" t="str">
        <f aca="false">IF(AND(AE$3&gt;=$J65, AE$3&lt;$M65), $A65, "")</f>
        <v/>
      </c>
      <c r="AE65" s="53" t="str">
        <f aca="false">IF(AND(AF$3&gt;=$J65, AF$3&lt;$M65), $A65, "")</f>
        <v/>
      </c>
      <c r="AF65" s="53" t="str">
        <f aca="false">IF(AND(AG$3&gt;=$J65, AG$3&lt;$M65), $A65, "")</f>
        <v/>
      </c>
      <c r="AG65" s="53" t="str">
        <f aca="false">IF(AND(AH$3&gt;=$J65, AH$3&lt;$M65), $A65, "")</f>
        <v/>
      </c>
      <c r="AH65" s="53" t="str">
        <f aca="false">IF(AND(AI$3&gt;=$J65, AI$3&lt;$M65), $A65, "")</f>
        <v/>
      </c>
      <c r="AI65" s="53" t="str">
        <f aca="false">IF(AND(AJ$3&gt;=$J65, AJ$3&lt;$M65), $A65, "")</f>
        <v/>
      </c>
      <c r="AJ65" s="53" t="str">
        <f aca="false">IF(AND(AK$3&gt;=$J65, AK$3&lt;$M65), $A65, "")</f>
        <v/>
      </c>
      <c r="AK65" s="53" t="str">
        <f aca="false">IF(AND(AL$3&gt;=$J65, AL$3&lt;$M65), $A65, "")</f>
        <v/>
      </c>
      <c r="AL65" s="53" t="str">
        <f aca="false">IF(AND(AM$3&gt;=$J65, AM$3&lt;$M65), $A65, "")</f>
        <v/>
      </c>
      <c r="AM65" s="53" t="str">
        <f aca="false">IF(AND(AN$3&gt;=$J65, AN$3&lt;$M65), $A65, "")</f>
        <v/>
      </c>
      <c r="AN65" s="53" t="str">
        <f aca="false">IF(AND(AO$3&gt;=$J65, AO$3&lt;$M65), $A65, "")</f>
        <v/>
      </c>
      <c r="AO65" s="53" t="str">
        <f aca="false">IF(AND(AP$3&gt;=$J65, AP$3&lt;$M65), $A65, "")</f>
        <v/>
      </c>
      <c r="AP65" s="53" t="str">
        <f aca="false">IF(AND(AQ$3&gt;=$J65, AQ$3&lt;$M65), $A65, "")</f>
        <v/>
      </c>
      <c r="AQ65" s="53" t="str">
        <f aca="false">IF(AND(AR$3&gt;=$J65, AR$3&lt;$M65), $A65, "")</f>
        <v/>
      </c>
      <c r="AR65" s="53" t="str">
        <f aca="false">IF(AND(AS$3&gt;=$J65, AS$3&lt;$M65), $A65, "")</f>
        <v/>
      </c>
      <c r="AS65" s="53" t="str">
        <f aca="false">IF(AND(AT$3&gt;=$J65, AT$3&lt;$M65), $A65, "")</f>
        <v/>
      </c>
      <c r="AT65" s="53" t="str">
        <f aca="false">IF(AND(AU$3&gt;=$J65, AU$3&lt;$M65), $A65, "")</f>
        <v/>
      </c>
      <c r="AU65" s="53" t="str">
        <f aca="false">IF(AND(AV$3&gt;=$J65, AV$3&lt;$M65), $A65, "")</f>
        <v/>
      </c>
      <c r="AV65" s="53" t="str">
        <f aca="false">IF(AND(AW$3&gt;=$J65, AW$3&lt;$M65), $A65, "")</f>
        <v/>
      </c>
      <c r="AW65" s="53" t="str">
        <f aca="false">IF(AND(AX$3&gt;=$J65, AX$3&lt;$M65), $A65, "")</f>
        <v/>
      </c>
      <c r="AX65" s="53" t="str">
        <f aca="false">IF(AND(AY$3&gt;=$J65, AY$3&lt;$M65), $A65, "")</f>
        <v/>
      </c>
      <c r="AY65" s="53" t="str">
        <f aca="false">IF(AND(AZ$3&gt;=$J65, AZ$3&lt;$M65), $A65, "")</f>
        <v/>
      </c>
      <c r="AZ65" s="53" t="str">
        <f aca="false">IF(AND(BA$3&gt;=$J65, BA$3&lt;$M65), $A65, "")</f>
        <v/>
      </c>
      <c r="BA65" s="53" t="str">
        <f aca="false">IF(AND(BB$3&gt;=$J65, BB$3&lt;$M65), $A65, "")</f>
        <v/>
      </c>
      <c r="BB65" s="53" t="str">
        <f aca="false">IF(AND(BC$3&gt;=$J65, BC$3&lt;$M65), $A65, "")</f>
        <v/>
      </c>
      <c r="BC65" s="53" t="str">
        <f aca="false">IF(AND(BD$3&gt;=$J65, BD$3&lt;$M65), $A65, "")</f>
        <v/>
      </c>
      <c r="BD65" s="53" t="str">
        <f aca="false">IF(AND(BE$3&gt;=$J65, BE$3&lt;$M65), $A65, "")</f>
        <v/>
      </c>
      <c r="BE65" s="53" t="str">
        <f aca="false">IF(AND(BF$3&gt;=$J65, BF$3&lt;$M65), $A65, "")</f>
        <v/>
      </c>
      <c r="BF65" s="53" t="str">
        <f aca="false">IF(AND(BG$3&gt;=$J65, BG$3&lt;$M65), $A65, "")</f>
        <v/>
      </c>
      <c r="BG65" s="53" t="str">
        <f aca="false">IF(AND(BH$3&gt;=$J65, BH$3&lt;$M65), $A65, "")</f>
        <v/>
      </c>
      <c r="BH65" s="53" t="str">
        <f aca="false">IF(AND(BI$3&gt;=$J65, BI$3&lt;$M65), $A65, "")</f>
        <v/>
      </c>
      <c r="BI65" s="53" t="str">
        <f aca="false">IF(AND(BJ$3&gt;=$J65, BJ$3&lt;$M65), $A65, "")</f>
        <v/>
      </c>
      <c r="BJ65" s="53" t="str">
        <f aca="false">IF(AND(BK$3&gt;=$J65, BK$3&lt;$M65), $A65, "")</f>
        <v/>
      </c>
      <c r="BK65" s="53" t="str">
        <f aca="false">IF(AND(BL$3&gt;=$J65, BL$3&lt;$M65), $A65, "")</f>
        <v/>
      </c>
      <c r="BL65" s="53" t="str">
        <f aca="false">IF(AND(BM$3&gt;=$J65, BM$3&lt;$M65), $A65, "")</f>
        <v/>
      </c>
      <c r="BM65" s="53" t="str">
        <f aca="false">IF(AND(BN$3&gt;=$J65, BN$3&lt;$M65), $A65, "")</f>
        <v/>
      </c>
      <c r="BN65" s="1" t="str">
        <f aca="false">IF(AND(BO$3&gt;=$J65, BO$3&lt;$M65), $A65, "")</f>
        <v/>
      </c>
      <c r="BO65" s="1" t="str">
        <f aca="false">IF(AND(BP$3&gt;=$J65, BP$3&lt;$M65), $A65, "")</f>
        <v/>
      </c>
      <c r="BP65" s="1" t="str">
        <f aca="false">IF(AND(BQ$3&gt;=$J65, BQ$3&lt;$M65), $A65, "")</f>
        <v/>
      </c>
    </row>
    <row r="66" customFormat="false" ht="15" hidden="false" customHeight="true" outlineLevel="0" collapsed="false">
      <c r="A66" s="46" t="str">
        <f aca="false">IF(Job_Master!A66="","",Job_Master!A66)</f>
        <v>BJ-164</v>
      </c>
      <c r="B66" s="4" t="n">
        <f aca="false">IF($A66="","",Job_Master!B66)</f>
        <v>42</v>
      </c>
      <c r="C66" s="4" t="str">
        <f aca="false">IF($A66="","",Job_Master!C66)</f>
        <v>SOL</v>
      </c>
      <c r="D66" s="4" t="n">
        <f aca="false">IF($A66="","",Job_Master!D66)</f>
        <v>4</v>
      </c>
      <c r="E66" s="48" t="str">
        <f aca="false">IF($A66="","",IFERROR(INDEX(Machine_List!$B$82:$B$86,MATCH("*"&amp;$B66&amp;"*",Machine_List!$J$82:$J$86,0)),"NO COMPATIBLE MACHINE"))</f>
        <v>QC-MC-01</v>
      </c>
      <c r="F66" s="4" t="str">
        <f aca="false">IF($E66="","",IFERROR(VLOOKUP($E66,Machine_List!$B:$G,6,0),""))</f>
        <v>General Workman</v>
      </c>
      <c r="G66" s="55" t="n">
        <f aca="false">IF($E66="","",IFERROR(VLOOKUP($E66,Machine_List!$B:$C,2,0),""))</f>
        <v>46518</v>
      </c>
      <c r="H66" s="4" t="n">
        <f aca="false">IF($E66="","",IFERROR(VLOOKUP($E66,Machine_List!$B:$D,3,0),""))</f>
        <v>6</v>
      </c>
      <c r="I66" s="56"/>
      <c r="J66" s="57" t="n">
        <f aca="true">IF($A66="","",IF($I66&lt;&gt;"",$I66,MAX(FID_Plan!$M66,IFERROR(LOOKUP(2,1/($E$3:INDIRECT("E"&amp;(ROW()-1))=$E66),$M$3:INDIRECT("M"&amp;(ROW()-1))),FID_Plan!$M66))))</f>
        <v>46636.2414021164</v>
      </c>
      <c r="K66" s="4" t="n">
        <f aca="false">IF($A66="","",IFERROR(VLOOKUP(B66,CHOOSE(MATCH(C66,Settings!$L$4:$L$10,0),OPR_2P!$A$4:$I$18,SEG_6P!$A$4:$I$18,SOL_4P!$A$4:$I$18,RW_2P!$A$4:$I$18,RW2_4P!$A$4:$I$18,FLAP_4P!$A$4:$I$18,TUBE_4P!$A$4:$I$18),8,0),0))</f>
        <v>33</v>
      </c>
      <c r="L66" s="4" t="n">
        <f aca="false">IF($A66="","",K66*D66)</f>
        <v>132</v>
      </c>
      <c r="M66" s="57" t="n">
        <f aca="false">IF($A66="","",$J66+($L66/(IF(F66="Contract Workman",Settings!$K$5,Settings!$K$4))))</f>
        <v>46642.3525132275</v>
      </c>
      <c r="N66" s="4" t="str">
        <f aca="false">IF($A66="","",IF(F66="Contract Workman",IF(AND(MOD(M66,1)&gt;=8/24,MOD(M66,1)&lt;20/24),"Shift S1","Shift S2"),IF(AND(MOD(M66,1)&gt;=7/24,MOD(M66,1)&lt;15/24),"Shift A",IF(AND(MOD(M66,1)&gt;=15/24,MOD(M66,1)&lt;23/24),"Shift B","Shift C"))))</f>
        <v>Shift A</v>
      </c>
      <c r="O66" s="52" t="str">
        <f aca="false"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3" t="str">
        <f aca="false">IF(AND(Q$3&gt;=$J66, Q$3&lt;$M66), $A66, "")</f>
        <v/>
      </c>
      <c r="Q66" s="53" t="str">
        <f aca="false">IF(AND(R$3&gt;=$J66, R$3&lt;$M66), $A66, "")</f>
        <v/>
      </c>
      <c r="R66" s="53" t="str">
        <f aca="false">IF(AND(S$3&gt;=$J66, S$3&lt;$M66), $A66, "")</f>
        <v/>
      </c>
      <c r="S66" s="53" t="str">
        <f aca="false">IF(AND(T$3&gt;=$J66, T$3&lt;$M66), $A66, "")</f>
        <v/>
      </c>
      <c r="T66" s="53" t="str">
        <f aca="false">IF(AND(U$3&gt;=$J66, U$3&lt;$M66), $A66, "")</f>
        <v/>
      </c>
      <c r="U66" s="53" t="str">
        <f aca="false">IF(AND(V$3&gt;=$J66, V$3&lt;$M66), $A66, "")</f>
        <v/>
      </c>
      <c r="V66" s="53" t="str">
        <f aca="false">IF(AND(W$3&gt;=$J66, W$3&lt;$M66), $A66, "")</f>
        <v/>
      </c>
      <c r="W66" s="53" t="str">
        <f aca="false">IF(AND(X$3&gt;=$J66, X$3&lt;$M66), $A66, "")</f>
        <v/>
      </c>
      <c r="X66" s="53" t="str">
        <f aca="false">IF(AND(Y$3&gt;=$J66, Y$3&lt;$M66), $A66, "")</f>
        <v/>
      </c>
      <c r="Y66" s="53" t="str">
        <f aca="false">IF(AND(Z$3&gt;=$J66, Z$3&lt;$M66), $A66, "")</f>
        <v/>
      </c>
      <c r="Z66" s="53" t="str">
        <f aca="false">IF(AND(AA$3&gt;=$J66, AA$3&lt;$M66), $A66, "")</f>
        <v/>
      </c>
      <c r="AA66" s="53" t="str">
        <f aca="false">IF(AND(AB$3&gt;=$J66, AB$3&lt;$M66), $A66, "")</f>
        <v/>
      </c>
      <c r="AB66" s="53" t="str">
        <f aca="false">IF(AND(AC$3&gt;=$J66, AC$3&lt;$M66), $A66, "")</f>
        <v/>
      </c>
      <c r="AC66" s="53" t="str">
        <f aca="false">IF(AND(AD$3&gt;=$J66, AD$3&lt;$M66), $A66, "")</f>
        <v/>
      </c>
      <c r="AD66" s="53" t="str">
        <f aca="false">IF(AND(AE$3&gt;=$J66, AE$3&lt;$M66), $A66, "")</f>
        <v/>
      </c>
      <c r="AE66" s="53" t="str">
        <f aca="false">IF(AND(AF$3&gt;=$J66, AF$3&lt;$M66), $A66, "")</f>
        <v/>
      </c>
      <c r="AF66" s="53" t="str">
        <f aca="false">IF(AND(AG$3&gt;=$J66, AG$3&lt;$M66), $A66, "")</f>
        <v/>
      </c>
      <c r="AG66" s="53" t="str">
        <f aca="false">IF(AND(AH$3&gt;=$J66, AH$3&lt;$M66), $A66, "")</f>
        <v/>
      </c>
      <c r="AH66" s="53" t="str">
        <f aca="false">IF(AND(AI$3&gt;=$J66, AI$3&lt;$M66), $A66, "")</f>
        <v/>
      </c>
      <c r="AI66" s="53" t="str">
        <f aca="false">IF(AND(AJ$3&gt;=$J66, AJ$3&lt;$M66), $A66, "")</f>
        <v/>
      </c>
      <c r="AJ66" s="53" t="str">
        <f aca="false">IF(AND(AK$3&gt;=$J66, AK$3&lt;$M66), $A66, "")</f>
        <v/>
      </c>
      <c r="AK66" s="53" t="str">
        <f aca="false">IF(AND(AL$3&gt;=$J66, AL$3&lt;$M66), $A66, "")</f>
        <v/>
      </c>
      <c r="AL66" s="53" t="str">
        <f aca="false">IF(AND(AM$3&gt;=$J66, AM$3&lt;$M66), $A66, "")</f>
        <v/>
      </c>
      <c r="AM66" s="53" t="str">
        <f aca="false">IF(AND(AN$3&gt;=$J66, AN$3&lt;$M66), $A66, "")</f>
        <v/>
      </c>
      <c r="AN66" s="53" t="str">
        <f aca="false">IF(AND(AO$3&gt;=$J66, AO$3&lt;$M66), $A66, "")</f>
        <v/>
      </c>
      <c r="AO66" s="53" t="str">
        <f aca="false">IF(AND(AP$3&gt;=$J66, AP$3&lt;$M66), $A66, "")</f>
        <v/>
      </c>
      <c r="AP66" s="53" t="str">
        <f aca="false">IF(AND(AQ$3&gt;=$J66, AQ$3&lt;$M66), $A66, "")</f>
        <v/>
      </c>
      <c r="AQ66" s="53" t="str">
        <f aca="false">IF(AND(AR$3&gt;=$J66, AR$3&lt;$M66), $A66, "")</f>
        <v/>
      </c>
      <c r="AR66" s="53" t="str">
        <f aca="false">IF(AND(AS$3&gt;=$J66, AS$3&lt;$M66), $A66, "")</f>
        <v/>
      </c>
      <c r="AS66" s="53" t="str">
        <f aca="false">IF(AND(AT$3&gt;=$J66, AT$3&lt;$M66), $A66, "")</f>
        <v/>
      </c>
      <c r="AT66" s="53" t="str">
        <f aca="false">IF(AND(AU$3&gt;=$J66, AU$3&lt;$M66), $A66, "")</f>
        <v/>
      </c>
      <c r="AU66" s="53" t="str">
        <f aca="false">IF(AND(AV$3&gt;=$J66, AV$3&lt;$M66), $A66, "")</f>
        <v/>
      </c>
      <c r="AV66" s="53" t="str">
        <f aca="false">IF(AND(AW$3&gt;=$J66, AW$3&lt;$M66), $A66, "")</f>
        <v/>
      </c>
      <c r="AW66" s="53" t="str">
        <f aca="false">IF(AND(AX$3&gt;=$J66, AX$3&lt;$M66), $A66, "")</f>
        <v/>
      </c>
      <c r="AX66" s="53" t="str">
        <f aca="false">IF(AND(AY$3&gt;=$J66, AY$3&lt;$M66), $A66, "")</f>
        <v/>
      </c>
      <c r="AY66" s="53" t="str">
        <f aca="false">IF(AND(AZ$3&gt;=$J66, AZ$3&lt;$M66), $A66, "")</f>
        <v/>
      </c>
      <c r="AZ66" s="53" t="str">
        <f aca="false">IF(AND(BA$3&gt;=$J66, BA$3&lt;$M66), $A66, "")</f>
        <v/>
      </c>
      <c r="BA66" s="53" t="str">
        <f aca="false">IF(AND(BB$3&gt;=$J66, BB$3&lt;$M66), $A66, "")</f>
        <v/>
      </c>
      <c r="BB66" s="53" t="str">
        <f aca="false">IF(AND(BC$3&gt;=$J66, BC$3&lt;$M66), $A66, "")</f>
        <v/>
      </c>
      <c r="BC66" s="53" t="str">
        <f aca="false">IF(AND(BD$3&gt;=$J66, BD$3&lt;$M66), $A66, "")</f>
        <v/>
      </c>
      <c r="BD66" s="53" t="str">
        <f aca="false">IF(AND(BE$3&gt;=$J66, BE$3&lt;$M66), $A66, "")</f>
        <v/>
      </c>
      <c r="BE66" s="53" t="str">
        <f aca="false">IF(AND(BF$3&gt;=$J66, BF$3&lt;$M66), $A66, "")</f>
        <v/>
      </c>
      <c r="BF66" s="53" t="str">
        <f aca="false">IF(AND(BG$3&gt;=$J66, BG$3&lt;$M66), $A66, "")</f>
        <v/>
      </c>
      <c r="BG66" s="53" t="str">
        <f aca="false">IF(AND(BH$3&gt;=$J66, BH$3&lt;$M66), $A66, "")</f>
        <v/>
      </c>
      <c r="BH66" s="53" t="str">
        <f aca="false">IF(AND(BI$3&gt;=$J66, BI$3&lt;$M66), $A66, "")</f>
        <v/>
      </c>
      <c r="BI66" s="53" t="str">
        <f aca="false">IF(AND(BJ$3&gt;=$J66, BJ$3&lt;$M66), $A66, "")</f>
        <v/>
      </c>
      <c r="BJ66" s="53" t="str">
        <f aca="false">IF(AND(BK$3&gt;=$J66, BK$3&lt;$M66), $A66, "")</f>
        <v/>
      </c>
      <c r="BK66" s="53" t="str">
        <f aca="false">IF(AND(BL$3&gt;=$J66, BL$3&lt;$M66), $A66, "")</f>
        <v/>
      </c>
      <c r="BL66" s="53" t="str">
        <f aca="false">IF(AND(BM$3&gt;=$J66, BM$3&lt;$M66), $A66, "")</f>
        <v/>
      </c>
      <c r="BM66" s="53" t="str">
        <f aca="false">IF(AND(BN$3&gt;=$J66, BN$3&lt;$M66), $A66, "")</f>
        <v/>
      </c>
      <c r="BN66" s="1" t="str">
        <f aca="false">IF(AND(BO$3&gt;=$J66, BO$3&lt;$M66), $A66, "")</f>
        <v/>
      </c>
      <c r="BO66" s="1" t="str">
        <f aca="false">IF(AND(BP$3&gt;=$J66, BP$3&lt;$M66), $A66, "")</f>
        <v/>
      </c>
      <c r="BP66" s="1" t="str">
        <f aca="false">IF(AND(BQ$3&gt;=$J66, BQ$3&lt;$M66), $A66, "")</f>
        <v/>
      </c>
    </row>
    <row r="67" customFormat="false" ht="15" hidden="false" customHeight="true" outlineLevel="0" collapsed="false">
      <c r="A67" s="46" t="str">
        <f aca="false">IF(Job_Master!A67="","",Job_Master!A67)</f>
        <v>BJ-168</v>
      </c>
      <c r="B67" s="4" t="n">
        <f aca="false">IF($A67="","",Job_Master!B67)</f>
        <v>20</v>
      </c>
      <c r="C67" s="4" t="str">
        <f aca="false">IF($A67="","",Job_Master!C67)</f>
        <v>2P</v>
      </c>
      <c r="D67" s="4" t="n">
        <f aca="false">IF($A67="","",Job_Master!D67)</f>
        <v>2</v>
      </c>
      <c r="E67" s="48" t="str">
        <f aca="false">IF($A67="","",IFERROR(INDEX(Machine_List!$B$82:$B$86,MATCH("*"&amp;$B67&amp;"*",Machine_List!$J$82:$J$86,0)),"NO COMPATIBLE MACHINE"))</f>
        <v>QC-MC-01</v>
      </c>
      <c r="F67" s="4" t="str">
        <f aca="false">IF($E67="","",IFERROR(VLOOKUP($E67,Machine_List!$B:$G,6,0),""))</f>
        <v>General Workman</v>
      </c>
      <c r="G67" s="55" t="n">
        <f aca="false">IF($E67="","",IFERROR(VLOOKUP($E67,Machine_List!$B:$C,2,0),""))</f>
        <v>46518</v>
      </c>
      <c r="H67" s="4" t="n">
        <f aca="false">IF($E67="","",IFERROR(VLOOKUP($E67,Machine_List!$B:$D,3,0),""))</f>
        <v>6</v>
      </c>
      <c r="I67" s="56"/>
      <c r="J67" s="57" t="n">
        <f aca="true">IF($A67="","",IF($I67&lt;&gt;"",$I67,MAX(FID_Plan!$M67,IFERROR(LOOKUP(2,1/($E$3:INDIRECT("E"&amp;(ROW()-1))=$E67),$M$3:INDIRECT("M"&amp;(ROW()-1))),FID_Plan!$M67))))</f>
        <v>46642.3525132275</v>
      </c>
      <c r="K67" s="4" t="n">
        <f aca="false">IF($A67="","",IFERROR(VLOOKUP(B67,CHOOSE(MATCH(C67,Settings!$L$4:$L$10,0),OPR_2P!$A$4:$I$18,SEG_6P!$A$4:$I$18,SOL_4P!$A$4:$I$18,RW_2P!$A$4:$I$18,RW2_4P!$A$4:$I$18,FLAP_4P!$A$4:$I$18,TUBE_4P!$A$4:$I$18),8,0),0))</f>
        <v>12</v>
      </c>
      <c r="L67" s="4" t="n">
        <f aca="false">IF($A67="","",K67*D67)</f>
        <v>24</v>
      </c>
      <c r="M67" s="57" t="n">
        <f aca="false">IF($A67="","",$J67+($L67/(IF(F67="Contract Workman",Settings!$K$5,Settings!$K$4))))</f>
        <v>46643.4636243386</v>
      </c>
      <c r="N67" s="4" t="str">
        <f aca="false">IF($A67="","",IF(F67="Contract Workman",IF(AND(MOD(M67,1)&gt;=8/24,MOD(M67,1)&lt;20/24),"Shift S1","Shift S2"),IF(AND(MOD(M67,1)&gt;=7/24,MOD(M67,1)&lt;15/24),"Shift A",IF(AND(MOD(M67,1)&gt;=15/24,MOD(M67,1)&lt;23/24),"Shift B","Shift C"))))</f>
        <v>Shift A</v>
      </c>
      <c r="O67" s="52" t="str">
        <f aca="false"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3" t="str">
        <f aca="false">IF(AND(Q$3&gt;=$J67, Q$3&lt;$M67), $A67, "")</f>
        <v/>
      </c>
      <c r="Q67" s="53" t="str">
        <f aca="false">IF(AND(R$3&gt;=$J67, R$3&lt;$M67), $A67, "")</f>
        <v/>
      </c>
      <c r="R67" s="53" t="str">
        <f aca="false">IF(AND(S$3&gt;=$J67, S$3&lt;$M67), $A67, "")</f>
        <v/>
      </c>
      <c r="S67" s="53" t="str">
        <f aca="false">IF(AND(T$3&gt;=$J67, T$3&lt;$M67), $A67, "")</f>
        <v/>
      </c>
      <c r="T67" s="53" t="str">
        <f aca="false">IF(AND(U$3&gt;=$J67, U$3&lt;$M67), $A67, "")</f>
        <v/>
      </c>
      <c r="U67" s="53" t="str">
        <f aca="false">IF(AND(V$3&gt;=$J67, V$3&lt;$M67), $A67, "")</f>
        <v/>
      </c>
      <c r="V67" s="53" t="str">
        <f aca="false">IF(AND(W$3&gt;=$J67, W$3&lt;$M67), $A67, "")</f>
        <v/>
      </c>
      <c r="W67" s="53" t="str">
        <f aca="false">IF(AND(X$3&gt;=$J67, X$3&lt;$M67), $A67, "")</f>
        <v/>
      </c>
      <c r="X67" s="53" t="str">
        <f aca="false">IF(AND(Y$3&gt;=$J67, Y$3&lt;$M67), $A67, "")</f>
        <v/>
      </c>
      <c r="Y67" s="53" t="str">
        <f aca="false">IF(AND(Z$3&gt;=$J67, Z$3&lt;$M67), $A67, "")</f>
        <v/>
      </c>
      <c r="Z67" s="53" t="str">
        <f aca="false">IF(AND(AA$3&gt;=$J67, AA$3&lt;$M67), $A67, "")</f>
        <v/>
      </c>
      <c r="AA67" s="53" t="str">
        <f aca="false">IF(AND(AB$3&gt;=$J67, AB$3&lt;$M67), $A67, "")</f>
        <v/>
      </c>
      <c r="AB67" s="53" t="str">
        <f aca="false">IF(AND(AC$3&gt;=$J67, AC$3&lt;$M67), $A67, "")</f>
        <v/>
      </c>
      <c r="AC67" s="53" t="str">
        <f aca="false">IF(AND(AD$3&gt;=$J67, AD$3&lt;$M67), $A67, "")</f>
        <v/>
      </c>
      <c r="AD67" s="53" t="str">
        <f aca="false">IF(AND(AE$3&gt;=$J67, AE$3&lt;$M67), $A67, "")</f>
        <v/>
      </c>
      <c r="AE67" s="53" t="str">
        <f aca="false">IF(AND(AF$3&gt;=$J67, AF$3&lt;$M67), $A67, "")</f>
        <v/>
      </c>
      <c r="AF67" s="53" t="str">
        <f aca="false">IF(AND(AG$3&gt;=$J67, AG$3&lt;$M67), $A67, "")</f>
        <v/>
      </c>
      <c r="AG67" s="53" t="str">
        <f aca="false">IF(AND(AH$3&gt;=$J67, AH$3&lt;$M67), $A67, "")</f>
        <v/>
      </c>
      <c r="AH67" s="53" t="str">
        <f aca="false">IF(AND(AI$3&gt;=$J67, AI$3&lt;$M67), $A67, "")</f>
        <v/>
      </c>
      <c r="AI67" s="53" t="str">
        <f aca="false">IF(AND(AJ$3&gt;=$J67, AJ$3&lt;$M67), $A67, "")</f>
        <v/>
      </c>
      <c r="AJ67" s="53" t="str">
        <f aca="false">IF(AND(AK$3&gt;=$J67, AK$3&lt;$M67), $A67, "")</f>
        <v/>
      </c>
      <c r="AK67" s="53" t="str">
        <f aca="false">IF(AND(AL$3&gt;=$J67, AL$3&lt;$M67), $A67, "")</f>
        <v/>
      </c>
      <c r="AL67" s="53" t="str">
        <f aca="false">IF(AND(AM$3&gt;=$J67, AM$3&lt;$M67), $A67, "")</f>
        <v/>
      </c>
      <c r="AM67" s="53" t="str">
        <f aca="false">IF(AND(AN$3&gt;=$J67, AN$3&lt;$M67), $A67, "")</f>
        <v/>
      </c>
      <c r="AN67" s="53" t="str">
        <f aca="false">IF(AND(AO$3&gt;=$J67, AO$3&lt;$M67), $A67, "")</f>
        <v/>
      </c>
      <c r="AO67" s="53" t="str">
        <f aca="false">IF(AND(AP$3&gt;=$J67, AP$3&lt;$M67), $A67, "")</f>
        <v/>
      </c>
      <c r="AP67" s="53" t="str">
        <f aca="false">IF(AND(AQ$3&gt;=$J67, AQ$3&lt;$M67), $A67, "")</f>
        <v/>
      </c>
      <c r="AQ67" s="53" t="str">
        <f aca="false">IF(AND(AR$3&gt;=$J67, AR$3&lt;$M67), $A67, "")</f>
        <v/>
      </c>
      <c r="AR67" s="53" t="str">
        <f aca="false">IF(AND(AS$3&gt;=$J67, AS$3&lt;$M67), $A67, "")</f>
        <v/>
      </c>
      <c r="AS67" s="53" t="str">
        <f aca="false">IF(AND(AT$3&gt;=$J67, AT$3&lt;$M67), $A67, "")</f>
        <v/>
      </c>
      <c r="AT67" s="53" t="str">
        <f aca="false">IF(AND(AU$3&gt;=$J67, AU$3&lt;$M67), $A67, "")</f>
        <v/>
      </c>
      <c r="AU67" s="53" t="str">
        <f aca="false">IF(AND(AV$3&gt;=$J67, AV$3&lt;$M67), $A67, "")</f>
        <v/>
      </c>
      <c r="AV67" s="53" t="str">
        <f aca="false">IF(AND(AW$3&gt;=$J67, AW$3&lt;$M67), $A67, "")</f>
        <v/>
      </c>
      <c r="AW67" s="53" t="str">
        <f aca="false">IF(AND(AX$3&gt;=$J67, AX$3&lt;$M67), $A67, "")</f>
        <v/>
      </c>
      <c r="AX67" s="53" t="str">
        <f aca="false">IF(AND(AY$3&gt;=$J67, AY$3&lt;$M67), $A67, "")</f>
        <v/>
      </c>
      <c r="AY67" s="53" t="str">
        <f aca="false">IF(AND(AZ$3&gt;=$J67, AZ$3&lt;$M67), $A67, "")</f>
        <v/>
      </c>
      <c r="AZ67" s="53" t="str">
        <f aca="false">IF(AND(BA$3&gt;=$J67, BA$3&lt;$M67), $A67, "")</f>
        <v/>
      </c>
      <c r="BA67" s="53" t="str">
        <f aca="false">IF(AND(BB$3&gt;=$J67, BB$3&lt;$M67), $A67, "")</f>
        <v/>
      </c>
      <c r="BB67" s="53" t="str">
        <f aca="false">IF(AND(BC$3&gt;=$J67, BC$3&lt;$M67), $A67, "")</f>
        <v/>
      </c>
      <c r="BC67" s="53" t="str">
        <f aca="false">IF(AND(BD$3&gt;=$J67, BD$3&lt;$M67), $A67, "")</f>
        <v/>
      </c>
      <c r="BD67" s="53" t="str">
        <f aca="false">IF(AND(BE$3&gt;=$J67, BE$3&lt;$M67), $A67, "")</f>
        <v/>
      </c>
      <c r="BE67" s="53" t="str">
        <f aca="false">IF(AND(BF$3&gt;=$J67, BF$3&lt;$M67), $A67, "")</f>
        <v/>
      </c>
      <c r="BF67" s="53" t="str">
        <f aca="false">IF(AND(BG$3&gt;=$J67, BG$3&lt;$M67), $A67, "")</f>
        <v/>
      </c>
      <c r="BG67" s="53" t="str">
        <f aca="false">IF(AND(BH$3&gt;=$J67, BH$3&lt;$M67), $A67, "")</f>
        <v/>
      </c>
      <c r="BH67" s="53" t="str">
        <f aca="false">IF(AND(BI$3&gt;=$J67, BI$3&lt;$M67), $A67, "")</f>
        <v/>
      </c>
      <c r="BI67" s="53" t="str">
        <f aca="false">IF(AND(BJ$3&gt;=$J67, BJ$3&lt;$M67), $A67, "")</f>
        <v/>
      </c>
      <c r="BJ67" s="53" t="str">
        <f aca="false">IF(AND(BK$3&gt;=$J67, BK$3&lt;$M67), $A67, "")</f>
        <v/>
      </c>
      <c r="BK67" s="53" t="str">
        <f aca="false">IF(AND(BL$3&gt;=$J67, BL$3&lt;$M67), $A67, "")</f>
        <v/>
      </c>
      <c r="BL67" s="53" t="str">
        <f aca="false">IF(AND(BM$3&gt;=$J67, BM$3&lt;$M67), $A67, "")</f>
        <v/>
      </c>
      <c r="BM67" s="53" t="str">
        <f aca="false">IF(AND(BN$3&gt;=$J67, BN$3&lt;$M67), $A67, "")</f>
        <v/>
      </c>
      <c r="BN67" s="1" t="str">
        <f aca="false">IF(AND(BO$3&gt;=$J67, BO$3&lt;$M67), $A67, "")</f>
        <v/>
      </c>
      <c r="BO67" s="1" t="str">
        <f aca="false">IF(AND(BP$3&gt;=$J67, BP$3&lt;$M67), $A67, "")</f>
        <v/>
      </c>
      <c r="BP67" s="1" t="str">
        <f aca="false">IF(AND(BQ$3&gt;=$J67, BQ$3&lt;$M67), $A67, "")</f>
        <v/>
      </c>
    </row>
    <row r="68" customFormat="false" ht="15" hidden="false" customHeight="true" outlineLevel="0" collapsed="false">
      <c r="A68" s="46" t="str">
        <f aca="false">IF(Job_Master!A68="","",Job_Master!A68)</f>
        <v>BJ-155</v>
      </c>
      <c r="B68" s="4" t="n">
        <f aca="false">IF($A68="","",Job_Master!B68)</f>
        <v>17</v>
      </c>
      <c r="C68" s="4" t="str">
        <f aca="false">IF($A68="","",Job_Master!C68)</f>
        <v>RW</v>
      </c>
      <c r="D68" s="4" t="n">
        <f aca="false">IF($A68="","",Job_Master!D68)</f>
        <v>2</v>
      </c>
      <c r="E68" s="48" t="str">
        <f aca="false">IF($A68="","",IFERROR(INDEX(Machine_List!$B$82:$B$86,MATCH("*"&amp;$B68&amp;"*",Machine_List!$J$82:$J$86,0)),"NO COMPATIBLE MACHINE"))</f>
        <v>QC-MC-01</v>
      </c>
      <c r="F68" s="4" t="str">
        <f aca="false">IF($E68="","",IFERROR(VLOOKUP($E68,Machine_List!$B:$G,6,0),""))</f>
        <v>General Workman</v>
      </c>
      <c r="G68" s="55" t="n">
        <f aca="false">IF($E68="","",IFERROR(VLOOKUP($E68,Machine_List!$B:$C,2,0),""))</f>
        <v>46518</v>
      </c>
      <c r="H68" s="4" t="n">
        <f aca="false">IF($E68="","",IFERROR(VLOOKUP($E68,Machine_List!$B:$D,3,0),""))</f>
        <v>6</v>
      </c>
      <c r="I68" s="56"/>
      <c r="J68" s="57" t="n">
        <f aca="true">IF($A68="","",IF($I68&lt;&gt;"",$I68,MAX(FID_Plan!$M68,IFERROR(LOOKUP(2,1/($E$3:INDIRECT("E"&amp;(ROW()-1))=$E68),$M$3:INDIRECT("M"&amp;(ROW()-1))),FID_Plan!$M68))))</f>
        <v>46643.4636243386</v>
      </c>
      <c r="K68" s="4" t="n">
        <f aca="false">IF($A68="","",IFERROR(VLOOKUP(B68,CHOOSE(MATCH(C68,Settings!$L$4:$L$10,0),OPR_2P!$A$4:$I$18,SEG_6P!$A$4:$I$18,SOL_4P!$A$4:$I$18,RW_2P!$A$4:$I$18,RW2_4P!$A$4:$I$18,FLAP_4P!$A$4:$I$18,TUBE_4P!$A$4:$I$18),8,0),0))</f>
        <v>11</v>
      </c>
      <c r="L68" s="4" t="n">
        <f aca="false">IF($A68="","",K68*D68)</f>
        <v>22</v>
      </c>
      <c r="M68" s="57" t="n">
        <f aca="false">IF($A68="","",$J68+($L68/(IF(F68="Contract Workman",Settings!$K$5,Settings!$K$4))))</f>
        <v>46644.4821428571</v>
      </c>
      <c r="N68" s="4" t="str">
        <f aca="false">IF($A68="","",IF(F68="Contract Workman",IF(AND(MOD(M68,1)&gt;=8/24,MOD(M68,1)&lt;20/24),"Shift S1","Shift S2"),IF(AND(MOD(M68,1)&gt;=7/24,MOD(M68,1)&lt;15/24),"Shift A",IF(AND(MOD(M68,1)&gt;=15/24,MOD(M68,1)&lt;23/24),"Shift B","Shift C"))))</f>
        <v>Shift A</v>
      </c>
      <c r="O68" s="52" t="str">
        <f aca="false"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3" t="str">
        <f aca="false">IF(AND(Q$3&gt;=$J68, Q$3&lt;$M68), $A68, "")</f>
        <v/>
      </c>
      <c r="Q68" s="53" t="str">
        <f aca="false">IF(AND(R$3&gt;=$J68, R$3&lt;$M68), $A68, "")</f>
        <v/>
      </c>
      <c r="R68" s="53" t="str">
        <f aca="false">IF(AND(S$3&gt;=$J68, S$3&lt;$M68), $A68, "")</f>
        <v/>
      </c>
      <c r="S68" s="53" t="str">
        <f aca="false">IF(AND(T$3&gt;=$J68, T$3&lt;$M68), $A68, "")</f>
        <v/>
      </c>
      <c r="T68" s="53" t="str">
        <f aca="false">IF(AND(U$3&gt;=$J68, U$3&lt;$M68), $A68, "")</f>
        <v/>
      </c>
      <c r="U68" s="53" t="str">
        <f aca="false">IF(AND(V$3&gt;=$J68, V$3&lt;$M68), $A68, "")</f>
        <v/>
      </c>
      <c r="V68" s="53" t="str">
        <f aca="false">IF(AND(W$3&gt;=$J68, W$3&lt;$M68), $A68, "")</f>
        <v/>
      </c>
      <c r="W68" s="53" t="str">
        <f aca="false">IF(AND(X$3&gt;=$J68, X$3&lt;$M68), $A68, "")</f>
        <v/>
      </c>
      <c r="X68" s="53" t="str">
        <f aca="false">IF(AND(Y$3&gt;=$J68, Y$3&lt;$M68), $A68, "")</f>
        <v/>
      </c>
      <c r="Y68" s="53" t="str">
        <f aca="false">IF(AND(Z$3&gt;=$J68, Z$3&lt;$M68), $A68, "")</f>
        <v/>
      </c>
      <c r="Z68" s="53" t="str">
        <f aca="false">IF(AND(AA$3&gt;=$J68, AA$3&lt;$M68), $A68, "")</f>
        <v/>
      </c>
      <c r="AA68" s="53" t="str">
        <f aca="false">IF(AND(AB$3&gt;=$J68, AB$3&lt;$M68), $A68, "")</f>
        <v/>
      </c>
      <c r="AB68" s="53" t="str">
        <f aca="false">IF(AND(AC$3&gt;=$J68, AC$3&lt;$M68), $A68, "")</f>
        <v/>
      </c>
      <c r="AC68" s="53" t="str">
        <f aca="false">IF(AND(AD$3&gt;=$J68, AD$3&lt;$M68), $A68, "")</f>
        <v/>
      </c>
      <c r="AD68" s="53" t="str">
        <f aca="false">IF(AND(AE$3&gt;=$J68, AE$3&lt;$M68), $A68, "")</f>
        <v/>
      </c>
      <c r="AE68" s="53" t="str">
        <f aca="false">IF(AND(AF$3&gt;=$J68, AF$3&lt;$M68), $A68, "")</f>
        <v/>
      </c>
      <c r="AF68" s="53" t="str">
        <f aca="false">IF(AND(AG$3&gt;=$J68, AG$3&lt;$M68), $A68, "")</f>
        <v/>
      </c>
      <c r="AG68" s="53" t="str">
        <f aca="false">IF(AND(AH$3&gt;=$J68, AH$3&lt;$M68), $A68, "")</f>
        <v/>
      </c>
      <c r="AH68" s="53" t="str">
        <f aca="false">IF(AND(AI$3&gt;=$J68, AI$3&lt;$M68), $A68, "")</f>
        <v/>
      </c>
      <c r="AI68" s="53" t="str">
        <f aca="false">IF(AND(AJ$3&gt;=$J68, AJ$3&lt;$M68), $A68, "")</f>
        <v/>
      </c>
      <c r="AJ68" s="53" t="str">
        <f aca="false">IF(AND(AK$3&gt;=$J68, AK$3&lt;$M68), $A68, "")</f>
        <v/>
      </c>
      <c r="AK68" s="53" t="str">
        <f aca="false">IF(AND(AL$3&gt;=$J68, AL$3&lt;$M68), $A68, "")</f>
        <v/>
      </c>
      <c r="AL68" s="53" t="str">
        <f aca="false">IF(AND(AM$3&gt;=$J68, AM$3&lt;$M68), $A68, "")</f>
        <v/>
      </c>
      <c r="AM68" s="53" t="str">
        <f aca="false">IF(AND(AN$3&gt;=$J68, AN$3&lt;$M68), $A68, "")</f>
        <v/>
      </c>
      <c r="AN68" s="53" t="str">
        <f aca="false">IF(AND(AO$3&gt;=$J68, AO$3&lt;$M68), $A68, "")</f>
        <v/>
      </c>
      <c r="AO68" s="53" t="str">
        <f aca="false">IF(AND(AP$3&gt;=$J68, AP$3&lt;$M68), $A68, "")</f>
        <v/>
      </c>
      <c r="AP68" s="53" t="str">
        <f aca="false">IF(AND(AQ$3&gt;=$J68, AQ$3&lt;$M68), $A68, "")</f>
        <v/>
      </c>
      <c r="AQ68" s="53" t="str">
        <f aca="false">IF(AND(AR$3&gt;=$J68, AR$3&lt;$M68), $A68, "")</f>
        <v/>
      </c>
      <c r="AR68" s="53" t="str">
        <f aca="false">IF(AND(AS$3&gt;=$J68, AS$3&lt;$M68), $A68, "")</f>
        <v/>
      </c>
      <c r="AS68" s="53" t="str">
        <f aca="false">IF(AND(AT$3&gt;=$J68, AT$3&lt;$M68), $A68, "")</f>
        <v/>
      </c>
      <c r="AT68" s="53" t="str">
        <f aca="false">IF(AND(AU$3&gt;=$J68, AU$3&lt;$M68), $A68, "")</f>
        <v/>
      </c>
      <c r="AU68" s="53" t="str">
        <f aca="false">IF(AND(AV$3&gt;=$J68, AV$3&lt;$M68), $A68, "")</f>
        <v/>
      </c>
      <c r="AV68" s="53" t="str">
        <f aca="false">IF(AND(AW$3&gt;=$J68, AW$3&lt;$M68), $A68, "")</f>
        <v/>
      </c>
      <c r="AW68" s="53" t="str">
        <f aca="false">IF(AND(AX$3&gt;=$J68, AX$3&lt;$M68), $A68, "")</f>
        <v/>
      </c>
      <c r="AX68" s="53" t="str">
        <f aca="false">IF(AND(AY$3&gt;=$J68, AY$3&lt;$M68), $A68, "")</f>
        <v/>
      </c>
      <c r="AY68" s="53" t="str">
        <f aca="false">IF(AND(AZ$3&gt;=$J68, AZ$3&lt;$M68), $A68, "")</f>
        <v/>
      </c>
      <c r="AZ68" s="53" t="str">
        <f aca="false">IF(AND(BA$3&gt;=$J68, BA$3&lt;$M68), $A68, "")</f>
        <v/>
      </c>
      <c r="BA68" s="53" t="str">
        <f aca="false">IF(AND(BB$3&gt;=$J68, BB$3&lt;$M68), $A68, "")</f>
        <v/>
      </c>
      <c r="BB68" s="53" t="str">
        <f aca="false">IF(AND(BC$3&gt;=$J68, BC$3&lt;$M68), $A68, "")</f>
        <v/>
      </c>
      <c r="BC68" s="53" t="str">
        <f aca="false">IF(AND(BD$3&gt;=$J68, BD$3&lt;$M68), $A68, "")</f>
        <v/>
      </c>
      <c r="BD68" s="53" t="str">
        <f aca="false">IF(AND(BE$3&gt;=$J68, BE$3&lt;$M68), $A68, "")</f>
        <v/>
      </c>
      <c r="BE68" s="53" t="str">
        <f aca="false">IF(AND(BF$3&gt;=$J68, BF$3&lt;$M68), $A68, "")</f>
        <v/>
      </c>
      <c r="BF68" s="53" t="str">
        <f aca="false">IF(AND(BG$3&gt;=$J68, BG$3&lt;$M68), $A68, "")</f>
        <v/>
      </c>
      <c r="BG68" s="53" t="str">
        <f aca="false">IF(AND(BH$3&gt;=$J68, BH$3&lt;$M68), $A68, "")</f>
        <v/>
      </c>
      <c r="BH68" s="53" t="str">
        <f aca="false">IF(AND(BI$3&gt;=$J68, BI$3&lt;$M68), $A68, "")</f>
        <v/>
      </c>
      <c r="BI68" s="53" t="str">
        <f aca="false">IF(AND(BJ$3&gt;=$J68, BJ$3&lt;$M68), $A68, "")</f>
        <v/>
      </c>
      <c r="BJ68" s="53" t="str">
        <f aca="false">IF(AND(BK$3&gt;=$J68, BK$3&lt;$M68), $A68, "")</f>
        <v/>
      </c>
      <c r="BK68" s="53" t="str">
        <f aca="false">IF(AND(BL$3&gt;=$J68, BL$3&lt;$M68), $A68, "")</f>
        <v/>
      </c>
      <c r="BL68" s="53" t="str">
        <f aca="false">IF(AND(BM$3&gt;=$J68, BM$3&lt;$M68), $A68, "")</f>
        <v/>
      </c>
      <c r="BM68" s="53" t="str">
        <f aca="false">IF(AND(BN$3&gt;=$J68, BN$3&lt;$M68), $A68, "")</f>
        <v/>
      </c>
      <c r="BN68" s="1" t="str">
        <f aca="false">IF(AND(BO$3&gt;=$J68, BO$3&lt;$M68), $A68, "")</f>
        <v/>
      </c>
      <c r="BO68" s="1" t="str">
        <f aca="false">IF(AND(BP$3&gt;=$J68, BP$3&lt;$M68), $A68, "")</f>
        <v/>
      </c>
      <c r="BP68" s="1" t="str">
        <f aca="false">IF(AND(BQ$3&gt;=$J68, BQ$3&lt;$M68), $A68, "")</f>
        <v/>
      </c>
    </row>
    <row r="69" customFormat="false" ht="15" hidden="false" customHeight="true" outlineLevel="0" collapsed="false">
      <c r="A69" s="46" t="str">
        <f aca="false">IF(Job_Master!A69="","",Job_Master!A69)</f>
        <v>BJ-167</v>
      </c>
      <c r="B69" s="4" t="n">
        <f aca="false">IF($A69="","",Job_Master!B69)</f>
        <v>54</v>
      </c>
      <c r="C69" s="4" t="str">
        <f aca="false">IF($A69="","",Job_Master!C69)</f>
        <v>2P</v>
      </c>
      <c r="D69" s="4" t="n">
        <f aca="false">IF($A69="","",Job_Master!D69)</f>
        <v>2</v>
      </c>
      <c r="E69" s="48" t="str">
        <f aca="false">IF($A69="","",IFERROR(INDEX(Machine_List!$B$82:$B$86,MATCH("*"&amp;$B69&amp;"*",Machine_List!$J$82:$J$86,0)),"NO COMPATIBLE MACHINE"))</f>
        <v>QC-MC-01</v>
      </c>
      <c r="F69" s="4" t="str">
        <f aca="false">IF($E69="","",IFERROR(VLOOKUP($E69,Machine_List!$B:$G,6,0),""))</f>
        <v>General Workman</v>
      </c>
      <c r="G69" s="55" t="n">
        <f aca="false">IF($E69="","",IFERROR(VLOOKUP($E69,Machine_List!$B:$C,2,0),""))</f>
        <v>46518</v>
      </c>
      <c r="H69" s="4" t="n">
        <f aca="false">IF($E69="","",IFERROR(VLOOKUP($E69,Machine_List!$B:$D,3,0),""))</f>
        <v>6</v>
      </c>
      <c r="I69" s="56"/>
      <c r="J69" s="57" t="n">
        <f aca="true">IF($A69="","",IF($I69&lt;&gt;"",$I69,MAX(FID_Plan!$M69,IFERROR(LOOKUP(2,1/($E$3:INDIRECT("E"&amp;(ROW()-1))=$E69),$M$3:INDIRECT("M"&amp;(ROW()-1))),FID_Plan!$M69))))</f>
        <v>46644.4821428571</v>
      </c>
      <c r="K69" s="4" t="n">
        <f aca="false">IF($A69="","",IFERROR(VLOOKUP(B69,CHOOSE(MATCH(C69,Settings!$L$4:$L$10,0),OPR_2P!$A$4:$I$18,SEG_6P!$A$4:$I$18,SOL_4P!$A$4:$I$18,RW_2P!$A$4:$I$18,RW2_4P!$A$4:$I$18,FLAP_4P!$A$4:$I$18,TUBE_4P!$A$4:$I$18),8,0),0))</f>
        <v>67</v>
      </c>
      <c r="L69" s="4" t="n">
        <f aca="false">IF($A69="","",K69*D69)</f>
        <v>134</v>
      </c>
      <c r="M69" s="57" t="n">
        <f aca="false">IF($A69="","",$J69+($L69/(IF(F69="Contract Workman",Settings!$K$5,Settings!$K$4))))</f>
        <v>46650.6858465608</v>
      </c>
      <c r="N69" s="4" t="str">
        <f aca="false">IF($A69="","",IF(F69="Contract Workman",IF(AND(MOD(M69,1)&gt;=8/24,MOD(M69,1)&lt;20/24),"Shift S1","Shift S2"),IF(AND(MOD(M69,1)&gt;=7/24,MOD(M69,1)&lt;15/24),"Shift A",IF(AND(MOD(M69,1)&gt;=15/24,MOD(M69,1)&lt;23/24),"Shift B","Shift C"))))</f>
        <v>Shift B</v>
      </c>
      <c r="O69" s="52" t="str">
        <f aca="false"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3" t="str">
        <f aca="false">IF(AND(Q$3&gt;=$J69, Q$3&lt;$M69), $A69, "")</f>
        <v/>
      </c>
      <c r="Q69" s="53" t="str">
        <f aca="false">IF(AND(R$3&gt;=$J69, R$3&lt;$M69), $A69, "")</f>
        <v/>
      </c>
      <c r="R69" s="53" t="str">
        <f aca="false">IF(AND(S$3&gt;=$J69, S$3&lt;$M69), $A69, "")</f>
        <v/>
      </c>
      <c r="S69" s="53" t="str">
        <f aca="false">IF(AND(T$3&gt;=$J69, T$3&lt;$M69), $A69, "")</f>
        <v/>
      </c>
      <c r="T69" s="53" t="str">
        <f aca="false">IF(AND(U$3&gt;=$J69, U$3&lt;$M69), $A69, "")</f>
        <v/>
      </c>
      <c r="U69" s="53" t="str">
        <f aca="false">IF(AND(V$3&gt;=$J69, V$3&lt;$M69), $A69, "")</f>
        <v/>
      </c>
      <c r="V69" s="53" t="str">
        <f aca="false">IF(AND(W$3&gt;=$J69, W$3&lt;$M69), $A69, "")</f>
        <v/>
      </c>
      <c r="W69" s="53" t="str">
        <f aca="false">IF(AND(X$3&gt;=$J69, X$3&lt;$M69), $A69, "")</f>
        <v/>
      </c>
      <c r="X69" s="53" t="str">
        <f aca="false">IF(AND(Y$3&gt;=$J69, Y$3&lt;$M69), $A69, "")</f>
        <v/>
      </c>
      <c r="Y69" s="53" t="str">
        <f aca="false">IF(AND(Z$3&gt;=$J69, Z$3&lt;$M69), $A69, "")</f>
        <v/>
      </c>
      <c r="Z69" s="53" t="str">
        <f aca="false">IF(AND(AA$3&gt;=$J69, AA$3&lt;$M69), $A69, "")</f>
        <v/>
      </c>
      <c r="AA69" s="53" t="str">
        <f aca="false">IF(AND(AB$3&gt;=$J69, AB$3&lt;$M69), $A69, "")</f>
        <v/>
      </c>
      <c r="AB69" s="53" t="str">
        <f aca="false">IF(AND(AC$3&gt;=$J69, AC$3&lt;$M69), $A69, "")</f>
        <v/>
      </c>
      <c r="AC69" s="53" t="str">
        <f aca="false">IF(AND(AD$3&gt;=$J69, AD$3&lt;$M69), $A69, "")</f>
        <v/>
      </c>
      <c r="AD69" s="53" t="str">
        <f aca="false">IF(AND(AE$3&gt;=$J69, AE$3&lt;$M69), $A69, "")</f>
        <v/>
      </c>
      <c r="AE69" s="53" t="str">
        <f aca="false">IF(AND(AF$3&gt;=$J69, AF$3&lt;$M69), $A69, "")</f>
        <v/>
      </c>
      <c r="AF69" s="53" t="str">
        <f aca="false">IF(AND(AG$3&gt;=$J69, AG$3&lt;$M69), $A69, "")</f>
        <v/>
      </c>
      <c r="AG69" s="53" t="str">
        <f aca="false">IF(AND(AH$3&gt;=$J69, AH$3&lt;$M69), $A69, "")</f>
        <v/>
      </c>
      <c r="AH69" s="53" t="str">
        <f aca="false">IF(AND(AI$3&gt;=$J69, AI$3&lt;$M69), $A69, "")</f>
        <v/>
      </c>
      <c r="AI69" s="53" t="str">
        <f aca="false">IF(AND(AJ$3&gt;=$J69, AJ$3&lt;$M69), $A69, "")</f>
        <v/>
      </c>
      <c r="AJ69" s="53" t="str">
        <f aca="false">IF(AND(AK$3&gt;=$J69, AK$3&lt;$M69), $A69, "")</f>
        <v/>
      </c>
      <c r="AK69" s="53" t="str">
        <f aca="false">IF(AND(AL$3&gt;=$J69, AL$3&lt;$M69), $A69, "")</f>
        <v/>
      </c>
      <c r="AL69" s="53" t="str">
        <f aca="false">IF(AND(AM$3&gt;=$J69, AM$3&lt;$M69), $A69, "")</f>
        <v/>
      </c>
      <c r="AM69" s="53" t="str">
        <f aca="false">IF(AND(AN$3&gt;=$J69, AN$3&lt;$M69), $A69, "")</f>
        <v/>
      </c>
      <c r="AN69" s="53" t="str">
        <f aca="false">IF(AND(AO$3&gt;=$J69, AO$3&lt;$M69), $A69, "")</f>
        <v/>
      </c>
      <c r="AO69" s="53" t="str">
        <f aca="false">IF(AND(AP$3&gt;=$J69, AP$3&lt;$M69), $A69, "")</f>
        <v/>
      </c>
      <c r="AP69" s="53" t="str">
        <f aca="false">IF(AND(AQ$3&gt;=$J69, AQ$3&lt;$M69), $A69, "")</f>
        <v/>
      </c>
      <c r="AQ69" s="53" t="str">
        <f aca="false">IF(AND(AR$3&gt;=$J69, AR$3&lt;$M69), $A69, "")</f>
        <v/>
      </c>
      <c r="AR69" s="53" t="str">
        <f aca="false">IF(AND(AS$3&gt;=$J69, AS$3&lt;$M69), $A69, "")</f>
        <v/>
      </c>
      <c r="AS69" s="53" t="str">
        <f aca="false">IF(AND(AT$3&gt;=$J69, AT$3&lt;$M69), $A69, "")</f>
        <v/>
      </c>
      <c r="AT69" s="53" t="str">
        <f aca="false">IF(AND(AU$3&gt;=$J69, AU$3&lt;$M69), $A69, "")</f>
        <v/>
      </c>
      <c r="AU69" s="53" t="str">
        <f aca="false">IF(AND(AV$3&gt;=$J69, AV$3&lt;$M69), $A69, "")</f>
        <v/>
      </c>
      <c r="AV69" s="53" t="str">
        <f aca="false">IF(AND(AW$3&gt;=$J69, AW$3&lt;$M69), $A69, "")</f>
        <v/>
      </c>
      <c r="AW69" s="53" t="str">
        <f aca="false">IF(AND(AX$3&gt;=$J69, AX$3&lt;$M69), $A69, "")</f>
        <v/>
      </c>
      <c r="AX69" s="53" t="str">
        <f aca="false">IF(AND(AY$3&gt;=$J69, AY$3&lt;$M69), $A69, "")</f>
        <v/>
      </c>
      <c r="AY69" s="53" t="str">
        <f aca="false">IF(AND(AZ$3&gt;=$J69, AZ$3&lt;$M69), $A69, "")</f>
        <v/>
      </c>
      <c r="AZ69" s="53" t="str">
        <f aca="false">IF(AND(BA$3&gt;=$J69, BA$3&lt;$M69), $A69, "")</f>
        <v/>
      </c>
      <c r="BA69" s="53" t="str">
        <f aca="false">IF(AND(BB$3&gt;=$J69, BB$3&lt;$M69), $A69, "")</f>
        <v/>
      </c>
      <c r="BB69" s="53" t="str">
        <f aca="false">IF(AND(BC$3&gt;=$J69, BC$3&lt;$M69), $A69, "")</f>
        <v/>
      </c>
      <c r="BC69" s="53" t="str">
        <f aca="false">IF(AND(BD$3&gt;=$J69, BD$3&lt;$M69), $A69, "")</f>
        <v/>
      </c>
      <c r="BD69" s="53" t="str">
        <f aca="false">IF(AND(BE$3&gt;=$J69, BE$3&lt;$M69), $A69, "")</f>
        <v/>
      </c>
      <c r="BE69" s="53" t="str">
        <f aca="false">IF(AND(BF$3&gt;=$J69, BF$3&lt;$M69), $A69, "")</f>
        <v/>
      </c>
      <c r="BF69" s="53" t="str">
        <f aca="false">IF(AND(BG$3&gt;=$J69, BG$3&lt;$M69), $A69, "")</f>
        <v/>
      </c>
      <c r="BG69" s="53" t="str">
        <f aca="false">IF(AND(BH$3&gt;=$J69, BH$3&lt;$M69), $A69, "")</f>
        <v/>
      </c>
      <c r="BH69" s="53" t="str">
        <f aca="false">IF(AND(BI$3&gt;=$J69, BI$3&lt;$M69), $A69, "")</f>
        <v/>
      </c>
      <c r="BI69" s="53" t="str">
        <f aca="false">IF(AND(BJ$3&gt;=$J69, BJ$3&lt;$M69), $A69, "")</f>
        <v/>
      </c>
      <c r="BJ69" s="53" t="str">
        <f aca="false">IF(AND(BK$3&gt;=$J69, BK$3&lt;$M69), $A69, "")</f>
        <v/>
      </c>
      <c r="BK69" s="53" t="str">
        <f aca="false">IF(AND(BL$3&gt;=$J69, BL$3&lt;$M69), $A69, "")</f>
        <v/>
      </c>
      <c r="BL69" s="53" t="str">
        <f aca="false">IF(AND(BM$3&gt;=$J69, BM$3&lt;$M69), $A69, "")</f>
        <v/>
      </c>
      <c r="BM69" s="53" t="str">
        <f aca="false">IF(AND(BN$3&gt;=$J69, BN$3&lt;$M69), $A69, "")</f>
        <v/>
      </c>
      <c r="BN69" s="1" t="str">
        <f aca="false">IF(AND(BO$3&gt;=$J69, BO$3&lt;$M69), $A69, "")</f>
        <v/>
      </c>
      <c r="BO69" s="1" t="str">
        <f aca="false">IF(AND(BP$3&gt;=$J69, BP$3&lt;$M69), $A69, "")</f>
        <v/>
      </c>
      <c r="BP69" s="1" t="str">
        <f aca="false">IF(AND(BQ$3&gt;=$J69, BQ$3&lt;$M69), $A69, "")</f>
        <v/>
      </c>
    </row>
    <row r="70" customFormat="false" ht="15" hidden="false" customHeight="true" outlineLevel="0" collapsed="false">
      <c r="A70" s="46" t="str">
        <f aca="false">IF(Job_Master!A70="","",Job_Master!A70)</f>
        <v>BJ-166</v>
      </c>
      <c r="B70" s="4" t="n">
        <f aca="false">IF($A70="","",Job_Master!B70)</f>
        <v>50</v>
      </c>
      <c r="C70" s="4" t="str">
        <f aca="false">IF($A70="","",Job_Master!C70)</f>
        <v>SOL</v>
      </c>
      <c r="D70" s="4" t="n">
        <f aca="false">IF($A70="","",Job_Master!D70)</f>
        <v>4</v>
      </c>
      <c r="E70" s="48" t="str">
        <f aca="false">IF($A70="","",IFERROR(INDEX(Machine_List!$B$82:$B$86,MATCH("*"&amp;$B70&amp;"*",Machine_List!$J$82:$J$86,0)),"NO COMPATIBLE MACHINE"))</f>
        <v>QC-MC-01</v>
      </c>
      <c r="F70" s="4" t="str">
        <f aca="false">IF($E70="","",IFERROR(VLOOKUP($E70,Machine_List!$B:$G,6,0),""))</f>
        <v>General Workman</v>
      </c>
      <c r="G70" s="55" t="n">
        <f aca="false">IF($E70="","",IFERROR(VLOOKUP($E70,Machine_List!$B:$C,2,0),""))</f>
        <v>46518</v>
      </c>
      <c r="H70" s="4" t="n">
        <f aca="false">IF($E70="","",IFERROR(VLOOKUP($E70,Machine_List!$B:$D,3,0),""))</f>
        <v>6</v>
      </c>
      <c r="I70" s="56"/>
      <c r="J70" s="57" t="n">
        <f aca="true">IF($A70="","",IF($I70&lt;&gt;"",$I70,MAX(FID_Plan!$M70,IFERROR(LOOKUP(2,1/($E$3:INDIRECT("E"&amp;(ROW()-1))=$E70),$M$3:INDIRECT("M"&amp;(ROW()-1))),FID_Plan!$M70))))</f>
        <v>46654.792989418</v>
      </c>
      <c r="K70" s="4" t="n">
        <f aca="false">IF($A70="","",IFERROR(VLOOKUP(B70,CHOOSE(MATCH(C70,Settings!$L$4:$L$10,0),OPR_2P!$A$4:$I$18,SEG_6P!$A$4:$I$18,SOL_4P!$A$4:$I$18,RW_2P!$A$4:$I$18,RW2_4P!$A$4:$I$18,FLAP_4P!$A$4:$I$18,TUBE_4P!$A$4:$I$18),8,0),0))</f>
        <v>47</v>
      </c>
      <c r="L70" s="4" t="n">
        <f aca="false">IF($A70="","",K70*D70)</f>
        <v>188</v>
      </c>
      <c r="M70" s="57" t="n">
        <f aca="false">IF($A70="","",$J70+($L70/(IF(F70="Contract Workman",Settings!$K$5,Settings!$K$4))))</f>
        <v>46663.4966931217</v>
      </c>
      <c r="N70" s="4" t="str">
        <f aca="false">IF($A70="","",IF(F70="Contract Workman",IF(AND(MOD(M70,1)&gt;=8/24,MOD(M70,1)&lt;20/24),"Shift S1","Shift S2"),IF(AND(MOD(M70,1)&gt;=7/24,MOD(M70,1)&lt;15/24),"Shift A",IF(AND(MOD(M70,1)&gt;=15/24,MOD(M70,1)&lt;23/24),"Shift B","Shift C"))))</f>
        <v>Shift A</v>
      </c>
      <c r="O70" s="52" t="str">
        <f aca="false"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3" t="str">
        <f aca="false">IF(AND(Q$3&gt;=$J70, Q$3&lt;$M70), $A70, "")</f>
        <v/>
      </c>
      <c r="Q70" s="53" t="str">
        <f aca="false">IF(AND(R$3&gt;=$J70, R$3&lt;$M70), $A70, "")</f>
        <v/>
      </c>
      <c r="R70" s="53" t="str">
        <f aca="false">IF(AND(S$3&gt;=$J70, S$3&lt;$M70), $A70, "")</f>
        <v/>
      </c>
      <c r="S70" s="53" t="str">
        <f aca="false">IF(AND(T$3&gt;=$J70, T$3&lt;$M70), $A70, "")</f>
        <v/>
      </c>
      <c r="T70" s="53" t="str">
        <f aca="false">IF(AND(U$3&gt;=$J70, U$3&lt;$M70), $A70, "")</f>
        <v/>
      </c>
      <c r="U70" s="53" t="str">
        <f aca="false">IF(AND(V$3&gt;=$J70, V$3&lt;$M70), $A70, "")</f>
        <v/>
      </c>
      <c r="V70" s="53" t="str">
        <f aca="false">IF(AND(W$3&gt;=$J70, W$3&lt;$M70), $A70, "")</f>
        <v/>
      </c>
      <c r="W70" s="53" t="str">
        <f aca="false">IF(AND(X$3&gt;=$J70, X$3&lt;$M70), $A70, "")</f>
        <v/>
      </c>
      <c r="X70" s="53" t="str">
        <f aca="false">IF(AND(Y$3&gt;=$J70, Y$3&lt;$M70), $A70, "")</f>
        <v/>
      </c>
      <c r="Y70" s="53" t="str">
        <f aca="false">IF(AND(Z$3&gt;=$J70, Z$3&lt;$M70), $A70, "")</f>
        <v/>
      </c>
      <c r="Z70" s="53" t="str">
        <f aca="false">IF(AND(AA$3&gt;=$J70, AA$3&lt;$M70), $A70, "")</f>
        <v/>
      </c>
      <c r="AA70" s="53" t="str">
        <f aca="false">IF(AND(AB$3&gt;=$J70, AB$3&lt;$M70), $A70, "")</f>
        <v/>
      </c>
      <c r="AB70" s="53" t="str">
        <f aca="false">IF(AND(AC$3&gt;=$J70, AC$3&lt;$M70), $A70, "")</f>
        <v/>
      </c>
      <c r="AC70" s="53" t="str">
        <f aca="false">IF(AND(AD$3&gt;=$J70, AD$3&lt;$M70), $A70, "")</f>
        <v/>
      </c>
      <c r="AD70" s="53" t="str">
        <f aca="false">IF(AND(AE$3&gt;=$J70, AE$3&lt;$M70), $A70, "")</f>
        <v/>
      </c>
      <c r="AE70" s="53" t="str">
        <f aca="false">IF(AND(AF$3&gt;=$J70, AF$3&lt;$M70), $A70, "")</f>
        <v/>
      </c>
      <c r="AF70" s="53" t="str">
        <f aca="false">IF(AND(AG$3&gt;=$J70, AG$3&lt;$M70), $A70, "")</f>
        <v/>
      </c>
      <c r="AG70" s="53" t="str">
        <f aca="false">IF(AND(AH$3&gt;=$J70, AH$3&lt;$M70), $A70, "")</f>
        <v/>
      </c>
      <c r="AH70" s="53" t="str">
        <f aca="false">IF(AND(AI$3&gt;=$J70, AI$3&lt;$M70), $A70, "")</f>
        <v/>
      </c>
      <c r="AI70" s="53" t="str">
        <f aca="false">IF(AND(AJ$3&gt;=$J70, AJ$3&lt;$M70), $A70, "")</f>
        <v/>
      </c>
      <c r="AJ70" s="53" t="str">
        <f aca="false">IF(AND(AK$3&gt;=$J70, AK$3&lt;$M70), $A70, "")</f>
        <v/>
      </c>
      <c r="AK70" s="53" t="str">
        <f aca="false">IF(AND(AL$3&gt;=$J70, AL$3&lt;$M70), $A70, "")</f>
        <v/>
      </c>
      <c r="AL70" s="53" t="str">
        <f aca="false">IF(AND(AM$3&gt;=$J70, AM$3&lt;$M70), $A70, "")</f>
        <v/>
      </c>
      <c r="AM70" s="53" t="str">
        <f aca="false">IF(AND(AN$3&gt;=$J70, AN$3&lt;$M70), $A70, "")</f>
        <v/>
      </c>
      <c r="AN70" s="53" t="str">
        <f aca="false">IF(AND(AO$3&gt;=$J70, AO$3&lt;$M70), $A70, "")</f>
        <v/>
      </c>
      <c r="AO70" s="53" t="str">
        <f aca="false">IF(AND(AP$3&gt;=$J70, AP$3&lt;$M70), $A70, "")</f>
        <v/>
      </c>
      <c r="AP70" s="53" t="str">
        <f aca="false">IF(AND(AQ$3&gt;=$J70, AQ$3&lt;$M70), $A70, "")</f>
        <v/>
      </c>
      <c r="AQ70" s="53" t="str">
        <f aca="false">IF(AND(AR$3&gt;=$J70, AR$3&lt;$M70), $A70, "")</f>
        <v/>
      </c>
      <c r="AR70" s="53" t="str">
        <f aca="false">IF(AND(AS$3&gt;=$J70, AS$3&lt;$M70), $A70, "")</f>
        <v/>
      </c>
      <c r="AS70" s="53" t="str">
        <f aca="false">IF(AND(AT$3&gt;=$J70, AT$3&lt;$M70), $A70, "")</f>
        <v/>
      </c>
      <c r="AT70" s="53" t="str">
        <f aca="false">IF(AND(AU$3&gt;=$J70, AU$3&lt;$M70), $A70, "")</f>
        <v/>
      </c>
      <c r="AU70" s="53" t="str">
        <f aca="false">IF(AND(AV$3&gt;=$J70, AV$3&lt;$M70), $A70, "")</f>
        <v/>
      </c>
      <c r="AV70" s="53" t="str">
        <f aca="false">IF(AND(AW$3&gt;=$J70, AW$3&lt;$M70), $A70, "")</f>
        <v/>
      </c>
      <c r="AW70" s="53" t="str">
        <f aca="false">IF(AND(AX$3&gt;=$J70, AX$3&lt;$M70), $A70, "")</f>
        <v/>
      </c>
      <c r="AX70" s="53" t="str">
        <f aca="false">IF(AND(AY$3&gt;=$J70, AY$3&lt;$M70), $A70, "")</f>
        <v/>
      </c>
      <c r="AY70" s="53" t="str">
        <f aca="false">IF(AND(AZ$3&gt;=$J70, AZ$3&lt;$M70), $A70, "")</f>
        <v/>
      </c>
      <c r="AZ70" s="53" t="str">
        <f aca="false">IF(AND(BA$3&gt;=$J70, BA$3&lt;$M70), $A70, "")</f>
        <v/>
      </c>
      <c r="BA70" s="53" t="str">
        <f aca="false">IF(AND(BB$3&gt;=$J70, BB$3&lt;$M70), $A70, "")</f>
        <v/>
      </c>
      <c r="BB70" s="53" t="str">
        <f aca="false">IF(AND(BC$3&gt;=$J70, BC$3&lt;$M70), $A70, "")</f>
        <v/>
      </c>
      <c r="BC70" s="53" t="str">
        <f aca="false">IF(AND(BD$3&gt;=$J70, BD$3&lt;$M70), $A70, "")</f>
        <v/>
      </c>
      <c r="BD70" s="53" t="str">
        <f aca="false">IF(AND(BE$3&gt;=$J70, BE$3&lt;$M70), $A70, "")</f>
        <v/>
      </c>
      <c r="BE70" s="53" t="str">
        <f aca="false">IF(AND(BF$3&gt;=$J70, BF$3&lt;$M70), $A70, "")</f>
        <v/>
      </c>
      <c r="BF70" s="53" t="str">
        <f aca="false">IF(AND(BG$3&gt;=$J70, BG$3&lt;$M70), $A70, "")</f>
        <v/>
      </c>
      <c r="BG70" s="53" t="str">
        <f aca="false">IF(AND(BH$3&gt;=$J70, BH$3&lt;$M70), $A70, "")</f>
        <v/>
      </c>
      <c r="BH70" s="53" t="str">
        <f aca="false">IF(AND(BI$3&gt;=$J70, BI$3&lt;$M70), $A70, "")</f>
        <v/>
      </c>
      <c r="BI70" s="53" t="str">
        <f aca="false">IF(AND(BJ$3&gt;=$J70, BJ$3&lt;$M70), $A70, "")</f>
        <v/>
      </c>
      <c r="BJ70" s="53" t="str">
        <f aca="false">IF(AND(BK$3&gt;=$J70, BK$3&lt;$M70), $A70, "")</f>
        <v/>
      </c>
      <c r="BK70" s="53" t="str">
        <f aca="false">IF(AND(BL$3&gt;=$J70, BL$3&lt;$M70), $A70, "")</f>
        <v/>
      </c>
      <c r="BL70" s="53" t="str">
        <f aca="false">IF(AND(BM$3&gt;=$J70, BM$3&lt;$M70), $A70, "")</f>
        <v/>
      </c>
      <c r="BM70" s="53" t="str">
        <f aca="false">IF(AND(BN$3&gt;=$J70, BN$3&lt;$M70), $A70, "")</f>
        <v/>
      </c>
      <c r="BN70" s="1" t="str">
        <f aca="false">IF(AND(BO$3&gt;=$J70, BO$3&lt;$M70), $A70, "")</f>
        <v/>
      </c>
      <c r="BO70" s="1" t="str">
        <f aca="false">IF(AND(BP$3&gt;=$J70, BP$3&lt;$M70), $A70, "")</f>
        <v/>
      </c>
      <c r="BP70" s="1" t="str">
        <f aca="false">IF(AND(BQ$3&gt;=$J70, BQ$3&lt;$M70), $A70, "")</f>
        <v/>
      </c>
    </row>
    <row r="71" customFormat="false" ht="15" hidden="false" customHeight="true" outlineLevel="0" collapsed="false">
      <c r="A71" s="46" t="str">
        <f aca="false">IF(Job_Master!A71="","",Job_Master!A71)</f>
        <v>BJ-162</v>
      </c>
      <c r="B71" s="4" t="n">
        <f aca="false">IF($A71="","",Job_Master!B71)</f>
        <v>17</v>
      </c>
      <c r="C71" s="4" t="str">
        <f aca="false">IF($A71="","",Job_Master!C71)</f>
        <v>SOL</v>
      </c>
      <c r="D71" s="4" t="n">
        <f aca="false">IF($A71="","",Job_Master!D71)</f>
        <v>4</v>
      </c>
      <c r="E71" s="48" t="str">
        <f aca="false">IF($A71="","",IFERROR(INDEX(Machine_List!$B$82:$B$86,MATCH("*"&amp;$B71&amp;"*",Machine_List!$J$82:$J$86,0)),"NO COMPATIBLE MACHINE"))</f>
        <v>QC-MC-01</v>
      </c>
      <c r="F71" s="4" t="str">
        <f aca="false">IF($E71="","",IFERROR(VLOOKUP($E71,Machine_List!$B:$G,6,0),""))</f>
        <v>General Workman</v>
      </c>
      <c r="G71" s="55" t="n">
        <f aca="false">IF($E71="","",IFERROR(VLOOKUP($E71,Machine_List!$B:$C,2,0),""))</f>
        <v>46518</v>
      </c>
      <c r="H71" s="4" t="n">
        <f aca="false">IF($E71="","",IFERROR(VLOOKUP($E71,Machine_List!$B:$D,3,0),""))</f>
        <v>6</v>
      </c>
      <c r="I71" s="56"/>
      <c r="J71" s="57" t="n">
        <f aca="true">IF($A71="","",IF($I71&lt;&gt;"",$I71,MAX(FID_Plan!$M71,IFERROR(LOOKUP(2,1/($E$3:INDIRECT("E"&amp;(ROW()-1))=$E71),$M$3:INDIRECT("M"&amp;(ROW()-1))),FID_Plan!$M71))))</f>
        <v>46663.4966931217</v>
      </c>
      <c r="K71" s="4" t="n">
        <f aca="false">IF($A71="","",IFERROR(VLOOKUP(B71,CHOOSE(MATCH(C71,Settings!$L$4:$L$10,0),OPR_2P!$A$4:$I$18,SEG_6P!$A$4:$I$18,SOL_4P!$A$4:$I$18,RW_2P!$A$4:$I$18,RW2_4P!$A$4:$I$18,FLAP_4P!$A$4:$I$18,TUBE_4P!$A$4:$I$18),8,0),0))</f>
        <v>15</v>
      </c>
      <c r="L71" s="4" t="n">
        <f aca="false">IF($A71="","",K71*D71)</f>
        <v>60</v>
      </c>
      <c r="M71" s="57" t="n">
        <f aca="false">IF($A71="","",$J71+($L71/(IF(F71="Contract Workman",Settings!$K$5,Settings!$K$4))))</f>
        <v>46666.2744708995</v>
      </c>
      <c r="N71" s="4" t="str">
        <f aca="false">IF($A71="","",IF(F71="Contract Workman",IF(AND(MOD(M71,1)&gt;=8/24,MOD(M71,1)&lt;20/24),"Shift S1","Shift S2"),IF(AND(MOD(M71,1)&gt;=7/24,MOD(M71,1)&lt;15/24),"Shift A",IF(AND(MOD(M71,1)&gt;=15/24,MOD(M71,1)&lt;23/24),"Shift B","Shift C"))))</f>
        <v>Shift C</v>
      </c>
      <c r="O71" s="52" t="str">
        <f aca="false"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3" t="str">
        <f aca="false">IF(AND(Q$3&gt;=$J71, Q$3&lt;$M71), $A71, "")</f>
        <v/>
      </c>
      <c r="Q71" s="53" t="str">
        <f aca="false">IF(AND(R$3&gt;=$J71, R$3&lt;$M71), $A71, "")</f>
        <v/>
      </c>
      <c r="R71" s="53" t="str">
        <f aca="false">IF(AND(S$3&gt;=$J71, S$3&lt;$M71), $A71, "")</f>
        <v/>
      </c>
      <c r="S71" s="53" t="str">
        <f aca="false">IF(AND(T$3&gt;=$J71, T$3&lt;$M71), $A71, "")</f>
        <v/>
      </c>
      <c r="T71" s="53" t="str">
        <f aca="false">IF(AND(U$3&gt;=$J71, U$3&lt;$M71), $A71, "")</f>
        <v/>
      </c>
      <c r="U71" s="53" t="str">
        <f aca="false">IF(AND(V$3&gt;=$J71, V$3&lt;$M71), $A71, "")</f>
        <v/>
      </c>
      <c r="V71" s="53" t="str">
        <f aca="false">IF(AND(W$3&gt;=$J71, W$3&lt;$M71), $A71, "")</f>
        <v/>
      </c>
      <c r="W71" s="53" t="str">
        <f aca="false">IF(AND(X$3&gt;=$J71, X$3&lt;$M71), $A71, "")</f>
        <v/>
      </c>
      <c r="X71" s="53" t="str">
        <f aca="false">IF(AND(Y$3&gt;=$J71, Y$3&lt;$M71), $A71, "")</f>
        <v/>
      </c>
      <c r="Y71" s="53" t="str">
        <f aca="false">IF(AND(Z$3&gt;=$J71, Z$3&lt;$M71), $A71, "")</f>
        <v/>
      </c>
      <c r="Z71" s="53" t="str">
        <f aca="false">IF(AND(AA$3&gt;=$J71, AA$3&lt;$M71), $A71, "")</f>
        <v/>
      </c>
      <c r="AA71" s="53" t="str">
        <f aca="false">IF(AND(AB$3&gt;=$J71, AB$3&lt;$M71), $A71, "")</f>
        <v/>
      </c>
      <c r="AB71" s="53" t="str">
        <f aca="false">IF(AND(AC$3&gt;=$J71, AC$3&lt;$M71), $A71, "")</f>
        <v/>
      </c>
      <c r="AC71" s="53" t="str">
        <f aca="false">IF(AND(AD$3&gt;=$J71, AD$3&lt;$M71), $A71, "")</f>
        <v/>
      </c>
      <c r="AD71" s="53" t="str">
        <f aca="false">IF(AND(AE$3&gt;=$J71, AE$3&lt;$M71), $A71, "")</f>
        <v/>
      </c>
      <c r="AE71" s="53" t="str">
        <f aca="false">IF(AND(AF$3&gt;=$J71, AF$3&lt;$M71), $A71, "")</f>
        <v/>
      </c>
      <c r="AF71" s="53" t="str">
        <f aca="false">IF(AND(AG$3&gt;=$J71, AG$3&lt;$M71), $A71, "")</f>
        <v/>
      </c>
      <c r="AG71" s="53" t="str">
        <f aca="false">IF(AND(AH$3&gt;=$J71, AH$3&lt;$M71), $A71, "")</f>
        <v/>
      </c>
      <c r="AH71" s="53" t="str">
        <f aca="false">IF(AND(AI$3&gt;=$J71, AI$3&lt;$M71), $A71, "")</f>
        <v/>
      </c>
      <c r="AI71" s="53" t="str">
        <f aca="false">IF(AND(AJ$3&gt;=$J71, AJ$3&lt;$M71), $A71, "")</f>
        <v/>
      </c>
      <c r="AJ71" s="53" t="str">
        <f aca="false">IF(AND(AK$3&gt;=$J71, AK$3&lt;$M71), $A71, "")</f>
        <v/>
      </c>
      <c r="AK71" s="53" t="str">
        <f aca="false">IF(AND(AL$3&gt;=$J71, AL$3&lt;$M71), $A71, "")</f>
        <v/>
      </c>
      <c r="AL71" s="53" t="str">
        <f aca="false">IF(AND(AM$3&gt;=$J71, AM$3&lt;$M71), $A71, "")</f>
        <v/>
      </c>
      <c r="AM71" s="53" t="str">
        <f aca="false">IF(AND(AN$3&gt;=$J71, AN$3&lt;$M71), $A71, "")</f>
        <v/>
      </c>
      <c r="AN71" s="53" t="str">
        <f aca="false">IF(AND(AO$3&gt;=$J71, AO$3&lt;$M71), $A71, "")</f>
        <v/>
      </c>
      <c r="AO71" s="53" t="str">
        <f aca="false">IF(AND(AP$3&gt;=$J71, AP$3&lt;$M71), $A71, "")</f>
        <v/>
      </c>
      <c r="AP71" s="53" t="str">
        <f aca="false">IF(AND(AQ$3&gt;=$J71, AQ$3&lt;$M71), $A71, "")</f>
        <v/>
      </c>
      <c r="AQ71" s="53" t="str">
        <f aca="false">IF(AND(AR$3&gt;=$J71, AR$3&lt;$M71), $A71, "")</f>
        <v/>
      </c>
      <c r="AR71" s="53" t="str">
        <f aca="false">IF(AND(AS$3&gt;=$J71, AS$3&lt;$M71), $A71, "")</f>
        <v/>
      </c>
      <c r="AS71" s="53" t="str">
        <f aca="false">IF(AND(AT$3&gt;=$J71, AT$3&lt;$M71), $A71, "")</f>
        <v/>
      </c>
      <c r="AT71" s="53" t="str">
        <f aca="false">IF(AND(AU$3&gt;=$J71, AU$3&lt;$M71), $A71, "")</f>
        <v/>
      </c>
      <c r="AU71" s="53" t="str">
        <f aca="false">IF(AND(AV$3&gt;=$J71, AV$3&lt;$M71), $A71, "")</f>
        <v/>
      </c>
      <c r="AV71" s="53" t="str">
        <f aca="false">IF(AND(AW$3&gt;=$J71, AW$3&lt;$M71), $A71, "")</f>
        <v/>
      </c>
      <c r="AW71" s="53" t="str">
        <f aca="false">IF(AND(AX$3&gt;=$J71, AX$3&lt;$M71), $A71, "")</f>
        <v/>
      </c>
      <c r="AX71" s="53" t="str">
        <f aca="false">IF(AND(AY$3&gt;=$J71, AY$3&lt;$M71), $A71, "")</f>
        <v/>
      </c>
      <c r="AY71" s="53" t="str">
        <f aca="false">IF(AND(AZ$3&gt;=$J71, AZ$3&lt;$M71), $A71, "")</f>
        <v/>
      </c>
      <c r="AZ71" s="53" t="str">
        <f aca="false">IF(AND(BA$3&gt;=$J71, BA$3&lt;$M71), $A71, "")</f>
        <v/>
      </c>
      <c r="BA71" s="53" t="str">
        <f aca="false">IF(AND(BB$3&gt;=$J71, BB$3&lt;$M71), $A71, "")</f>
        <v/>
      </c>
      <c r="BB71" s="53" t="str">
        <f aca="false">IF(AND(BC$3&gt;=$J71, BC$3&lt;$M71), $A71, "")</f>
        <v/>
      </c>
      <c r="BC71" s="53" t="str">
        <f aca="false">IF(AND(BD$3&gt;=$J71, BD$3&lt;$M71), $A71, "")</f>
        <v/>
      </c>
      <c r="BD71" s="53" t="str">
        <f aca="false">IF(AND(BE$3&gt;=$J71, BE$3&lt;$M71), $A71, "")</f>
        <v/>
      </c>
      <c r="BE71" s="53" t="str">
        <f aca="false">IF(AND(BF$3&gt;=$J71, BF$3&lt;$M71), $A71, "")</f>
        <v/>
      </c>
      <c r="BF71" s="53" t="str">
        <f aca="false">IF(AND(BG$3&gt;=$J71, BG$3&lt;$M71), $A71, "")</f>
        <v/>
      </c>
      <c r="BG71" s="53" t="str">
        <f aca="false">IF(AND(BH$3&gt;=$J71, BH$3&lt;$M71), $A71, "")</f>
        <v/>
      </c>
      <c r="BH71" s="53" t="str">
        <f aca="false">IF(AND(BI$3&gt;=$J71, BI$3&lt;$M71), $A71, "")</f>
        <v/>
      </c>
      <c r="BI71" s="53" t="str">
        <f aca="false">IF(AND(BJ$3&gt;=$J71, BJ$3&lt;$M71), $A71, "")</f>
        <v/>
      </c>
      <c r="BJ71" s="53" t="str">
        <f aca="false">IF(AND(BK$3&gt;=$J71, BK$3&lt;$M71), $A71, "")</f>
        <v/>
      </c>
      <c r="BK71" s="53" t="str">
        <f aca="false">IF(AND(BL$3&gt;=$J71, BL$3&lt;$M71), $A71, "")</f>
        <v/>
      </c>
      <c r="BL71" s="53" t="str">
        <f aca="false">IF(AND(BM$3&gt;=$J71, BM$3&lt;$M71), $A71, "")</f>
        <v/>
      </c>
      <c r="BM71" s="53" t="str">
        <f aca="false">IF(AND(BN$3&gt;=$J71, BN$3&lt;$M71), $A71, "")</f>
        <v/>
      </c>
      <c r="BN71" s="1" t="str">
        <f aca="false">IF(AND(BO$3&gt;=$J71, BO$3&lt;$M71), $A71, "")</f>
        <v/>
      </c>
      <c r="BO71" s="1" t="str">
        <f aca="false">IF(AND(BP$3&gt;=$J71, BP$3&lt;$M71), $A71, "")</f>
        <v/>
      </c>
      <c r="BP71" s="1" t="str">
        <f aca="false">IF(AND(BQ$3&gt;=$J71, BQ$3&lt;$M71), $A71, "")</f>
        <v/>
      </c>
    </row>
    <row r="72" customFormat="false" ht="15" hidden="false" customHeight="true" outlineLevel="0" collapsed="false">
      <c r="A72" s="46" t="str">
        <f aca="false">IF(Job_Master!A72="","",Job_Master!A72)</f>
        <v>BJ-165</v>
      </c>
      <c r="B72" s="4" t="n">
        <f aca="false">IF($A72="","",Job_Master!B72)</f>
        <v>17</v>
      </c>
      <c r="C72" s="4" t="str">
        <f aca="false">IF($A72="","",Job_Master!C72)</f>
        <v>2P</v>
      </c>
      <c r="D72" s="4" t="n">
        <f aca="false">IF($A72="","",Job_Master!D72)</f>
        <v>2</v>
      </c>
      <c r="E72" s="48" t="str">
        <f aca="false">IF($A72="","",IFERROR(INDEX(Machine_List!$B$82:$B$86,MATCH("*"&amp;$B72&amp;"*",Machine_List!$J$82:$J$86,0)),"NO COMPATIBLE MACHINE"))</f>
        <v>QC-MC-01</v>
      </c>
      <c r="F72" s="4" t="str">
        <f aca="false">IF($E72="","",IFERROR(VLOOKUP($E72,Machine_List!$B:$G,6,0),""))</f>
        <v>General Workman</v>
      </c>
      <c r="G72" s="55" t="n">
        <f aca="false">IF($E72="","",IFERROR(VLOOKUP($E72,Machine_List!$B:$C,2,0),""))</f>
        <v>46518</v>
      </c>
      <c r="H72" s="4" t="n">
        <f aca="false">IF($E72="","",IFERROR(VLOOKUP($E72,Machine_List!$B:$D,3,0),""))</f>
        <v>6</v>
      </c>
      <c r="I72" s="56"/>
      <c r="J72" s="57" t="n">
        <f aca="true">IF($A72="","",IF($I72&lt;&gt;"",$I72,MAX(FID_Plan!$M72,IFERROR(LOOKUP(2,1/($E$3:INDIRECT("E"&amp;(ROW()-1))=$E72),$M$3:INDIRECT("M"&amp;(ROW()-1))),FID_Plan!$M72))))</f>
        <v>46666.2744708995</v>
      </c>
      <c r="K72" s="4" t="n">
        <f aca="false">IF($A72="","",IFERROR(VLOOKUP(B72,CHOOSE(MATCH(C72,Settings!$L$4:$L$10,0),OPR_2P!$A$4:$I$18,SEG_6P!$A$4:$I$18,SOL_4P!$A$4:$I$18,RW_2P!$A$4:$I$18,RW2_4P!$A$4:$I$18,FLAP_4P!$A$4:$I$18,TUBE_4P!$A$4:$I$18),8,0),0))</f>
        <v>13</v>
      </c>
      <c r="L72" s="4" t="n">
        <f aca="false">IF($A72="","",K72*D72)</f>
        <v>26</v>
      </c>
      <c r="M72" s="57" t="n">
        <f aca="false">IF($A72="","",$J72+($L72/(IF(F72="Contract Workman",Settings!$K$5,Settings!$K$4))))</f>
        <v>46667.4781746032</v>
      </c>
      <c r="N72" s="4" t="str">
        <f aca="false">IF($A72="","",IF(F72="Contract Workman",IF(AND(MOD(M72,1)&gt;=8/24,MOD(M72,1)&lt;20/24),"Shift S1","Shift S2"),IF(AND(MOD(M72,1)&gt;=7/24,MOD(M72,1)&lt;15/24),"Shift A",IF(AND(MOD(M72,1)&gt;=15/24,MOD(M72,1)&lt;23/24),"Shift B","Shift C"))))</f>
        <v>Shift A</v>
      </c>
      <c r="O72" s="52" t="str">
        <f aca="false"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3" t="str">
        <f aca="false">IF(AND(Q$3&gt;=$J72, Q$3&lt;$M72), $A72, "")</f>
        <v/>
      </c>
      <c r="Q72" s="53" t="str">
        <f aca="false">IF(AND(R$3&gt;=$J72, R$3&lt;$M72), $A72, "")</f>
        <v/>
      </c>
      <c r="R72" s="53" t="str">
        <f aca="false">IF(AND(S$3&gt;=$J72, S$3&lt;$M72), $A72, "")</f>
        <v/>
      </c>
      <c r="S72" s="53" t="str">
        <f aca="false">IF(AND(T$3&gt;=$J72, T$3&lt;$M72), $A72, "")</f>
        <v/>
      </c>
      <c r="T72" s="53" t="str">
        <f aca="false">IF(AND(U$3&gt;=$J72, U$3&lt;$M72), $A72, "")</f>
        <v/>
      </c>
      <c r="U72" s="53" t="str">
        <f aca="false">IF(AND(V$3&gt;=$J72, V$3&lt;$M72), $A72, "")</f>
        <v/>
      </c>
      <c r="V72" s="53" t="str">
        <f aca="false">IF(AND(W$3&gt;=$J72, W$3&lt;$M72), $A72, "")</f>
        <v/>
      </c>
      <c r="W72" s="53" t="str">
        <f aca="false">IF(AND(X$3&gt;=$J72, X$3&lt;$M72), $A72, "")</f>
        <v/>
      </c>
      <c r="X72" s="53" t="str">
        <f aca="false">IF(AND(Y$3&gt;=$J72, Y$3&lt;$M72), $A72, "")</f>
        <v/>
      </c>
      <c r="Y72" s="53" t="str">
        <f aca="false">IF(AND(Z$3&gt;=$J72, Z$3&lt;$M72), $A72, "")</f>
        <v/>
      </c>
      <c r="Z72" s="53" t="str">
        <f aca="false">IF(AND(AA$3&gt;=$J72, AA$3&lt;$M72), $A72, "")</f>
        <v/>
      </c>
      <c r="AA72" s="53" t="str">
        <f aca="false">IF(AND(AB$3&gt;=$J72, AB$3&lt;$M72), $A72, "")</f>
        <v/>
      </c>
      <c r="AB72" s="53" t="str">
        <f aca="false">IF(AND(AC$3&gt;=$J72, AC$3&lt;$M72), $A72, "")</f>
        <v/>
      </c>
      <c r="AC72" s="53" t="str">
        <f aca="false">IF(AND(AD$3&gt;=$J72, AD$3&lt;$M72), $A72, "")</f>
        <v/>
      </c>
      <c r="AD72" s="53" t="str">
        <f aca="false">IF(AND(AE$3&gt;=$J72, AE$3&lt;$M72), $A72, "")</f>
        <v/>
      </c>
      <c r="AE72" s="53" t="str">
        <f aca="false">IF(AND(AF$3&gt;=$J72, AF$3&lt;$M72), $A72, "")</f>
        <v/>
      </c>
      <c r="AF72" s="53" t="str">
        <f aca="false">IF(AND(AG$3&gt;=$J72, AG$3&lt;$M72), $A72, "")</f>
        <v/>
      </c>
      <c r="AG72" s="53" t="str">
        <f aca="false">IF(AND(AH$3&gt;=$J72, AH$3&lt;$M72), $A72, "")</f>
        <v/>
      </c>
      <c r="AH72" s="53" t="str">
        <f aca="false">IF(AND(AI$3&gt;=$J72, AI$3&lt;$M72), $A72, "")</f>
        <v/>
      </c>
      <c r="AI72" s="53" t="str">
        <f aca="false">IF(AND(AJ$3&gt;=$J72, AJ$3&lt;$M72), $A72, "")</f>
        <v/>
      </c>
      <c r="AJ72" s="53" t="str">
        <f aca="false">IF(AND(AK$3&gt;=$J72, AK$3&lt;$M72), $A72, "")</f>
        <v/>
      </c>
      <c r="AK72" s="53" t="str">
        <f aca="false">IF(AND(AL$3&gt;=$J72, AL$3&lt;$M72), $A72, "")</f>
        <v/>
      </c>
      <c r="AL72" s="53" t="str">
        <f aca="false">IF(AND(AM$3&gt;=$J72, AM$3&lt;$M72), $A72, "")</f>
        <v/>
      </c>
      <c r="AM72" s="53" t="str">
        <f aca="false">IF(AND(AN$3&gt;=$J72, AN$3&lt;$M72), $A72, "")</f>
        <v/>
      </c>
      <c r="AN72" s="53" t="str">
        <f aca="false">IF(AND(AO$3&gt;=$J72, AO$3&lt;$M72), $A72, "")</f>
        <v/>
      </c>
      <c r="AO72" s="53" t="str">
        <f aca="false">IF(AND(AP$3&gt;=$J72, AP$3&lt;$M72), $A72, "")</f>
        <v/>
      </c>
      <c r="AP72" s="53" t="str">
        <f aca="false">IF(AND(AQ$3&gt;=$J72, AQ$3&lt;$M72), $A72, "")</f>
        <v/>
      </c>
      <c r="AQ72" s="53" t="str">
        <f aca="false">IF(AND(AR$3&gt;=$J72, AR$3&lt;$M72), $A72, "")</f>
        <v/>
      </c>
      <c r="AR72" s="53" t="str">
        <f aca="false">IF(AND(AS$3&gt;=$J72, AS$3&lt;$M72), $A72, "")</f>
        <v/>
      </c>
      <c r="AS72" s="53" t="str">
        <f aca="false">IF(AND(AT$3&gt;=$J72, AT$3&lt;$M72), $A72, "")</f>
        <v/>
      </c>
      <c r="AT72" s="53" t="str">
        <f aca="false">IF(AND(AU$3&gt;=$J72, AU$3&lt;$M72), $A72, "")</f>
        <v/>
      </c>
      <c r="AU72" s="53" t="str">
        <f aca="false">IF(AND(AV$3&gt;=$J72, AV$3&lt;$M72), $A72, "")</f>
        <v/>
      </c>
      <c r="AV72" s="53" t="str">
        <f aca="false">IF(AND(AW$3&gt;=$J72, AW$3&lt;$M72), $A72, "")</f>
        <v/>
      </c>
      <c r="AW72" s="53" t="str">
        <f aca="false">IF(AND(AX$3&gt;=$J72, AX$3&lt;$M72), $A72, "")</f>
        <v/>
      </c>
      <c r="AX72" s="53" t="str">
        <f aca="false">IF(AND(AY$3&gt;=$J72, AY$3&lt;$M72), $A72, "")</f>
        <v/>
      </c>
      <c r="AY72" s="53" t="str">
        <f aca="false">IF(AND(AZ$3&gt;=$J72, AZ$3&lt;$M72), $A72, "")</f>
        <v/>
      </c>
      <c r="AZ72" s="53" t="str">
        <f aca="false">IF(AND(BA$3&gt;=$J72, BA$3&lt;$M72), $A72, "")</f>
        <v/>
      </c>
      <c r="BA72" s="53" t="str">
        <f aca="false">IF(AND(BB$3&gt;=$J72, BB$3&lt;$M72), $A72, "")</f>
        <v/>
      </c>
      <c r="BB72" s="53" t="str">
        <f aca="false">IF(AND(BC$3&gt;=$J72, BC$3&lt;$M72), $A72, "")</f>
        <v/>
      </c>
      <c r="BC72" s="53" t="str">
        <f aca="false">IF(AND(BD$3&gt;=$J72, BD$3&lt;$M72), $A72, "")</f>
        <v/>
      </c>
      <c r="BD72" s="53" t="str">
        <f aca="false">IF(AND(BE$3&gt;=$J72, BE$3&lt;$M72), $A72, "")</f>
        <v/>
      </c>
      <c r="BE72" s="53" t="str">
        <f aca="false">IF(AND(BF$3&gt;=$J72, BF$3&lt;$M72), $A72, "")</f>
        <v/>
      </c>
      <c r="BF72" s="53" t="str">
        <f aca="false">IF(AND(BG$3&gt;=$J72, BG$3&lt;$M72), $A72, "")</f>
        <v/>
      </c>
      <c r="BG72" s="53" t="str">
        <f aca="false">IF(AND(BH$3&gt;=$J72, BH$3&lt;$M72), $A72, "")</f>
        <v/>
      </c>
      <c r="BH72" s="53" t="str">
        <f aca="false">IF(AND(BI$3&gt;=$J72, BI$3&lt;$M72), $A72, "")</f>
        <v/>
      </c>
      <c r="BI72" s="53" t="str">
        <f aca="false">IF(AND(BJ$3&gt;=$J72, BJ$3&lt;$M72), $A72, "")</f>
        <v/>
      </c>
      <c r="BJ72" s="53" t="str">
        <f aca="false">IF(AND(BK$3&gt;=$J72, BK$3&lt;$M72), $A72, "")</f>
        <v/>
      </c>
      <c r="BK72" s="53" t="str">
        <f aca="false">IF(AND(BL$3&gt;=$J72, BL$3&lt;$M72), $A72, "")</f>
        <v/>
      </c>
      <c r="BL72" s="53" t="str">
        <f aca="false">IF(AND(BM$3&gt;=$J72, BM$3&lt;$M72), $A72, "")</f>
        <v/>
      </c>
      <c r="BM72" s="53" t="str">
        <f aca="false">IF(AND(BN$3&gt;=$J72, BN$3&lt;$M72), $A72, "")</f>
        <v/>
      </c>
      <c r="BN72" s="1" t="str">
        <f aca="false">IF(AND(BO$3&gt;=$J72, BO$3&lt;$M72), $A72, "")</f>
        <v/>
      </c>
      <c r="BO72" s="1" t="str">
        <f aca="false">IF(AND(BP$3&gt;=$J72, BP$3&lt;$M72), $A72, "")</f>
        <v/>
      </c>
      <c r="BP72" s="1" t="str">
        <f aca="false">IF(AND(BQ$3&gt;=$J72, BQ$3&lt;$M72), $A72, "")</f>
        <v/>
      </c>
    </row>
    <row r="73" customFormat="false" ht="15" hidden="false" customHeight="true" outlineLevel="0" collapsed="false">
      <c r="A73" s="46" t="str">
        <f aca="false">IF(Job_Master!A73="","",Job_Master!A73)</f>
        <v>BJ-169</v>
      </c>
      <c r="B73" s="4" t="n">
        <f aca="false">IF($A73="","",Job_Master!B73)</f>
        <v>17</v>
      </c>
      <c r="C73" s="4" t="str">
        <f aca="false">IF($A73="","",Job_Master!C73)</f>
        <v>SEG</v>
      </c>
      <c r="D73" s="4" t="n">
        <f aca="false">IF($A73="","",Job_Master!D73)</f>
        <v>6</v>
      </c>
      <c r="E73" s="48" t="str">
        <f aca="false">IF($A73="","",IFERROR(INDEX(Machine_List!$B$82:$B$86,MATCH("*"&amp;$B73&amp;"*",Machine_List!$J$82:$J$86,0)),"NO COMPATIBLE MACHINE"))</f>
        <v>QC-MC-01</v>
      </c>
      <c r="F73" s="4" t="str">
        <f aca="false">IF($E73="","",IFERROR(VLOOKUP($E73,Machine_List!$B:$G,6,0),""))</f>
        <v>General Workman</v>
      </c>
      <c r="G73" s="55" t="n">
        <f aca="false">IF($E73="","",IFERROR(VLOOKUP($E73,Machine_List!$B:$C,2,0),""))</f>
        <v>46518</v>
      </c>
      <c r="H73" s="4" t="n">
        <f aca="false">IF($E73="","",IFERROR(VLOOKUP($E73,Machine_List!$B:$D,3,0),""))</f>
        <v>6</v>
      </c>
      <c r="I73" s="56"/>
      <c r="J73" s="57" t="n">
        <f aca="true">IF($A73="","",IF($I73&lt;&gt;"",$I73,MAX(FID_Plan!$M73,IFERROR(LOOKUP(2,1/($E$3:INDIRECT("E"&amp;(ROW()-1))=$E73),$M$3:INDIRECT("M"&amp;(ROW()-1))),FID_Plan!$M73))))</f>
        <v>46667.4781746032</v>
      </c>
      <c r="K73" s="4" t="n">
        <f aca="false">IF($A73="","",IFERROR(VLOOKUP(B73,CHOOSE(MATCH(C73,Settings!$L$4:$L$10,0),OPR_2P!$A$4:$I$18,SEG_6P!$A$4:$I$18,SOL_4P!$A$4:$I$18,RW_2P!$A$4:$I$18,RW2_4P!$A$4:$I$18,FLAP_4P!$A$4:$I$18,TUBE_4P!$A$4:$I$18),8,0),0))</f>
        <v>11</v>
      </c>
      <c r="L73" s="4" t="n">
        <f aca="false">IF($A73="","",K73*D73)</f>
        <v>66</v>
      </c>
      <c r="M73" s="57" t="n">
        <f aca="false">IF($A73="","",$J73+($L73/(IF(F73="Contract Workman",Settings!$K$5,Settings!$K$4))))</f>
        <v>46670.5337301587</v>
      </c>
      <c r="N73" s="4" t="str">
        <f aca="false">IF($A73="","",IF(F73="Contract Workman",IF(AND(MOD(M73,1)&gt;=8/24,MOD(M73,1)&lt;20/24),"Shift S1","Shift S2"),IF(AND(MOD(M73,1)&gt;=7/24,MOD(M73,1)&lt;15/24),"Shift A",IF(AND(MOD(M73,1)&gt;=15/24,MOD(M73,1)&lt;23/24),"Shift B","Shift C"))))</f>
        <v>Shift A</v>
      </c>
      <c r="O73" s="52" t="str">
        <f aca="false"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3" t="str">
        <f aca="false">IF(AND(Q$3&gt;=$J73, Q$3&lt;$M73), $A73, "")</f>
        <v/>
      </c>
      <c r="Q73" s="53" t="str">
        <f aca="false">IF(AND(R$3&gt;=$J73, R$3&lt;$M73), $A73, "")</f>
        <v/>
      </c>
      <c r="R73" s="53" t="str">
        <f aca="false">IF(AND(S$3&gt;=$J73, S$3&lt;$M73), $A73, "")</f>
        <v/>
      </c>
      <c r="S73" s="53" t="str">
        <f aca="false">IF(AND(T$3&gt;=$J73, T$3&lt;$M73), $A73, "")</f>
        <v/>
      </c>
      <c r="T73" s="53" t="str">
        <f aca="false">IF(AND(U$3&gt;=$J73, U$3&lt;$M73), $A73, "")</f>
        <v/>
      </c>
      <c r="U73" s="53" t="str">
        <f aca="false">IF(AND(V$3&gt;=$J73, V$3&lt;$M73), $A73, "")</f>
        <v/>
      </c>
      <c r="V73" s="53" t="str">
        <f aca="false">IF(AND(W$3&gt;=$J73, W$3&lt;$M73), $A73, "")</f>
        <v/>
      </c>
      <c r="W73" s="53" t="str">
        <f aca="false">IF(AND(X$3&gt;=$J73, X$3&lt;$M73), $A73, "")</f>
        <v/>
      </c>
      <c r="X73" s="53" t="str">
        <f aca="false">IF(AND(Y$3&gt;=$J73, Y$3&lt;$M73), $A73, "")</f>
        <v/>
      </c>
      <c r="Y73" s="53" t="str">
        <f aca="false">IF(AND(Z$3&gt;=$J73, Z$3&lt;$M73), $A73, "")</f>
        <v/>
      </c>
      <c r="Z73" s="53" t="str">
        <f aca="false">IF(AND(AA$3&gt;=$J73, AA$3&lt;$M73), $A73, "")</f>
        <v/>
      </c>
      <c r="AA73" s="53" t="str">
        <f aca="false">IF(AND(AB$3&gt;=$J73, AB$3&lt;$M73), $A73, "")</f>
        <v/>
      </c>
      <c r="AB73" s="53" t="str">
        <f aca="false">IF(AND(AC$3&gt;=$J73, AC$3&lt;$M73), $A73, "")</f>
        <v/>
      </c>
      <c r="AC73" s="53" t="str">
        <f aca="false">IF(AND(AD$3&gt;=$J73, AD$3&lt;$M73), $A73, "")</f>
        <v/>
      </c>
      <c r="AD73" s="53" t="str">
        <f aca="false">IF(AND(AE$3&gt;=$J73, AE$3&lt;$M73), $A73, "")</f>
        <v/>
      </c>
      <c r="AE73" s="53" t="str">
        <f aca="false">IF(AND(AF$3&gt;=$J73, AF$3&lt;$M73), $A73, "")</f>
        <v/>
      </c>
      <c r="AF73" s="53" t="str">
        <f aca="false">IF(AND(AG$3&gt;=$J73, AG$3&lt;$M73), $A73, "")</f>
        <v/>
      </c>
      <c r="AG73" s="53" t="str">
        <f aca="false">IF(AND(AH$3&gt;=$J73, AH$3&lt;$M73), $A73, "")</f>
        <v/>
      </c>
      <c r="AH73" s="53" t="str">
        <f aca="false">IF(AND(AI$3&gt;=$J73, AI$3&lt;$M73), $A73, "")</f>
        <v/>
      </c>
      <c r="AI73" s="53" t="str">
        <f aca="false">IF(AND(AJ$3&gt;=$J73, AJ$3&lt;$M73), $A73, "")</f>
        <v/>
      </c>
      <c r="AJ73" s="53" t="str">
        <f aca="false">IF(AND(AK$3&gt;=$J73, AK$3&lt;$M73), $A73, "")</f>
        <v/>
      </c>
      <c r="AK73" s="53" t="str">
        <f aca="false">IF(AND(AL$3&gt;=$J73, AL$3&lt;$M73), $A73, "")</f>
        <v/>
      </c>
      <c r="AL73" s="53" t="str">
        <f aca="false">IF(AND(AM$3&gt;=$J73, AM$3&lt;$M73), $A73, "")</f>
        <v/>
      </c>
      <c r="AM73" s="53" t="str">
        <f aca="false">IF(AND(AN$3&gt;=$J73, AN$3&lt;$M73), $A73, "")</f>
        <v/>
      </c>
      <c r="AN73" s="53" t="str">
        <f aca="false">IF(AND(AO$3&gt;=$J73, AO$3&lt;$M73), $A73, "")</f>
        <v/>
      </c>
      <c r="AO73" s="53" t="str">
        <f aca="false">IF(AND(AP$3&gt;=$J73, AP$3&lt;$M73), $A73, "")</f>
        <v/>
      </c>
      <c r="AP73" s="53" t="str">
        <f aca="false">IF(AND(AQ$3&gt;=$J73, AQ$3&lt;$M73), $A73, "")</f>
        <v/>
      </c>
      <c r="AQ73" s="53" t="str">
        <f aca="false">IF(AND(AR$3&gt;=$J73, AR$3&lt;$M73), $A73, "")</f>
        <v/>
      </c>
      <c r="AR73" s="53" t="str">
        <f aca="false">IF(AND(AS$3&gt;=$J73, AS$3&lt;$M73), $A73, "")</f>
        <v/>
      </c>
      <c r="AS73" s="53" t="str">
        <f aca="false">IF(AND(AT$3&gt;=$J73, AT$3&lt;$M73), $A73, "")</f>
        <v/>
      </c>
      <c r="AT73" s="53" t="str">
        <f aca="false">IF(AND(AU$3&gt;=$J73, AU$3&lt;$M73), $A73, "")</f>
        <v/>
      </c>
      <c r="AU73" s="53" t="str">
        <f aca="false">IF(AND(AV$3&gt;=$J73, AV$3&lt;$M73), $A73, "")</f>
        <v/>
      </c>
      <c r="AV73" s="53" t="str">
        <f aca="false">IF(AND(AW$3&gt;=$J73, AW$3&lt;$M73), $A73, "")</f>
        <v/>
      </c>
      <c r="AW73" s="53" t="str">
        <f aca="false">IF(AND(AX$3&gt;=$J73, AX$3&lt;$M73), $A73, "")</f>
        <v/>
      </c>
      <c r="AX73" s="53" t="str">
        <f aca="false">IF(AND(AY$3&gt;=$J73, AY$3&lt;$M73), $A73, "")</f>
        <v/>
      </c>
      <c r="AY73" s="53" t="str">
        <f aca="false">IF(AND(AZ$3&gt;=$J73, AZ$3&lt;$M73), $A73, "")</f>
        <v/>
      </c>
      <c r="AZ73" s="53" t="str">
        <f aca="false">IF(AND(BA$3&gt;=$J73, BA$3&lt;$M73), $A73, "")</f>
        <v/>
      </c>
      <c r="BA73" s="53" t="str">
        <f aca="false">IF(AND(BB$3&gt;=$J73, BB$3&lt;$M73), $A73, "")</f>
        <v/>
      </c>
      <c r="BB73" s="53" t="str">
        <f aca="false">IF(AND(BC$3&gt;=$J73, BC$3&lt;$M73), $A73, "")</f>
        <v/>
      </c>
      <c r="BC73" s="53" t="str">
        <f aca="false">IF(AND(BD$3&gt;=$J73, BD$3&lt;$M73), $A73, "")</f>
        <v/>
      </c>
      <c r="BD73" s="53" t="str">
        <f aca="false">IF(AND(BE$3&gt;=$J73, BE$3&lt;$M73), $A73, "")</f>
        <v/>
      </c>
      <c r="BE73" s="53" t="str">
        <f aca="false">IF(AND(BF$3&gt;=$J73, BF$3&lt;$M73), $A73, "")</f>
        <v/>
      </c>
      <c r="BF73" s="53" t="str">
        <f aca="false">IF(AND(BG$3&gt;=$J73, BG$3&lt;$M73), $A73, "")</f>
        <v/>
      </c>
      <c r="BG73" s="53" t="str">
        <f aca="false">IF(AND(BH$3&gt;=$J73, BH$3&lt;$M73), $A73, "")</f>
        <v/>
      </c>
      <c r="BH73" s="53" t="str">
        <f aca="false">IF(AND(BI$3&gt;=$J73, BI$3&lt;$M73), $A73, "")</f>
        <v/>
      </c>
      <c r="BI73" s="53" t="str">
        <f aca="false">IF(AND(BJ$3&gt;=$J73, BJ$3&lt;$M73), $A73, "")</f>
        <v/>
      </c>
      <c r="BJ73" s="53" t="str">
        <f aca="false">IF(AND(BK$3&gt;=$J73, BK$3&lt;$M73), $A73, "")</f>
        <v/>
      </c>
      <c r="BK73" s="53" t="str">
        <f aca="false">IF(AND(BL$3&gt;=$J73, BL$3&lt;$M73), $A73, "")</f>
        <v/>
      </c>
      <c r="BL73" s="53" t="str">
        <f aca="false">IF(AND(BM$3&gt;=$J73, BM$3&lt;$M73), $A73, "")</f>
        <v/>
      </c>
      <c r="BM73" s="53" t="str">
        <f aca="false">IF(AND(BN$3&gt;=$J73, BN$3&lt;$M73), $A73, "")</f>
        <v/>
      </c>
      <c r="BN73" s="1" t="str">
        <f aca="false">IF(AND(BO$3&gt;=$J73, BO$3&lt;$M73), $A73, "")</f>
        <v/>
      </c>
      <c r="BO73" s="1" t="str">
        <f aca="false">IF(AND(BP$3&gt;=$J73, BP$3&lt;$M73), $A73, "")</f>
        <v/>
      </c>
      <c r="BP73" s="1" t="str">
        <f aca="false">IF(AND(BQ$3&gt;=$J73, BQ$3&lt;$M73), $A73, "")</f>
        <v/>
      </c>
    </row>
    <row r="74" customFormat="false" ht="15" hidden="false" customHeight="true" outlineLevel="0" collapsed="false">
      <c r="A74" s="46" t="str">
        <f aca="false">IF(Job_Master!A74="","",Job_Master!A74)</f>
        <v/>
      </c>
      <c r="B74" s="4" t="str">
        <f aca="false">IF($A74="","",Job_Master!B74)</f>
        <v/>
      </c>
      <c r="C74" s="4" t="str">
        <f aca="false">IF($A74="","",Job_Master!C74)</f>
        <v/>
      </c>
      <c r="D74" s="4" t="str">
        <f aca="false">IF($A74="","",Job_Master!D74)</f>
        <v/>
      </c>
      <c r="E74" s="48" t="str">
        <f aca="false">IF($A74="","",IFERROR(INDEX(Machine_List!$B$82:$B$86,MATCH("*"&amp;$B74&amp;"*",Machine_List!$J$82:$J$86,0)),"NO COMPATIBLE MACHINE"))</f>
        <v/>
      </c>
      <c r="F74" s="4" t="str">
        <f aca="false">IF($E74="","",IFERROR(VLOOKUP($E74,Machine_List!$B:$G,6,0),""))</f>
        <v/>
      </c>
      <c r="G74" s="55" t="str">
        <f aca="false">IF($E74="","",IFERROR(VLOOKUP($E74,Machine_List!$B:$C,2,0),""))</f>
        <v/>
      </c>
      <c r="H74" s="4" t="str">
        <f aca="false">IF($E74="","",IFERROR(VLOOKUP($E74,Machine_List!$B:$D,3,0),""))</f>
        <v/>
      </c>
      <c r="I74" s="56"/>
      <c r="J74" s="57" t="str">
        <f aca="true">IF($A74="","",IF($I74&lt;&gt;"",$I74,MAX(FID_Plan!$M74,IFERROR(LOOKUP(2,1/($E$3:INDIRECT("E"&amp;(ROW()-1))=$E74),$M$3:INDIRECT("M"&amp;(ROW()-1))),FID_Plan!$M74))))</f>
        <v/>
      </c>
      <c r="K74" s="4" t="str">
        <f aca="false">IF($A74="","",IFERROR(VLOOKUP(B74,CHOOSE(MATCH(C74,Settings!$L$4:$L$10,0),OPR_2P!$A$4:$I$18,SEG_6P!$A$4:$I$18,SOL_4P!$A$4:$I$18,RW_2P!$A$4:$I$18,RW2_4P!$A$4:$I$18,FLAP_4P!$A$4:$I$18,TUBE_4P!$A$4:$I$18),8,0),0))</f>
        <v/>
      </c>
      <c r="L74" s="4" t="str">
        <f aca="false">IF($A74="","",K74*D74)</f>
        <v/>
      </c>
      <c r="M74" s="57" t="str">
        <f aca="false">IF($A74="","",$J74+($L74/(IF(F74="Contract Workman",Settings!$K$5,Settings!$K$4))))</f>
        <v/>
      </c>
      <c r="N74" s="4" t="str">
        <f aca="false">IF($A74="","",IF(F74="Contract Workman",IF(AND(MOD(M74,1)&gt;=8/24,MOD(M74,1)&lt;20/24),"Shift S1","Shift S2"),IF(AND(MOD(M74,1)&gt;=7/24,MOD(M74,1)&lt;15/24),"Shift A",IF(AND(MOD(M74,1)&gt;=15/24,MOD(M74,1)&lt;23/24),"Shift B","Shift C"))))</f>
        <v/>
      </c>
      <c r="O74" s="52" t="str">
        <f aca="false">IF(B74="","", IF(IFERROR(ISNUMBER(SEARCH(B74, VLOOKUP(E74, Machine_List!$B:$J, 9, 0))), FALSE()), "✅ Machine OK", "❌ Sug: " &amp; IFERROR(INDEX(Machine_List!$B$4:$B$50, MATCH("*"&amp;B74&amp;"*", Machine_List!$J$4:$J$50, 0)), "Check Limits")))</f>
        <v/>
      </c>
      <c r="P74" s="53" t="str">
        <f aca="false">IF(AND(Q$3&gt;=$J74, Q$3&lt;$M74), $A74, "")</f>
        <v/>
      </c>
      <c r="Q74" s="53" t="str">
        <f aca="false">IF(AND(R$3&gt;=$J74, R$3&lt;$M74), $A74, "")</f>
        <v/>
      </c>
      <c r="R74" s="53" t="str">
        <f aca="false">IF(AND(S$3&gt;=$J74, S$3&lt;$M74), $A74, "")</f>
        <v/>
      </c>
      <c r="S74" s="53" t="str">
        <f aca="false">IF(AND(T$3&gt;=$J74, T$3&lt;$M74), $A74, "")</f>
        <v/>
      </c>
      <c r="T74" s="53" t="str">
        <f aca="false">IF(AND(U$3&gt;=$J74, U$3&lt;$M74), $A74, "")</f>
        <v/>
      </c>
      <c r="U74" s="53" t="str">
        <f aca="false">IF(AND(V$3&gt;=$J74, V$3&lt;$M74), $A74, "")</f>
        <v/>
      </c>
      <c r="V74" s="53" t="str">
        <f aca="false">IF(AND(W$3&gt;=$J74, W$3&lt;$M74), $A74, "")</f>
        <v/>
      </c>
      <c r="W74" s="53" t="str">
        <f aca="false">IF(AND(X$3&gt;=$J74, X$3&lt;$M74), $A74, "")</f>
        <v/>
      </c>
      <c r="X74" s="53" t="str">
        <f aca="false">IF(AND(Y$3&gt;=$J74, Y$3&lt;$M74), $A74, "")</f>
        <v/>
      </c>
      <c r="Y74" s="53" t="str">
        <f aca="false">IF(AND(Z$3&gt;=$J74, Z$3&lt;$M74), $A74, "")</f>
        <v/>
      </c>
      <c r="Z74" s="53" t="str">
        <f aca="false">IF(AND(AA$3&gt;=$J74, AA$3&lt;$M74), $A74, "")</f>
        <v/>
      </c>
      <c r="AA74" s="53" t="str">
        <f aca="false">IF(AND(AB$3&gt;=$J74, AB$3&lt;$M74), $A74, "")</f>
        <v/>
      </c>
      <c r="AB74" s="53" t="str">
        <f aca="false">IF(AND(AC$3&gt;=$J74, AC$3&lt;$M74), $A74, "")</f>
        <v/>
      </c>
      <c r="AC74" s="53" t="str">
        <f aca="false">IF(AND(AD$3&gt;=$J74, AD$3&lt;$M74), $A74, "")</f>
        <v/>
      </c>
      <c r="AD74" s="53" t="str">
        <f aca="false">IF(AND(AE$3&gt;=$J74, AE$3&lt;$M74), $A74, "")</f>
        <v/>
      </c>
      <c r="AE74" s="53" t="str">
        <f aca="false">IF(AND(AF$3&gt;=$J74, AF$3&lt;$M74), $A74, "")</f>
        <v/>
      </c>
      <c r="AF74" s="53" t="str">
        <f aca="false">IF(AND(AG$3&gt;=$J74, AG$3&lt;$M74), $A74, "")</f>
        <v/>
      </c>
      <c r="AG74" s="53" t="str">
        <f aca="false">IF(AND(AH$3&gt;=$J74, AH$3&lt;$M74), $A74, "")</f>
        <v/>
      </c>
      <c r="AH74" s="53" t="str">
        <f aca="false">IF(AND(AI$3&gt;=$J74, AI$3&lt;$M74), $A74, "")</f>
        <v/>
      </c>
      <c r="AI74" s="53" t="str">
        <f aca="false">IF(AND(AJ$3&gt;=$J74, AJ$3&lt;$M74), $A74, "")</f>
        <v/>
      </c>
      <c r="AJ74" s="53" t="str">
        <f aca="false">IF(AND(AK$3&gt;=$J74, AK$3&lt;$M74), $A74, "")</f>
        <v/>
      </c>
      <c r="AK74" s="53" t="str">
        <f aca="false">IF(AND(AL$3&gt;=$J74, AL$3&lt;$M74), $A74, "")</f>
        <v/>
      </c>
      <c r="AL74" s="53" t="str">
        <f aca="false">IF(AND(AM$3&gt;=$J74, AM$3&lt;$M74), $A74, "")</f>
        <v/>
      </c>
      <c r="AM74" s="53" t="str">
        <f aca="false">IF(AND(AN$3&gt;=$J74, AN$3&lt;$M74), $A74, "")</f>
        <v/>
      </c>
      <c r="AN74" s="53" t="str">
        <f aca="false">IF(AND(AO$3&gt;=$J74, AO$3&lt;$M74), $A74, "")</f>
        <v/>
      </c>
      <c r="AO74" s="53" t="str">
        <f aca="false">IF(AND(AP$3&gt;=$J74, AP$3&lt;$M74), $A74, "")</f>
        <v/>
      </c>
      <c r="AP74" s="53" t="str">
        <f aca="false">IF(AND(AQ$3&gt;=$J74, AQ$3&lt;$M74), $A74, "")</f>
        <v/>
      </c>
      <c r="AQ74" s="53" t="str">
        <f aca="false">IF(AND(AR$3&gt;=$J74, AR$3&lt;$M74), $A74, "")</f>
        <v/>
      </c>
      <c r="AR74" s="53" t="str">
        <f aca="false">IF(AND(AS$3&gt;=$J74, AS$3&lt;$M74), $A74, "")</f>
        <v/>
      </c>
      <c r="AS74" s="53" t="str">
        <f aca="false">IF(AND(AT$3&gt;=$J74, AT$3&lt;$M74), $A74, "")</f>
        <v/>
      </c>
      <c r="AT74" s="53" t="str">
        <f aca="false">IF(AND(AU$3&gt;=$J74, AU$3&lt;$M74), $A74, "")</f>
        <v/>
      </c>
      <c r="AU74" s="53" t="str">
        <f aca="false">IF(AND(AV$3&gt;=$J74, AV$3&lt;$M74), $A74, "")</f>
        <v/>
      </c>
      <c r="AV74" s="53" t="str">
        <f aca="false">IF(AND(AW$3&gt;=$J74, AW$3&lt;$M74), $A74, "")</f>
        <v/>
      </c>
      <c r="AW74" s="53" t="str">
        <f aca="false">IF(AND(AX$3&gt;=$J74, AX$3&lt;$M74), $A74, "")</f>
        <v/>
      </c>
      <c r="AX74" s="53" t="str">
        <f aca="false">IF(AND(AY$3&gt;=$J74, AY$3&lt;$M74), $A74, "")</f>
        <v/>
      </c>
      <c r="AY74" s="53" t="str">
        <f aca="false">IF(AND(AZ$3&gt;=$J74, AZ$3&lt;$M74), $A74, "")</f>
        <v/>
      </c>
      <c r="AZ74" s="53" t="str">
        <f aca="false">IF(AND(BA$3&gt;=$J74, BA$3&lt;$M74), $A74, "")</f>
        <v/>
      </c>
      <c r="BA74" s="53" t="str">
        <f aca="false">IF(AND(BB$3&gt;=$J74, BB$3&lt;$M74), $A74, "")</f>
        <v/>
      </c>
      <c r="BB74" s="53" t="str">
        <f aca="false">IF(AND(BC$3&gt;=$J74, BC$3&lt;$M74), $A74, "")</f>
        <v/>
      </c>
      <c r="BC74" s="53" t="str">
        <f aca="false">IF(AND(BD$3&gt;=$J74, BD$3&lt;$M74), $A74, "")</f>
        <v/>
      </c>
      <c r="BD74" s="53" t="str">
        <f aca="false">IF(AND(BE$3&gt;=$J74, BE$3&lt;$M74), $A74, "")</f>
        <v/>
      </c>
      <c r="BE74" s="53" t="str">
        <f aca="false">IF(AND(BF$3&gt;=$J74, BF$3&lt;$M74), $A74, "")</f>
        <v/>
      </c>
      <c r="BF74" s="53" t="str">
        <f aca="false">IF(AND(BG$3&gt;=$J74, BG$3&lt;$M74), $A74, "")</f>
        <v/>
      </c>
      <c r="BG74" s="53" t="str">
        <f aca="false">IF(AND(BH$3&gt;=$J74, BH$3&lt;$M74), $A74, "")</f>
        <v/>
      </c>
      <c r="BH74" s="53" t="str">
        <f aca="false">IF(AND(BI$3&gt;=$J74, BI$3&lt;$M74), $A74, "")</f>
        <v/>
      </c>
      <c r="BI74" s="53" t="str">
        <f aca="false">IF(AND(BJ$3&gt;=$J74, BJ$3&lt;$M74), $A74, "")</f>
        <v/>
      </c>
      <c r="BJ74" s="53" t="str">
        <f aca="false">IF(AND(BK$3&gt;=$J74, BK$3&lt;$M74), $A74, "")</f>
        <v/>
      </c>
      <c r="BK74" s="53" t="str">
        <f aca="false">IF(AND(BL$3&gt;=$J74, BL$3&lt;$M74), $A74, "")</f>
        <v/>
      </c>
      <c r="BL74" s="53" t="str">
        <f aca="false">IF(AND(BM$3&gt;=$J74, BM$3&lt;$M74), $A74, "")</f>
        <v/>
      </c>
      <c r="BM74" s="53" t="str">
        <f aca="false">IF(AND(BN$3&gt;=$J74, BN$3&lt;$M74), $A74, "")</f>
        <v/>
      </c>
      <c r="BN74" s="1" t="str">
        <f aca="false">IF(AND(BO$3&gt;=$J74, BO$3&lt;$M74), $A74, "")</f>
        <v/>
      </c>
      <c r="BO74" s="1" t="str">
        <f aca="false">IF(AND(BP$3&gt;=$J74, BP$3&lt;$M74), $A74, "")</f>
        <v/>
      </c>
      <c r="BP74" s="1" t="str">
        <f aca="false">IF(AND(BQ$3&gt;=$J74, BQ$3&lt;$M74), $A74, "")</f>
        <v/>
      </c>
    </row>
    <row r="75" customFormat="false" ht="15" hidden="false" customHeight="true" outlineLevel="0" collapsed="false">
      <c r="A75" s="46" t="str">
        <f aca="false">IF(Job_Master!A75="","",Job_Master!A75)</f>
        <v/>
      </c>
      <c r="B75" s="4" t="str">
        <f aca="false">IF($A75="","",Job_Master!B75)</f>
        <v/>
      </c>
      <c r="C75" s="4" t="str">
        <f aca="false">IF($A75="","",Job_Master!C75)</f>
        <v/>
      </c>
      <c r="D75" s="4" t="str">
        <f aca="false">IF($A75="","",Job_Master!D75)</f>
        <v/>
      </c>
      <c r="E75" s="48" t="str">
        <f aca="false">IF($A75="","",IFERROR(INDEX(Machine_List!$B$82:$B$86,MATCH("*"&amp;$B75&amp;"*",Machine_List!$J$82:$J$86,0)),"NO COMPATIBLE MACHINE"))</f>
        <v/>
      </c>
      <c r="F75" s="4" t="str">
        <f aca="false">IF($E75="","",IFERROR(VLOOKUP($E75,Machine_List!$B:$G,6,0),""))</f>
        <v/>
      </c>
      <c r="G75" s="55" t="str">
        <f aca="false">IF($E75="","",IFERROR(VLOOKUP($E75,Machine_List!$B:$C,2,0),""))</f>
        <v/>
      </c>
      <c r="H75" s="4" t="str">
        <f aca="false">IF($E75="","",IFERROR(VLOOKUP($E75,Machine_List!$B:$D,3,0),""))</f>
        <v/>
      </c>
      <c r="I75" s="56"/>
      <c r="J75" s="57" t="str">
        <f aca="true">IF($A75="","",IF($I75&lt;&gt;"",$I75,MAX(FID_Plan!$M75,IFERROR(LOOKUP(2,1/($E$3:INDIRECT("E"&amp;(ROW()-1))=$E75),$M$3:INDIRECT("M"&amp;(ROW()-1))),FID_Plan!$M75))))</f>
        <v/>
      </c>
      <c r="K75" s="4" t="str">
        <f aca="false">IF($A75="","",IFERROR(VLOOKUP(B75,CHOOSE(MATCH(C75,Settings!$L$4:$L$10,0),OPR_2P!$A$4:$I$18,SEG_6P!$A$4:$I$18,SOL_4P!$A$4:$I$18,RW_2P!$A$4:$I$18,RW2_4P!$A$4:$I$18,FLAP_4P!$A$4:$I$18,TUBE_4P!$A$4:$I$18),8,0),0))</f>
        <v/>
      </c>
      <c r="L75" s="4" t="str">
        <f aca="false">IF($A75="","",K75*D75)</f>
        <v/>
      </c>
      <c r="M75" s="57" t="str">
        <f aca="false">IF($A75="","",$J75+($L75/(IF(F75="Contract Workman",Settings!$K$5,Settings!$K$4))))</f>
        <v/>
      </c>
      <c r="N75" s="4" t="str">
        <f aca="false">IF($A75="","",IF(F75="Contract Workman",IF(AND(MOD(M75,1)&gt;=8/24,MOD(M75,1)&lt;20/24),"Shift S1","Shift S2"),IF(AND(MOD(M75,1)&gt;=7/24,MOD(M75,1)&lt;15/24),"Shift A",IF(AND(MOD(M75,1)&gt;=15/24,MOD(M75,1)&lt;23/24),"Shift B","Shift C"))))</f>
        <v/>
      </c>
      <c r="O75" s="52" t="str">
        <f aca="false"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3" t="str">
        <f aca="false">IF(AND(Q$3&gt;=$J75, Q$3&lt;$M75), $A75, "")</f>
        <v/>
      </c>
      <c r="Q75" s="53" t="str">
        <f aca="false">IF(AND(R$3&gt;=$J75, R$3&lt;$M75), $A75, "")</f>
        <v/>
      </c>
      <c r="R75" s="53" t="str">
        <f aca="false">IF(AND(S$3&gt;=$J75, S$3&lt;$M75), $A75, "")</f>
        <v/>
      </c>
      <c r="S75" s="53" t="str">
        <f aca="false">IF(AND(T$3&gt;=$J75, T$3&lt;$M75), $A75, "")</f>
        <v/>
      </c>
      <c r="T75" s="53" t="str">
        <f aca="false">IF(AND(U$3&gt;=$J75, U$3&lt;$M75), $A75, "")</f>
        <v/>
      </c>
      <c r="U75" s="53" t="str">
        <f aca="false">IF(AND(V$3&gt;=$J75, V$3&lt;$M75), $A75, "")</f>
        <v/>
      </c>
      <c r="V75" s="53" t="str">
        <f aca="false">IF(AND(W$3&gt;=$J75, W$3&lt;$M75), $A75, "")</f>
        <v/>
      </c>
      <c r="W75" s="53" t="str">
        <f aca="false">IF(AND(X$3&gt;=$J75, X$3&lt;$M75), $A75, "")</f>
        <v/>
      </c>
      <c r="X75" s="53" t="str">
        <f aca="false">IF(AND(Y$3&gt;=$J75, Y$3&lt;$M75), $A75, "")</f>
        <v/>
      </c>
      <c r="Y75" s="53" t="str">
        <f aca="false">IF(AND(Z$3&gt;=$J75, Z$3&lt;$M75), $A75, "")</f>
        <v/>
      </c>
      <c r="Z75" s="53" t="str">
        <f aca="false">IF(AND(AA$3&gt;=$J75, AA$3&lt;$M75), $A75, "")</f>
        <v/>
      </c>
      <c r="AA75" s="53" t="str">
        <f aca="false">IF(AND(AB$3&gt;=$J75, AB$3&lt;$M75), $A75, "")</f>
        <v/>
      </c>
      <c r="AB75" s="53" t="str">
        <f aca="false">IF(AND(AC$3&gt;=$J75, AC$3&lt;$M75), $A75, "")</f>
        <v/>
      </c>
      <c r="AC75" s="53" t="str">
        <f aca="false">IF(AND(AD$3&gt;=$J75, AD$3&lt;$M75), $A75, "")</f>
        <v/>
      </c>
      <c r="AD75" s="53" t="str">
        <f aca="false">IF(AND(AE$3&gt;=$J75, AE$3&lt;$M75), $A75, "")</f>
        <v/>
      </c>
      <c r="AE75" s="53" t="str">
        <f aca="false">IF(AND(AF$3&gt;=$J75, AF$3&lt;$M75), $A75, "")</f>
        <v/>
      </c>
      <c r="AF75" s="53" t="str">
        <f aca="false">IF(AND(AG$3&gt;=$J75, AG$3&lt;$M75), $A75, "")</f>
        <v/>
      </c>
      <c r="AG75" s="53" t="str">
        <f aca="false">IF(AND(AH$3&gt;=$J75, AH$3&lt;$M75), $A75, "")</f>
        <v/>
      </c>
      <c r="AH75" s="53" t="str">
        <f aca="false">IF(AND(AI$3&gt;=$J75, AI$3&lt;$M75), $A75, "")</f>
        <v/>
      </c>
      <c r="AI75" s="53" t="str">
        <f aca="false">IF(AND(AJ$3&gt;=$J75, AJ$3&lt;$M75), $A75, "")</f>
        <v/>
      </c>
      <c r="AJ75" s="53" t="str">
        <f aca="false">IF(AND(AK$3&gt;=$J75, AK$3&lt;$M75), $A75, "")</f>
        <v/>
      </c>
      <c r="AK75" s="53" t="str">
        <f aca="false">IF(AND(AL$3&gt;=$J75, AL$3&lt;$M75), $A75, "")</f>
        <v/>
      </c>
      <c r="AL75" s="53" t="str">
        <f aca="false">IF(AND(AM$3&gt;=$J75, AM$3&lt;$M75), $A75, "")</f>
        <v/>
      </c>
      <c r="AM75" s="53" t="str">
        <f aca="false">IF(AND(AN$3&gt;=$J75, AN$3&lt;$M75), $A75, "")</f>
        <v/>
      </c>
      <c r="AN75" s="53" t="str">
        <f aca="false">IF(AND(AO$3&gt;=$J75, AO$3&lt;$M75), $A75, "")</f>
        <v/>
      </c>
      <c r="AO75" s="53" t="str">
        <f aca="false">IF(AND(AP$3&gt;=$J75, AP$3&lt;$M75), $A75, "")</f>
        <v/>
      </c>
      <c r="AP75" s="53" t="str">
        <f aca="false">IF(AND(AQ$3&gt;=$J75, AQ$3&lt;$M75), $A75, "")</f>
        <v/>
      </c>
      <c r="AQ75" s="53" t="str">
        <f aca="false">IF(AND(AR$3&gt;=$J75, AR$3&lt;$M75), $A75, "")</f>
        <v/>
      </c>
      <c r="AR75" s="53" t="str">
        <f aca="false">IF(AND(AS$3&gt;=$J75, AS$3&lt;$M75), $A75, "")</f>
        <v/>
      </c>
      <c r="AS75" s="53" t="str">
        <f aca="false">IF(AND(AT$3&gt;=$J75, AT$3&lt;$M75), $A75, "")</f>
        <v/>
      </c>
      <c r="AT75" s="53" t="str">
        <f aca="false">IF(AND(AU$3&gt;=$J75, AU$3&lt;$M75), $A75, "")</f>
        <v/>
      </c>
      <c r="AU75" s="53" t="str">
        <f aca="false">IF(AND(AV$3&gt;=$J75, AV$3&lt;$M75), $A75, "")</f>
        <v/>
      </c>
      <c r="AV75" s="53" t="str">
        <f aca="false">IF(AND(AW$3&gt;=$J75, AW$3&lt;$M75), $A75, "")</f>
        <v/>
      </c>
      <c r="AW75" s="53" t="str">
        <f aca="false">IF(AND(AX$3&gt;=$J75, AX$3&lt;$M75), $A75, "")</f>
        <v/>
      </c>
      <c r="AX75" s="53" t="str">
        <f aca="false">IF(AND(AY$3&gt;=$J75, AY$3&lt;$M75), $A75, "")</f>
        <v/>
      </c>
      <c r="AY75" s="53" t="str">
        <f aca="false">IF(AND(AZ$3&gt;=$J75, AZ$3&lt;$M75), $A75, "")</f>
        <v/>
      </c>
      <c r="AZ75" s="53" t="str">
        <f aca="false">IF(AND(BA$3&gt;=$J75, BA$3&lt;$M75), $A75, "")</f>
        <v/>
      </c>
      <c r="BA75" s="53" t="str">
        <f aca="false">IF(AND(BB$3&gt;=$J75, BB$3&lt;$M75), $A75, "")</f>
        <v/>
      </c>
      <c r="BB75" s="53" t="str">
        <f aca="false">IF(AND(BC$3&gt;=$J75, BC$3&lt;$M75), $A75, "")</f>
        <v/>
      </c>
      <c r="BC75" s="53" t="str">
        <f aca="false">IF(AND(BD$3&gt;=$J75, BD$3&lt;$M75), $A75, "")</f>
        <v/>
      </c>
      <c r="BD75" s="53" t="str">
        <f aca="false">IF(AND(BE$3&gt;=$J75, BE$3&lt;$M75), $A75, "")</f>
        <v/>
      </c>
      <c r="BE75" s="53" t="str">
        <f aca="false">IF(AND(BF$3&gt;=$J75, BF$3&lt;$M75), $A75, "")</f>
        <v/>
      </c>
      <c r="BF75" s="53" t="str">
        <f aca="false">IF(AND(BG$3&gt;=$J75, BG$3&lt;$M75), $A75, "")</f>
        <v/>
      </c>
      <c r="BG75" s="53" t="str">
        <f aca="false">IF(AND(BH$3&gt;=$J75, BH$3&lt;$M75), $A75, "")</f>
        <v/>
      </c>
      <c r="BH75" s="53" t="str">
        <f aca="false">IF(AND(BI$3&gt;=$J75, BI$3&lt;$M75), $A75, "")</f>
        <v/>
      </c>
      <c r="BI75" s="53" t="str">
        <f aca="false">IF(AND(BJ$3&gt;=$J75, BJ$3&lt;$M75), $A75, "")</f>
        <v/>
      </c>
      <c r="BJ75" s="53" t="str">
        <f aca="false">IF(AND(BK$3&gt;=$J75, BK$3&lt;$M75), $A75, "")</f>
        <v/>
      </c>
      <c r="BK75" s="53" t="str">
        <f aca="false">IF(AND(BL$3&gt;=$J75, BL$3&lt;$M75), $A75, "")</f>
        <v/>
      </c>
      <c r="BL75" s="53" t="str">
        <f aca="false">IF(AND(BM$3&gt;=$J75, BM$3&lt;$M75), $A75, "")</f>
        <v/>
      </c>
      <c r="BM75" s="53" t="str">
        <f aca="false">IF(AND(BN$3&gt;=$J75, BN$3&lt;$M75), $A75, "")</f>
        <v/>
      </c>
      <c r="BN75" s="1" t="str">
        <f aca="false">IF(AND(BO$3&gt;=$J75, BO$3&lt;$M75), $A75, "")</f>
        <v/>
      </c>
      <c r="BO75" s="1" t="str">
        <f aca="false">IF(AND(BP$3&gt;=$J75, BP$3&lt;$M75), $A75, "")</f>
        <v/>
      </c>
      <c r="BP75" s="1" t="str">
        <f aca="false">IF(AND(BQ$3&gt;=$J75, BQ$3&lt;$M75), $A75, "")</f>
        <v/>
      </c>
    </row>
    <row r="76" customFormat="false" ht="15" hidden="false" customHeight="true" outlineLevel="0" collapsed="false">
      <c r="A76" s="46" t="str">
        <f aca="false">IF(Job_Master!A76="","",Job_Master!A76)</f>
        <v/>
      </c>
      <c r="B76" s="4" t="str">
        <f aca="false">IF($A76="","",Job_Master!B76)</f>
        <v/>
      </c>
      <c r="C76" s="4" t="str">
        <f aca="false">IF($A76="","",Job_Master!C76)</f>
        <v/>
      </c>
      <c r="D76" s="4" t="str">
        <f aca="false">IF($A76="","",Job_Master!D76)</f>
        <v/>
      </c>
      <c r="E76" s="48" t="str">
        <f aca="false">IF($A76="","",IFERROR(INDEX(Machine_List!$B$82:$B$86,MATCH("*"&amp;$B76&amp;"*",Machine_List!$J$82:$J$86,0)),"NO COMPATIBLE MACHINE"))</f>
        <v/>
      </c>
      <c r="F76" s="4" t="str">
        <f aca="false">IF($E76="","",IFERROR(VLOOKUP($E76,Machine_List!$B:$G,6,0),""))</f>
        <v/>
      </c>
      <c r="G76" s="55" t="str">
        <f aca="false">IF($E76="","",IFERROR(VLOOKUP($E76,Machine_List!$B:$C,2,0),""))</f>
        <v/>
      </c>
      <c r="H76" s="4" t="str">
        <f aca="false">IF($E76="","",IFERROR(VLOOKUP($E76,Machine_List!$B:$D,3,0),""))</f>
        <v/>
      </c>
      <c r="I76" s="56"/>
      <c r="J76" s="57" t="str">
        <f aca="true">IF($A76="","",IF($I76&lt;&gt;"",$I76,MAX(FID_Plan!$M76,IFERROR(LOOKUP(2,1/($E$3:INDIRECT("E"&amp;(ROW()-1))=$E76),$M$3:INDIRECT("M"&amp;(ROW()-1))),FID_Plan!$M76))))</f>
        <v/>
      </c>
      <c r="K76" s="4" t="str">
        <f aca="false">IF($A76="","",IFERROR(VLOOKUP(B76,CHOOSE(MATCH(C76,Settings!$L$4:$L$10,0),OPR_2P!$A$4:$I$18,SEG_6P!$A$4:$I$18,SOL_4P!$A$4:$I$18,RW_2P!$A$4:$I$18,RW2_4P!$A$4:$I$18,FLAP_4P!$A$4:$I$18,TUBE_4P!$A$4:$I$18),8,0),0))</f>
        <v/>
      </c>
      <c r="L76" s="4" t="str">
        <f aca="false">IF($A76="","",K76*D76)</f>
        <v/>
      </c>
      <c r="M76" s="57" t="str">
        <f aca="false">IF($A76="","",$J76+($L76/(IF(F76="Contract Workman",Settings!$K$5,Settings!$K$4))))</f>
        <v/>
      </c>
      <c r="N76" s="4" t="str">
        <f aca="false">IF($A76="","",IF(F76="Contract Workman",IF(AND(MOD(M76,1)&gt;=8/24,MOD(M76,1)&lt;20/24),"Shift S1","Shift S2"),IF(AND(MOD(M76,1)&gt;=7/24,MOD(M76,1)&lt;15/24),"Shift A",IF(AND(MOD(M76,1)&gt;=15/24,MOD(M76,1)&lt;23/24),"Shift B","Shift C"))))</f>
        <v/>
      </c>
      <c r="O76" s="52" t="str">
        <f aca="false"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3" t="str">
        <f aca="false">IF(AND(Q$3&gt;=$J76, Q$3&lt;$M76), $A76, "")</f>
        <v/>
      </c>
      <c r="Q76" s="53" t="str">
        <f aca="false">IF(AND(R$3&gt;=$J76, R$3&lt;$M76), $A76, "")</f>
        <v/>
      </c>
      <c r="R76" s="53" t="str">
        <f aca="false">IF(AND(S$3&gt;=$J76, S$3&lt;$M76), $A76, "")</f>
        <v/>
      </c>
      <c r="S76" s="53" t="str">
        <f aca="false">IF(AND(T$3&gt;=$J76, T$3&lt;$M76), $A76, "")</f>
        <v/>
      </c>
      <c r="T76" s="53" t="str">
        <f aca="false">IF(AND(U$3&gt;=$J76, U$3&lt;$M76), $A76, "")</f>
        <v/>
      </c>
      <c r="U76" s="53" t="str">
        <f aca="false">IF(AND(V$3&gt;=$J76, V$3&lt;$M76), $A76, "")</f>
        <v/>
      </c>
      <c r="V76" s="53" t="str">
        <f aca="false">IF(AND(W$3&gt;=$J76, W$3&lt;$M76), $A76, "")</f>
        <v/>
      </c>
      <c r="W76" s="53" t="str">
        <f aca="false">IF(AND(X$3&gt;=$J76, X$3&lt;$M76), $A76, "")</f>
        <v/>
      </c>
      <c r="X76" s="53" t="str">
        <f aca="false">IF(AND(Y$3&gt;=$J76, Y$3&lt;$M76), $A76, "")</f>
        <v/>
      </c>
      <c r="Y76" s="53" t="str">
        <f aca="false">IF(AND(Z$3&gt;=$J76, Z$3&lt;$M76), $A76, "")</f>
        <v/>
      </c>
      <c r="Z76" s="53" t="str">
        <f aca="false">IF(AND(AA$3&gt;=$J76, AA$3&lt;$M76), $A76, "")</f>
        <v/>
      </c>
      <c r="AA76" s="53" t="str">
        <f aca="false">IF(AND(AB$3&gt;=$J76, AB$3&lt;$M76), $A76, "")</f>
        <v/>
      </c>
      <c r="AB76" s="53" t="str">
        <f aca="false">IF(AND(AC$3&gt;=$J76, AC$3&lt;$M76), $A76, "")</f>
        <v/>
      </c>
      <c r="AC76" s="53" t="str">
        <f aca="false">IF(AND(AD$3&gt;=$J76, AD$3&lt;$M76), $A76, "")</f>
        <v/>
      </c>
      <c r="AD76" s="53" t="str">
        <f aca="false">IF(AND(AE$3&gt;=$J76, AE$3&lt;$M76), $A76, "")</f>
        <v/>
      </c>
      <c r="AE76" s="53" t="str">
        <f aca="false">IF(AND(AF$3&gt;=$J76, AF$3&lt;$M76), $A76, "")</f>
        <v/>
      </c>
      <c r="AF76" s="53" t="str">
        <f aca="false">IF(AND(AG$3&gt;=$J76, AG$3&lt;$M76), $A76, "")</f>
        <v/>
      </c>
      <c r="AG76" s="53" t="str">
        <f aca="false">IF(AND(AH$3&gt;=$J76, AH$3&lt;$M76), $A76, "")</f>
        <v/>
      </c>
      <c r="AH76" s="53" t="str">
        <f aca="false">IF(AND(AI$3&gt;=$J76, AI$3&lt;$M76), $A76, "")</f>
        <v/>
      </c>
      <c r="AI76" s="53" t="str">
        <f aca="false">IF(AND(AJ$3&gt;=$J76, AJ$3&lt;$M76), $A76, "")</f>
        <v/>
      </c>
      <c r="AJ76" s="53" t="str">
        <f aca="false">IF(AND(AK$3&gt;=$J76, AK$3&lt;$M76), $A76, "")</f>
        <v/>
      </c>
      <c r="AK76" s="53" t="str">
        <f aca="false">IF(AND(AL$3&gt;=$J76, AL$3&lt;$M76), $A76, "")</f>
        <v/>
      </c>
      <c r="AL76" s="53" t="str">
        <f aca="false">IF(AND(AM$3&gt;=$J76, AM$3&lt;$M76), $A76, "")</f>
        <v/>
      </c>
      <c r="AM76" s="53" t="str">
        <f aca="false">IF(AND(AN$3&gt;=$J76, AN$3&lt;$M76), $A76, "")</f>
        <v/>
      </c>
      <c r="AN76" s="53" t="str">
        <f aca="false">IF(AND(AO$3&gt;=$J76, AO$3&lt;$M76), $A76, "")</f>
        <v/>
      </c>
      <c r="AO76" s="53" t="str">
        <f aca="false">IF(AND(AP$3&gt;=$J76, AP$3&lt;$M76), $A76, "")</f>
        <v/>
      </c>
      <c r="AP76" s="53" t="str">
        <f aca="false">IF(AND(AQ$3&gt;=$J76, AQ$3&lt;$M76), $A76, "")</f>
        <v/>
      </c>
      <c r="AQ76" s="53" t="str">
        <f aca="false">IF(AND(AR$3&gt;=$J76, AR$3&lt;$M76), $A76, "")</f>
        <v/>
      </c>
      <c r="AR76" s="53" t="str">
        <f aca="false">IF(AND(AS$3&gt;=$J76, AS$3&lt;$M76), $A76, "")</f>
        <v/>
      </c>
      <c r="AS76" s="53" t="str">
        <f aca="false">IF(AND(AT$3&gt;=$J76, AT$3&lt;$M76), $A76, "")</f>
        <v/>
      </c>
      <c r="AT76" s="53" t="str">
        <f aca="false">IF(AND(AU$3&gt;=$J76, AU$3&lt;$M76), $A76, "")</f>
        <v/>
      </c>
      <c r="AU76" s="53" t="str">
        <f aca="false">IF(AND(AV$3&gt;=$J76, AV$3&lt;$M76), $A76, "")</f>
        <v/>
      </c>
      <c r="AV76" s="53" t="str">
        <f aca="false">IF(AND(AW$3&gt;=$J76, AW$3&lt;$M76), $A76, "")</f>
        <v/>
      </c>
      <c r="AW76" s="53" t="str">
        <f aca="false">IF(AND(AX$3&gt;=$J76, AX$3&lt;$M76), $A76, "")</f>
        <v/>
      </c>
      <c r="AX76" s="53" t="str">
        <f aca="false">IF(AND(AY$3&gt;=$J76, AY$3&lt;$M76), $A76, "")</f>
        <v/>
      </c>
      <c r="AY76" s="53" t="str">
        <f aca="false">IF(AND(AZ$3&gt;=$J76, AZ$3&lt;$M76), $A76, "")</f>
        <v/>
      </c>
      <c r="AZ76" s="53" t="str">
        <f aca="false">IF(AND(BA$3&gt;=$J76, BA$3&lt;$M76), $A76, "")</f>
        <v/>
      </c>
      <c r="BA76" s="53" t="str">
        <f aca="false">IF(AND(BB$3&gt;=$J76, BB$3&lt;$M76), $A76, "")</f>
        <v/>
      </c>
      <c r="BB76" s="53" t="str">
        <f aca="false">IF(AND(BC$3&gt;=$J76, BC$3&lt;$M76), $A76, "")</f>
        <v/>
      </c>
      <c r="BC76" s="53" t="str">
        <f aca="false">IF(AND(BD$3&gt;=$J76, BD$3&lt;$M76), $A76, "")</f>
        <v/>
      </c>
      <c r="BD76" s="53" t="str">
        <f aca="false">IF(AND(BE$3&gt;=$J76, BE$3&lt;$M76), $A76, "")</f>
        <v/>
      </c>
      <c r="BE76" s="53" t="str">
        <f aca="false">IF(AND(BF$3&gt;=$J76, BF$3&lt;$M76), $A76, "")</f>
        <v/>
      </c>
      <c r="BF76" s="53" t="str">
        <f aca="false">IF(AND(BG$3&gt;=$J76, BG$3&lt;$M76), $A76, "")</f>
        <v/>
      </c>
      <c r="BG76" s="53" t="str">
        <f aca="false">IF(AND(BH$3&gt;=$J76, BH$3&lt;$M76), $A76, "")</f>
        <v/>
      </c>
      <c r="BH76" s="53" t="str">
        <f aca="false">IF(AND(BI$3&gt;=$J76, BI$3&lt;$M76), $A76, "")</f>
        <v/>
      </c>
      <c r="BI76" s="53" t="str">
        <f aca="false">IF(AND(BJ$3&gt;=$J76, BJ$3&lt;$M76), $A76, "")</f>
        <v/>
      </c>
      <c r="BJ76" s="53" t="str">
        <f aca="false">IF(AND(BK$3&gt;=$J76, BK$3&lt;$M76), $A76, "")</f>
        <v/>
      </c>
      <c r="BK76" s="53" t="str">
        <f aca="false">IF(AND(BL$3&gt;=$J76, BL$3&lt;$M76), $A76, "")</f>
        <v/>
      </c>
      <c r="BL76" s="53" t="str">
        <f aca="false">IF(AND(BM$3&gt;=$J76, BM$3&lt;$M76), $A76, "")</f>
        <v/>
      </c>
      <c r="BM76" s="53" t="str">
        <f aca="false">IF(AND(BN$3&gt;=$J76, BN$3&lt;$M76), $A76, "")</f>
        <v/>
      </c>
      <c r="BN76" s="1" t="str">
        <f aca="false">IF(AND(BO$3&gt;=$J76, BO$3&lt;$M76), $A76, "")</f>
        <v/>
      </c>
      <c r="BO76" s="1" t="str">
        <f aca="false">IF(AND(BP$3&gt;=$J76, BP$3&lt;$M76), $A76, "")</f>
        <v/>
      </c>
      <c r="BP76" s="1" t="str">
        <f aca="false">IF(AND(BQ$3&gt;=$J76, BQ$3&lt;$M76), $A76, "")</f>
        <v/>
      </c>
    </row>
    <row r="77" customFormat="false" ht="15" hidden="false" customHeight="true" outlineLevel="0" collapsed="false">
      <c r="A77" s="46" t="str">
        <f aca="false">IF(Job_Master!A77="","",Job_Master!A77)</f>
        <v/>
      </c>
      <c r="B77" s="4" t="str">
        <f aca="false">IF($A77="","",Job_Master!B77)</f>
        <v/>
      </c>
      <c r="C77" s="4" t="str">
        <f aca="false">IF($A77="","",Job_Master!C77)</f>
        <v/>
      </c>
      <c r="D77" s="4" t="str">
        <f aca="false">IF($A77="","",Job_Master!D77)</f>
        <v/>
      </c>
      <c r="E77" s="48" t="str">
        <f aca="false">IF($A77="","",IFERROR(INDEX(Machine_List!$B$82:$B$86,MATCH("*"&amp;$B77&amp;"*",Machine_List!$J$82:$J$86,0)),"NO COMPATIBLE MACHINE"))</f>
        <v/>
      </c>
      <c r="F77" s="4" t="str">
        <f aca="false">IF($E77="","",IFERROR(VLOOKUP($E77,Machine_List!$B:$G,6,0),""))</f>
        <v/>
      </c>
      <c r="G77" s="55" t="str">
        <f aca="false">IF($E77="","",IFERROR(VLOOKUP($E77,Machine_List!$B:$C,2,0),""))</f>
        <v/>
      </c>
      <c r="H77" s="4" t="str">
        <f aca="false">IF($E77="","",IFERROR(VLOOKUP($E77,Machine_List!$B:$D,3,0),""))</f>
        <v/>
      </c>
      <c r="I77" s="56"/>
      <c r="J77" s="57" t="str">
        <f aca="true">IF($A77="","",IF($I77&lt;&gt;"",$I77,MAX(FID_Plan!$M77,IFERROR(LOOKUP(2,1/($E$3:INDIRECT("E"&amp;(ROW()-1))=$E77),$M$3:INDIRECT("M"&amp;(ROW()-1))),FID_Plan!$M77))))</f>
        <v/>
      </c>
      <c r="K77" s="4" t="str">
        <f aca="false">IF($A77="","",IFERROR(VLOOKUP(B77,CHOOSE(MATCH(C77,Settings!$L$4:$L$10,0),OPR_2P!$A$4:$I$18,SEG_6P!$A$4:$I$18,SOL_4P!$A$4:$I$18,RW_2P!$A$4:$I$18,RW2_4P!$A$4:$I$18,FLAP_4P!$A$4:$I$18,TUBE_4P!$A$4:$I$18),8,0),0))</f>
        <v/>
      </c>
      <c r="L77" s="4" t="str">
        <f aca="false">IF($A77="","",K77*D77)</f>
        <v/>
      </c>
      <c r="M77" s="57" t="str">
        <f aca="false">IF($A77="","",$J77+($L77/(IF(F77="Contract Workman",Settings!$K$5,Settings!$K$4))))</f>
        <v/>
      </c>
      <c r="N77" s="4" t="str">
        <f aca="false">IF($A77="","",IF(F77="Contract Workman",IF(AND(MOD(M77,1)&gt;=8/24,MOD(M77,1)&lt;20/24),"Shift S1","Shift S2"),IF(AND(MOD(M77,1)&gt;=7/24,MOD(M77,1)&lt;15/24),"Shift A",IF(AND(MOD(M77,1)&gt;=15/24,MOD(M77,1)&lt;23/24),"Shift B","Shift C"))))</f>
        <v/>
      </c>
      <c r="O77" s="52" t="str">
        <f aca="false"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3" t="str">
        <f aca="false">IF(AND(Q$3&gt;=$J77, Q$3&lt;$M77), $A77, "")</f>
        <v/>
      </c>
      <c r="Q77" s="53" t="str">
        <f aca="false">IF(AND(R$3&gt;=$J77, R$3&lt;$M77), $A77, "")</f>
        <v/>
      </c>
      <c r="R77" s="53" t="str">
        <f aca="false">IF(AND(S$3&gt;=$J77, S$3&lt;$M77), $A77, "")</f>
        <v/>
      </c>
      <c r="S77" s="53" t="str">
        <f aca="false">IF(AND(T$3&gt;=$J77, T$3&lt;$M77), $A77, "")</f>
        <v/>
      </c>
      <c r="T77" s="53" t="str">
        <f aca="false">IF(AND(U$3&gt;=$J77, U$3&lt;$M77), $A77, "")</f>
        <v/>
      </c>
      <c r="U77" s="53" t="str">
        <f aca="false">IF(AND(V$3&gt;=$J77, V$3&lt;$M77), $A77, "")</f>
        <v/>
      </c>
      <c r="V77" s="53" t="str">
        <f aca="false">IF(AND(W$3&gt;=$J77, W$3&lt;$M77), $A77, "")</f>
        <v/>
      </c>
      <c r="W77" s="53" t="str">
        <f aca="false">IF(AND(X$3&gt;=$J77, X$3&lt;$M77), $A77, "")</f>
        <v/>
      </c>
      <c r="X77" s="53" t="str">
        <f aca="false">IF(AND(Y$3&gt;=$J77, Y$3&lt;$M77), $A77, "")</f>
        <v/>
      </c>
      <c r="Y77" s="53" t="str">
        <f aca="false">IF(AND(Z$3&gt;=$J77, Z$3&lt;$M77), $A77, "")</f>
        <v/>
      </c>
      <c r="Z77" s="53" t="str">
        <f aca="false">IF(AND(AA$3&gt;=$J77, AA$3&lt;$M77), $A77, "")</f>
        <v/>
      </c>
      <c r="AA77" s="53" t="str">
        <f aca="false">IF(AND(AB$3&gt;=$J77, AB$3&lt;$M77), $A77, "")</f>
        <v/>
      </c>
      <c r="AB77" s="53" t="str">
        <f aca="false">IF(AND(AC$3&gt;=$J77, AC$3&lt;$M77), $A77, "")</f>
        <v/>
      </c>
      <c r="AC77" s="53" t="str">
        <f aca="false">IF(AND(AD$3&gt;=$J77, AD$3&lt;$M77), $A77, "")</f>
        <v/>
      </c>
      <c r="AD77" s="53" t="str">
        <f aca="false">IF(AND(AE$3&gt;=$J77, AE$3&lt;$M77), $A77, "")</f>
        <v/>
      </c>
      <c r="AE77" s="53" t="str">
        <f aca="false">IF(AND(AF$3&gt;=$J77, AF$3&lt;$M77), $A77, "")</f>
        <v/>
      </c>
      <c r="AF77" s="53" t="str">
        <f aca="false">IF(AND(AG$3&gt;=$J77, AG$3&lt;$M77), $A77, "")</f>
        <v/>
      </c>
      <c r="AG77" s="53" t="str">
        <f aca="false">IF(AND(AH$3&gt;=$J77, AH$3&lt;$M77), $A77, "")</f>
        <v/>
      </c>
      <c r="AH77" s="53" t="str">
        <f aca="false">IF(AND(AI$3&gt;=$J77, AI$3&lt;$M77), $A77, "")</f>
        <v/>
      </c>
      <c r="AI77" s="53" t="str">
        <f aca="false">IF(AND(AJ$3&gt;=$J77, AJ$3&lt;$M77), $A77, "")</f>
        <v/>
      </c>
      <c r="AJ77" s="53" t="str">
        <f aca="false">IF(AND(AK$3&gt;=$J77, AK$3&lt;$M77), $A77, "")</f>
        <v/>
      </c>
      <c r="AK77" s="53" t="str">
        <f aca="false">IF(AND(AL$3&gt;=$J77, AL$3&lt;$M77), $A77, "")</f>
        <v/>
      </c>
      <c r="AL77" s="53" t="str">
        <f aca="false">IF(AND(AM$3&gt;=$J77, AM$3&lt;$M77), $A77, "")</f>
        <v/>
      </c>
      <c r="AM77" s="53" t="str">
        <f aca="false">IF(AND(AN$3&gt;=$J77, AN$3&lt;$M77), $A77, "")</f>
        <v/>
      </c>
      <c r="AN77" s="53" t="str">
        <f aca="false">IF(AND(AO$3&gt;=$J77, AO$3&lt;$M77), $A77, "")</f>
        <v/>
      </c>
      <c r="AO77" s="53" t="str">
        <f aca="false">IF(AND(AP$3&gt;=$J77, AP$3&lt;$M77), $A77, "")</f>
        <v/>
      </c>
      <c r="AP77" s="53" t="str">
        <f aca="false">IF(AND(AQ$3&gt;=$J77, AQ$3&lt;$M77), $A77, "")</f>
        <v/>
      </c>
      <c r="AQ77" s="53" t="str">
        <f aca="false">IF(AND(AR$3&gt;=$J77, AR$3&lt;$M77), $A77, "")</f>
        <v/>
      </c>
      <c r="AR77" s="53" t="str">
        <f aca="false">IF(AND(AS$3&gt;=$J77, AS$3&lt;$M77), $A77, "")</f>
        <v/>
      </c>
      <c r="AS77" s="53" t="str">
        <f aca="false">IF(AND(AT$3&gt;=$J77, AT$3&lt;$M77), $A77, "")</f>
        <v/>
      </c>
      <c r="AT77" s="53" t="str">
        <f aca="false">IF(AND(AU$3&gt;=$J77, AU$3&lt;$M77), $A77, "")</f>
        <v/>
      </c>
      <c r="AU77" s="53" t="str">
        <f aca="false">IF(AND(AV$3&gt;=$J77, AV$3&lt;$M77), $A77, "")</f>
        <v/>
      </c>
      <c r="AV77" s="53" t="str">
        <f aca="false">IF(AND(AW$3&gt;=$J77, AW$3&lt;$M77), $A77, "")</f>
        <v/>
      </c>
      <c r="AW77" s="53" t="str">
        <f aca="false">IF(AND(AX$3&gt;=$J77, AX$3&lt;$M77), $A77, "")</f>
        <v/>
      </c>
      <c r="AX77" s="53" t="str">
        <f aca="false">IF(AND(AY$3&gt;=$J77, AY$3&lt;$M77), $A77, "")</f>
        <v/>
      </c>
      <c r="AY77" s="53" t="str">
        <f aca="false">IF(AND(AZ$3&gt;=$J77, AZ$3&lt;$M77), $A77, "")</f>
        <v/>
      </c>
      <c r="AZ77" s="53" t="str">
        <f aca="false">IF(AND(BA$3&gt;=$J77, BA$3&lt;$M77), $A77, "")</f>
        <v/>
      </c>
      <c r="BA77" s="53" t="str">
        <f aca="false">IF(AND(BB$3&gt;=$J77, BB$3&lt;$M77), $A77, "")</f>
        <v/>
      </c>
      <c r="BB77" s="53" t="str">
        <f aca="false">IF(AND(BC$3&gt;=$J77, BC$3&lt;$M77), $A77, "")</f>
        <v/>
      </c>
      <c r="BC77" s="53" t="str">
        <f aca="false">IF(AND(BD$3&gt;=$J77, BD$3&lt;$M77), $A77, "")</f>
        <v/>
      </c>
      <c r="BD77" s="53" t="str">
        <f aca="false">IF(AND(BE$3&gt;=$J77, BE$3&lt;$M77), $A77, "")</f>
        <v/>
      </c>
      <c r="BE77" s="53" t="str">
        <f aca="false">IF(AND(BF$3&gt;=$J77, BF$3&lt;$M77), $A77, "")</f>
        <v/>
      </c>
      <c r="BF77" s="53" t="str">
        <f aca="false">IF(AND(BG$3&gt;=$J77, BG$3&lt;$M77), $A77, "")</f>
        <v/>
      </c>
      <c r="BG77" s="53" t="str">
        <f aca="false">IF(AND(BH$3&gt;=$J77, BH$3&lt;$M77), $A77, "")</f>
        <v/>
      </c>
      <c r="BH77" s="53" t="str">
        <f aca="false">IF(AND(BI$3&gt;=$J77, BI$3&lt;$M77), $A77, "")</f>
        <v/>
      </c>
      <c r="BI77" s="53" t="str">
        <f aca="false">IF(AND(BJ$3&gt;=$J77, BJ$3&lt;$M77), $A77, "")</f>
        <v/>
      </c>
      <c r="BJ77" s="53" t="str">
        <f aca="false">IF(AND(BK$3&gt;=$J77, BK$3&lt;$M77), $A77, "")</f>
        <v/>
      </c>
      <c r="BK77" s="53" t="str">
        <f aca="false">IF(AND(BL$3&gt;=$J77, BL$3&lt;$M77), $A77, "")</f>
        <v/>
      </c>
      <c r="BL77" s="53" t="str">
        <f aca="false">IF(AND(BM$3&gt;=$J77, BM$3&lt;$M77), $A77, "")</f>
        <v/>
      </c>
      <c r="BM77" s="53" t="str">
        <f aca="false">IF(AND(BN$3&gt;=$J77, BN$3&lt;$M77), $A77, "")</f>
        <v/>
      </c>
      <c r="BN77" s="1" t="str">
        <f aca="false">IF(AND(BO$3&gt;=$J77, BO$3&lt;$M77), $A77, "")</f>
        <v/>
      </c>
      <c r="BO77" s="1" t="str">
        <f aca="false">IF(AND(BP$3&gt;=$J77, BP$3&lt;$M77), $A77, "")</f>
        <v/>
      </c>
      <c r="BP77" s="1" t="str">
        <f aca="false">IF(AND(BQ$3&gt;=$J77, BQ$3&lt;$M77), $A77, "")</f>
        <v/>
      </c>
    </row>
    <row r="78" customFormat="false" ht="15" hidden="false" customHeight="true" outlineLevel="0" collapsed="false">
      <c r="A78" s="46" t="str">
        <f aca="false">IF(Job_Master!A78="","",Job_Master!A78)</f>
        <v/>
      </c>
      <c r="B78" s="4" t="str">
        <f aca="false">IF($A78="","",Job_Master!B78)</f>
        <v/>
      </c>
      <c r="C78" s="4" t="str">
        <f aca="false">IF($A78="","",Job_Master!C78)</f>
        <v/>
      </c>
      <c r="D78" s="4" t="str">
        <f aca="false">IF($A78="","",Job_Master!D78)</f>
        <v/>
      </c>
      <c r="E78" s="48" t="str">
        <f aca="false">IF($A78="","",IFERROR(INDEX(Machine_List!$B$82:$B$86,MATCH("*"&amp;$B78&amp;"*",Machine_List!$J$82:$J$86,0)),"NO COMPATIBLE MACHINE"))</f>
        <v/>
      </c>
      <c r="F78" s="4" t="str">
        <f aca="false">IF($E78="","",IFERROR(VLOOKUP($E78,Machine_List!$B:$G,6,0),""))</f>
        <v/>
      </c>
      <c r="G78" s="55" t="str">
        <f aca="false">IF($E78="","",IFERROR(VLOOKUP($E78,Machine_List!$B:$C,2,0),""))</f>
        <v/>
      </c>
      <c r="H78" s="4" t="str">
        <f aca="false">IF($E78="","",IFERROR(VLOOKUP($E78,Machine_List!$B:$D,3,0),""))</f>
        <v/>
      </c>
      <c r="I78" s="56"/>
      <c r="J78" s="57" t="str">
        <f aca="true">IF($A78="","",IF($I78&lt;&gt;"",$I78,MAX(FID_Plan!$M78,IFERROR(LOOKUP(2,1/($E$3:INDIRECT("E"&amp;(ROW()-1))=$E78),$M$3:INDIRECT("M"&amp;(ROW()-1))),FID_Plan!$M78))))</f>
        <v/>
      </c>
      <c r="K78" s="4" t="str">
        <f aca="false">IF($A78="","",IFERROR(VLOOKUP(B78,CHOOSE(MATCH(C78,Settings!$L$4:$L$10,0),OPR_2P!$A$4:$I$18,SEG_6P!$A$4:$I$18,SOL_4P!$A$4:$I$18,RW_2P!$A$4:$I$18,RW2_4P!$A$4:$I$18,FLAP_4P!$A$4:$I$18,TUBE_4P!$A$4:$I$18),8,0),0))</f>
        <v/>
      </c>
      <c r="L78" s="4" t="str">
        <f aca="false">IF($A78="","",K78*D78)</f>
        <v/>
      </c>
      <c r="M78" s="57" t="str">
        <f aca="false">IF($A78="","",$J78+($L78/(IF(F78="Contract Workman",Settings!$K$5,Settings!$K$4))))</f>
        <v/>
      </c>
      <c r="N78" s="4" t="str">
        <f aca="false">IF($A78="","",IF(F78="Contract Workman",IF(AND(MOD(M78,1)&gt;=8/24,MOD(M78,1)&lt;20/24),"Shift S1","Shift S2"),IF(AND(MOD(M78,1)&gt;=7/24,MOD(M78,1)&lt;15/24),"Shift A",IF(AND(MOD(M78,1)&gt;=15/24,MOD(M78,1)&lt;23/24),"Shift B","Shift C"))))</f>
        <v/>
      </c>
      <c r="O78" s="52" t="str">
        <f aca="false"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3" t="str">
        <f aca="false">IF(AND(Q$3&gt;=$J78, Q$3&lt;$M78), $A78, "")</f>
        <v/>
      </c>
      <c r="Q78" s="53" t="str">
        <f aca="false">IF(AND(R$3&gt;=$J78, R$3&lt;$M78), $A78, "")</f>
        <v/>
      </c>
      <c r="R78" s="53" t="str">
        <f aca="false">IF(AND(S$3&gt;=$J78, S$3&lt;$M78), $A78, "")</f>
        <v/>
      </c>
      <c r="S78" s="53" t="str">
        <f aca="false">IF(AND(T$3&gt;=$J78, T$3&lt;$M78), $A78, "")</f>
        <v/>
      </c>
      <c r="T78" s="53" t="str">
        <f aca="false">IF(AND(U$3&gt;=$J78, U$3&lt;$M78), $A78, "")</f>
        <v/>
      </c>
      <c r="U78" s="53" t="str">
        <f aca="false">IF(AND(V$3&gt;=$J78, V$3&lt;$M78), $A78, "")</f>
        <v/>
      </c>
      <c r="V78" s="53" t="str">
        <f aca="false">IF(AND(W$3&gt;=$J78, W$3&lt;$M78), $A78, "")</f>
        <v/>
      </c>
      <c r="W78" s="53" t="str">
        <f aca="false">IF(AND(X$3&gt;=$J78, X$3&lt;$M78), $A78, "")</f>
        <v/>
      </c>
      <c r="X78" s="53" t="str">
        <f aca="false">IF(AND(Y$3&gt;=$J78, Y$3&lt;$M78), $A78, "")</f>
        <v/>
      </c>
      <c r="Y78" s="53" t="str">
        <f aca="false">IF(AND(Z$3&gt;=$J78, Z$3&lt;$M78), $A78, "")</f>
        <v/>
      </c>
      <c r="Z78" s="53" t="str">
        <f aca="false">IF(AND(AA$3&gt;=$J78, AA$3&lt;$M78), $A78, "")</f>
        <v/>
      </c>
      <c r="AA78" s="53" t="str">
        <f aca="false">IF(AND(AB$3&gt;=$J78, AB$3&lt;$M78), $A78, "")</f>
        <v/>
      </c>
      <c r="AB78" s="53" t="str">
        <f aca="false">IF(AND(AC$3&gt;=$J78, AC$3&lt;$M78), $A78, "")</f>
        <v/>
      </c>
      <c r="AC78" s="53" t="str">
        <f aca="false">IF(AND(AD$3&gt;=$J78, AD$3&lt;$M78), $A78, "")</f>
        <v/>
      </c>
      <c r="AD78" s="53" t="str">
        <f aca="false">IF(AND(AE$3&gt;=$J78, AE$3&lt;$M78), $A78, "")</f>
        <v/>
      </c>
      <c r="AE78" s="53" t="str">
        <f aca="false">IF(AND(AF$3&gt;=$J78, AF$3&lt;$M78), $A78, "")</f>
        <v/>
      </c>
      <c r="AF78" s="53" t="str">
        <f aca="false">IF(AND(AG$3&gt;=$J78, AG$3&lt;$M78), $A78, "")</f>
        <v/>
      </c>
      <c r="AG78" s="53" t="str">
        <f aca="false">IF(AND(AH$3&gt;=$J78, AH$3&lt;$M78), $A78, "")</f>
        <v/>
      </c>
      <c r="AH78" s="53" t="str">
        <f aca="false">IF(AND(AI$3&gt;=$J78, AI$3&lt;$M78), $A78, "")</f>
        <v/>
      </c>
      <c r="AI78" s="53" t="str">
        <f aca="false">IF(AND(AJ$3&gt;=$J78, AJ$3&lt;$M78), $A78, "")</f>
        <v/>
      </c>
      <c r="AJ78" s="53" t="str">
        <f aca="false">IF(AND(AK$3&gt;=$J78, AK$3&lt;$M78), $A78, "")</f>
        <v/>
      </c>
      <c r="AK78" s="53" t="str">
        <f aca="false">IF(AND(AL$3&gt;=$J78, AL$3&lt;$M78), $A78, "")</f>
        <v/>
      </c>
      <c r="AL78" s="53" t="str">
        <f aca="false">IF(AND(AM$3&gt;=$J78, AM$3&lt;$M78), $A78, "")</f>
        <v/>
      </c>
      <c r="AM78" s="53" t="str">
        <f aca="false">IF(AND(AN$3&gt;=$J78, AN$3&lt;$M78), $A78, "")</f>
        <v/>
      </c>
      <c r="AN78" s="53" t="str">
        <f aca="false">IF(AND(AO$3&gt;=$J78, AO$3&lt;$M78), $A78, "")</f>
        <v/>
      </c>
      <c r="AO78" s="53" t="str">
        <f aca="false">IF(AND(AP$3&gt;=$J78, AP$3&lt;$M78), $A78, "")</f>
        <v/>
      </c>
      <c r="AP78" s="53" t="str">
        <f aca="false">IF(AND(AQ$3&gt;=$J78, AQ$3&lt;$M78), $A78, "")</f>
        <v/>
      </c>
      <c r="AQ78" s="53" t="str">
        <f aca="false">IF(AND(AR$3&gt;=$J78, AR$3&lt;$M78), $A78, "")</f>
        <v/>
      </c>
      <c r="AR78" s="53" t="str">
        <f aca="false">IF(AND(AS$3&gt;=$J78, AS$3&lt;$M78), $A78, "")</f>
        <v/>
      </c>
      <c r="AS78" s="53" t="str">
        <f aca="false">IF(AND(AT$3&gt;=$J78, AT$3&lt;$M78), $A78, "")</f>
        <v/>
      </c>
      <c r="AT78" s="53" t="str">
        <f aca="false">IF(AND(AU$3&gt;=$J78, AU$3&lt;$M78), $A78, "")</f>
        <v/>
      </c>
      <c r="AU78" s="53" t="str">
        <f aca="false">IF(AND(AV$3&gt;=$J78, AV$3&lt;$M78), $A78, "")</f>
        <v/>
      </c>
      <c r="AV78" s="53" t="str">
        <f aca="false">IF(AND(AW$3&gt;=$J78, AW$3&lt;$M78), $A78, "")</f>
        <v/>
      </c>
      <c r="AW78" s="53" t="str">
        <f aca="false">IF(AND(AX$3&gt;=$J78, AX$3&lt;$M78), $A78, "")</f>
        <v/>
      </c>
      <c r="AX78" s="53" t="str">
        <f aca="false">IF(AND(AY$3&gt;=$J78, AY$3&lt;$M78), $A78, "")</f>
        <v/>
      </c>
      <c r="AY78" s="53" t="str">
        <f aca="false">IF(AND(AZ$3&gt;=$J78, AZ$3&lt;$M78), $A78, "")</f>
        <v/>
      </c>
      <c r="AZ78" s="53" t="str">
        <f aca="false">IF(AND(BA$3&gt;=$J78, BA$3&lt;$M78), $A78, "")</f>
        <v/>
      </c>
      <c r="BA78" s="53" t="str">
        <f aca="false">IF(AND(BB$3&gt;=$J78, BB$3&lt;$M78), $A78, "")</f>
        <v/>
      </c>
      <c r="BB78" s="53" t="str">
        <f aca="false">IF(AND(BC$3&gt;=$J78, BC$3&lt;$M78), $A78, "")</f>
        <v/>
      </c>
      <c r="BC78" s="53" t="str">
        <f aca="false">IF(AND(BD$3&gt;=$J78, BD$3&lt;$M78), $A78, "")</f>
        <v/>
      </c>
      <c r="BD78" s="53" t="str">
        <f aca="false">IF(AND(BE$3&gt;=$J78, BE$3&lt;$M78), $A78, "")</f>
        <v/>
      </c>
      <c r="BE78" s="53" t="str">
        <f aca="false">IF(AND(BF$3&gt;=$J78, BF$3&lt;$M78), $A78, "")</f>
        <v/>
      </c>
      <c r="BF78" s="53" t="str">
        <f aca="false">IF(AND(BG$3&gt;=$J78, BG$3&lt;$M78), $A78, "")</f>
        <v/>
      </c>
      <c r="BG78" s="53" t="str">
        <f aca="false">IF(AND(BH$3&gt;=$J78, BH$3&lt;$M78), $A78, "")</f>
        <v/>
      </c>
      <c r="BH78" s="53" t="str">
        <f aca="false">IF(AND(BI$3&gt;=$J78, BI$3&lt;$M78), $A78, "")</f>
        <v/>
      </c>
      <c r="BI78" s="53" t="str">
        <f aca="false">IF(AND(BJ$3&gt;=$J78, BJ$3&lt;$M78), $A78, "")</f>
        <v/>
      </c>
      <c r="BJ78" s="53" t="str">
        <f aca="false">IF(AND(BK$3&gt;=$J78, BK$3&lt;$M78), $A78, "")</f>
        <v/>
      </c>
      <c r="BK78" s="53" t="str">
        <f aca="false">IF(AND(BL$3&gt;=$J78, BL$3&lt;$M78), $A78, "")</f>
        <v/>
      </c>
      <c r="BL78" s="53" t="str">
        <f aca="false">IF(AND(BM$3&gt;=$J78, BM$3&lt;$M78), $A78, "")</f>
        <v/>
      </c>
      <c r="BM78" s="53" t="str">
        <f aca="false">IF(AND(BN$3&gt;=$J78, BN$3&lt;$M78), $A78, "")</f>
        <v/>
      </c>
      <c r="BN78" s="1" t="str">
        <f aca="false">IF(AND(BO$3&gt;=$J78, BO$3&lt;$M78), $A78, "")</f>
        <v/>
      </c>
      <c r="BO78" s="1" t="str">
        <f aca="false">IF(AND(BP$3&gt;=$J78, BP$3&lt;$M78), $A78, "")</f>
        <v/>
      </c>
      <c r="BP78" s="1" t="str">
        <f aca="false">IF(AND(BQ$3&gt;=$J78, BQ$3&lt;$M78), $A78, "")</f>
        <v/>
      </c>
    </row>
    <row r="79" customFormat="false" ht="15" hidden="false" customHeight="true" outlineLevel="0" collapsed="false">
      <c r="A79" s="46" t="str">
        <f aca="false">IF(Job_Master!A79="","",Job_Master!A79)</f>
        <v/>
      </c>
      <c r="B79" s="4" t="str">
        <f aca="false">IF($A79="","",Job_Master!B79)</f>
        <v/>
      </c>
      <c r="C79" s="4" t="str">
        <f aca="false">IF($A79="","",Job_Master!C79)</f>
        <v/>
      </c>
      <c r="D79" s="4" t="str">
        <f aca="false">IF($A79="","",Job_Master!D79)</f>
        <v/>
      </c>
      <c r="E79" s="48" t="str">
        <f aca="false">IF($A79="","",IFERROR(INDEX(Machine_List!$B$82:$B$86,MATCH("*"&amp;$B79&amp;"*",Machine_List!$J$82:$J$86,0)),"NO COMPATIBLE MACHINE"))</f>
        <v/>
      </c>
      <c r="F79" s="4" t="str">
        <f aca="false">IF($E79="","",IFERROR(VLOOKUP($E79,Machine_List!$B:$G,6,0),""))</f>
        <v/>
      </c>
      <c r="G79" s="55" t="str">
        <f aca="false">IF($E79="","",IFERROR(VLOOKUP($E79,Machine_List!$B:$C,2,0),""))</f>
        <v/>
      </c>
      <c r="H79" s="4" t="str">
        <f aca="false">IF($E79="","",IFERROR(VLOOKUP($E79,Machine_List!$B:$D,3,0),""))</f>
        <v/>
      </c>
      <c r="I79" s="56"/>
      <c r="J79" s="57" t="str">
        <f aca="true">IF($A79="","",IF($I79&lt;&gt;"",$I79,MAX(FID_Plan!$M79,IFERROR(LOOKUP(2,1/($E$3:INDIRECT("E"&amp;(ROW()-1))=$E79),$M$3:INDIRECT("M"&amp;(ROW()-1))),FID_Plan!$M79))))</f>
        <v/>
      </c>
      <c r="K79" s="4" t="str">
        <f aca="false">IF($A79="","",IFERROR(VLOOKUP(B79,CHOOSE(MATCH(C79,Settings!$L$4:$L$10,0),OPR_2P!$A$4:$I$18,SEG_6P!$A$4:$I$18,SOL_4P!$A$4:$I$18,RW_2P!$A$4:$I$18,RW2_4P!$A$4:$I$18,FLAP_4P!$A$4:$I$18,TUBE_4P!$A$4:$I$18),8,0),0))</f>
        <v/>
      </c>
      <c r="L79" s="4" t="str">
        <f aca="false">IF($A79="","",K79*D79)</f>
        <v/>
      </c>
      <c r="M79" s="57" t="str">
        <f aca="false">IF($A79="","",$J79+($L79/(IF(F79="Contract Workman",Settings!$K$5,Settings!$K$4))))</f>
        <v/>
      </c>
      <c r="N79" s="4" t="str">
        <f aca="false">IF($A79="","",IF(F79="Contract Workman",IF(AND(MOD(M79,1)&gt;=8/24,MOD(M79,1)&lt;20/24),"Shift S1","Shift S2"),IF(AND(MOD(M79,1)&gt;=7/24,MOD(M79,1)&lt;15/24),"Shift A",IF(AND(MOD(M79,1)&gt;=15/24,MOD(M79,1)&lt;23/24),"Shift B","Shift C"))))</f>
        <v/>
      </c>
      <c r="O79" s="52" t="str">
        <f aca="false"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3" t="str">
        <f aca="false">IF(AND(Q$3&gt;=$J79, Q$3&lt;$M79), $A79, "")</f>
        <v/>
      </c>
      <c r="Q79" s="53" t="str">
        <f aca="false">IF(AND(R$3&gt;=$J79, R$3&lt;$M79), $A79, "")</f>
        <v/>
      </c>
      <c r="R79" s="53" t="str">
        <f aca="false">IF(AND(S$3&gt;=$J79, S$3&lt;$M79), $A79, "")</f>
        <v/>
      </c>
      <c r="S79" s="53" t="str">
        <f aca="false">IF(AND(T$3&gt;=$J79, T$3&lt;$M79), $A79, "")</f>
        <v/>
      </c>
      <c r="T79" s="53" t="str">
        <f aca="false">IF(AND(U$3&gt;=$J79, U$3&lt;$M79), $A79, "")</f>
        <v/>
      </c>
      <c r="U79" s="53" t="str">
        <f aca="false">IF(AND(V$3&gt;=$J79, V$3&lt;$M79), $A79, "")</f>
        <v/>
      </c>
      <c r="V79" s="53" t="str">
        <f aca="false">IF(AND(W$3&gt;=$J79, W$3&lt;$M79), $A79, "")</f>
        <v/>
      </c>
      <c r="W79" s="53" t="str">
        <f aca="false">IF(AND(X$3&gt;=$J79, X$3&lt;$M79), $A79, "")</f>
        <v/>
      </c>
      <c r="X79" s="53" t="str">
        <f aca="false">IF(AND(Y$3&gt;=$J79, Y$3&lt;$M79), $A79, "")</f>
        <v/>
      </c>
      <c r="Y79" s="53" t="str">
        <f aca="false">IF(AND(Z$3&gt;=$J79, Z$3&lt;$M79), $A79, "")</f>
        <v/>
      </c>
      <c r="Z79" s="53" t="str">
        <f aca="false">IF(AND(AA$3&gt;=$J79, AA$3&lt;$M79), $A79, "")</f>
        <v/>
      </c>
      <c r="AA79" s="53" t="str">
        <f aca="false">IF(AND(AB$3&gt;=$J79, AB$3&lt;$M79), $A79, "")</f>
        <v/>
      </c>
      <c r="AB79" s="53" t="str">
        <f aca="false">IF(AND(AC$3&gt;=$J79, AC$3&lt;$M79), $A79, "")</f>
        <v/>
      </c>
      <c r="AC79" s="53" t="str">
        <f aca="false">IF(AND(AD$3&gt;=$J79, AD$3&lt;$M79), $A79, "")</f>
        <v/>
      </c>
      <c r="AD79" s="53" t="str">
        <f aca="false">IF(AND(AE$3&gt;=$J79, AE$3&lt;$M79), $A79, "")</f>
        <v/>
      </c>
      <c r="AE79" s="53" t="str">
        <f aca="false">IF(AND(AF$3&gt;=$J79, AF$3&lt;$M79), $A79, "")</f>
        <v/>
      </c>
      <c r="AF79" s="53" t="str">
        <f aca="false">IF(AND(AG$3&gt;=$J79, AG$3&lt;$M79), $A79, "")</f>
        <v/>
      </c>
      <c r="AG79" s="53" t="str">
        <f aca="false">IF(AND(AH$3&gt;=$J79, AH$3&lt;$M79), $A79, "")</f>
        <v/>
      </c>
      <c r="AH79" s="53" t="str">
        <f aca="false">IF(AND(AI$3&gt;=$J79, AI$3&lt;$M79), $A79, "")</f>
        <v/>
      </c>
      <c r="AI79" s="53" t="str">
        <f aca="false">IF(AND(AJ$3&gt;=$J79, AJ$3&lt;$M79), $A79, "")</f>
        <v/>
      </c>
      <c r="AJ79" s="53" t="str">
        <f aca="false">IF(AND(AK$3&gt;=$J79, AK$3&lt;$M79), $A79, "")</f>
        <v/>
      </c>
      <c r="AK79" s="53" t="str">
        <f aca="false">IF(AND(AL$3&gt;=$J79, AL$3&lt;$M79), $A79, "")</f>
        <v/>
      </c>
      <c r="AL79" s="53" t="str">
        <f aca="false">IF(AND(AM$3&gt;=$J79, AM$3&lt;$M79), $A79, "")</f>
        <v/>
      </c>
      <c r="AM79" s="53" t="str">
        <f aca="false">IF(AND(AN$3&gt;=$J79, AN$3&lt;$M79), $A79, "")</f>
        <v/>
      </c>
      <c r="AN79" s="53" t="str">
        <f aca="false">IF(AND(AO$3&gt;=$J79, AO$3&lt;$M79), $A79, "")</f>
        <v/>
      </c>
      <c r="AO79" s="53" t="str">
        <f aca="false">IF(AND(AP$3&gt;=$J79, AP$3&lt;$M79), $A79, "")</f>
        <v/>
      </c>
      <c r="AP79" s="53" t="str">
        <f aca="false">IF(AND(AQ$3&gt;=$J79, AQ$3&lt;$M79), $A79, "")</f>
        <v/>
      </c>
      <c r="AQ79" s="53" t="str">
        <f aca="false">IF(AND(AR$3&gt;=$J79, AR$3&lt;$M79), $A79, "")</f>
        <v/>
      </c>
      <c r="AR79" s="53" t="str">
        <f aca="false">IF(AND(AS$3&gt;=$J79, AS$3&lt;$M79), $A79, "")</f>
        <v/>
      </c>
      <c r="AS79" s="53" t="str">
        <f aca="false">IF(AND(AT$3&gt;=$J79, AT$3&lt;$M79), $A79, "")</f>
        <v/>
      </c>
      <c r="AT79" s="53" t="str">
        <f aca="false">IF(AND(AU$3&gt;=$J79, AU$3&lt;$M79), $A79, "")</f>
        <v/>
      </c>
      <c r="AU79" s="53" t="str">
        <f aca="false">IF(AND(AV$3&gt;=$J79, AV$3&lt;$M79), $A79, "")</f>
        <v/>
      </c>
      <c r="AV79" s="53" t="str">
        <f aca="false">IF(AND(AW$3&gt;=$J79, AW$3&lt;$M79), $A79, "")</f>
        <v/>
      </c>
      <c r="AW79" s="53" t="str">
        <f aca="false">IF(AND(AX$3&gt;=$J79, AX$3&lt;$M79), $A79, "")</f>
        <v/>
      </c>
      <c r="AX79" s="53" t="str">
        <f aca="false">IF(AND(AY$3&gt;=$J79, AY$3&lt;$M79), $A79, "")</f>
        <v/>
      </c>
      <c r="AY79" s="53" t="str">
        <f aca="false">IF(AND(AZ$3&gt;=$J79, AZ$3&lt;$M79), $A79, "")</f>
        <v/>
      </c>
      <c r="AZ79" s="53" t="str">
        <f aca="false">IF(AND(BA$3&gt;=$J79, BA$3&lt;$M79), $A79, "")</f>
        <v/>
      </c>
      <c r="BA79" s="53" t="str">
        <f aca="false">IF(AND(BB$3&gt;=$J79, BB$3&lt;$M79), $A79, "")</f>
        <v/>
      </c>
      <c r="BB79" s="53" t="str">
        <f aca="false">IF(AND(BC$3&gt;=$J79, BC$3&lt;$M79), $A79, "")</f>
        <v/>
      </c>
      <c r="BC79" s="53" t="str">
        <f aca="false">IF(AND(BD$3&gt;=$J79, BD$3&lt;$M79), $A79, "")</f>
        <v/>
      </c>
      <c r="BD79" s="53" t="str">
        <f aca="false">IF(AND(BE$3&gt;=$J79, BE$3&lt;$M79), $A79, "")</f>
        <v/>
      </c>
      <c r="BE79" s="53" t="str">
        <f aca="false">IF(AND(BF$3&gt;=$J79, BF$3&lt;$M79), $A79, "")</f>
        <v/>
      </c>
      <c r="BF79" s="53" t="str">
        <f aca="false">IF(AND(BG$3&gt;=$J79, BG$3&lt;$M79), $A79, "")</f>
        <v/>
      </c>
      <c r="BG79" s="53" t="str">
        <f aca="false">IF(AND(BH$3&gt;=$J79, BH$3&lt;$M79), $A79, "")</f>
        <v/>
      </c>
      <c r="BH79" s="53" t="str">
        <f aca="false">IF(AND(BI$3&gt;=$J79, BI$3&lt;$M79), $A79, "")</f>
        <v/>
      </c>
      <c r="BI79" s="53" t="str">
        <f aca="false">IF(AND(BJ$3&gt;=$J79, BJ$3&lt;$M79), $A79, "")</f>
        <v/>
      </c>
      <c r="BJ79" s="53" t="str">
        <f aca="false">IF(AND(BK$3&gt;=$J79, BK$3&lt;$M79), $A79, "")</f>
        <v/>
      </c>
      <c r="BK79" s="53" t="str">
        <f aca="false">IF(AND(BL$3&gt;=$J79, BL$3&lt;$M79), $A79, "")</f>
        <v/>
      </c>
      <c r="BL79" s="53" t="str">
        <f aca="false">IF(AND(BM$3&gt;=$J79, BM$3&lt;$M79), $A79, "")</f>
        <v/>
      </c>
      <c r="BM79" s="53" t="str">
        <f aca="false">IF(AND(BN$3&gt;=$J79, BN$3&lt;$M79), $A79, "")</f>
        <v/>
      </c>
      <c r="BN79" s="1" t="str">
        <f aca="false">IF(AND(BO$3&gt;=$J79, BO$3&lt;$M79), $A79, "")</f>
        <v/>
      </c>
      <c r="BO79" s="1" t="str">
        <f aca="false">IF(AND(BP$3&gt;=$J79, BP$3&lt;$M79), $A79, "")</f>
        <v/>
      </c>
      <c r="BP79" s="1" t="str">
        <f aca="false">IF(AND(BQ$3&gt;=$J79, BQ$3&lt;$M79), $A79, "")</f>
        <v/>
      </c>
    </row>
    <row r="80" customFormat="false" ht="15" hidden="false" customHeight="true" outlineLevel="0" collapsed="false">
      <c r="A80" s="46" t="str">
        <f aca="false">IF(Job_Master!A80="","",Job_Master!A80)</f>
        <v/>
      </c>
      <c r="B80" s="4" t="str">
        <f aca="false">IF($A80="","",Job_Master!B80)</f>
        <v/>
      </c>
      <c r="C80" s="4" t="str">
        <f aca="false">IF($A80="","",Job_Master!C80)</f>
        <v/>
      </c>
      <c r="D80" s="4" t="str">
        <f aca="false">IF($A80="","",Job_Master!D80)</f>
        <v/>
      </c>
      <c r="E80" s="48" t="str">
        <f aca="false">IF($A80="","",IFERROR(INDEX(Machine_List!$B$82:$B$86,MATCH("*"&amp;$B80&amp;"*",Machine_List!$J$82:$J$86,0)),"NO COMPATIBLE MACHINE"))</f>
        <v/>
      </c>
      <c r="F80" s="4" t="str">
        <f aca="false">IF($E80="","",IFERROR(VLOOKUP($E80,Machine_List!$B:$G,6,0),""))</f>
        <v/>
      </c>
      <c r="G80" s="55" t="str">
        <f aca="false">IF($E80="","",IFERROR(VLOOKUP($E80,Machine_List!$B:$C,2,0),""))</f>
        <v/>
      </c>
      <c r="H80" s="4" t="str">
        <f aca="false">IF($E80="","",IFERROR(VLOOKUP($E80,Machine_List!$B:$D,3,0),""))</f>
        <v/>
      </c>
      <c r="I80" s="56"/>
      <c r="J80" s="57" t="str">
        <f aca="true">IF($A80="","",IF($I80&lt;&gt;"",$I80,MAX(FID_Plan!$M80,IFERROR(LOOKUP(2,1/($E$3:INDIRECT("E"&amp;(ROW()-1))=$E80),$M$3:INDIRECT("M"&amp;(ROW()-1))),FID_Plan!$M80))))</f>
        <v/>
      </c>
      <c r="K80" s="4" t="str">
        <f aca="false">IF($A80="","",IFERROR(VLOOKUP(B80,CHOOSE(MATCH(C80,Settings!$L$4:$L$10,0),OPR_2P!$A$4:$I$18,SEG_6P!$A$4:$I$18,SOL_4P!$A$4:$I$18,RW_2P!$A$4:$I$18,RW2_4P!$A$4:$I$18,FLAP_4P!$A$4:$I$18,TUBE_4P!$A$4:$I$18),8,0),0))</f>
        <v/>
      </c>
      <c r="L80" s="4" t="str">
        <f aca="false">IF($A80="","",K80*D80)</f>
        <v/>
      </c>
      <c r="M80" s="57" t="str">
        <f aca="false">IF($A80="","",$J80+($L80/(IF(F80="Contract Workman",Settings!$K$5,Settings!$K$4))))</f>
        <v/>
      </c>
      <c r="N80" s="4" t="str">
        <f aca="false">IF($A80="","",IF(F80="Contract Workman",IF(AND(MOD(M80,1)&gt;=8/24,MOD(M80,1)&lt;20/24),"Shift S1","Shift S2"),IF(AND(MOD(M80,1)&gt;=7/24,MOD(M80,1)&lt;15/24),"Shift A",IF(AND(MOD(M80,1)&gt;=15/24,MOD(M80,1)&lt;23/24),"Shift B","Shift C"))))</f>
        <v/>
      </c>
      <c r="O80" s="52" t="str">
        <f aca="false"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3" t="str">
        <f aca="false">IF(AND(Q$3&gt;=$J80, Q$3&lt;$M80), $A80, "")</f>
        <v/>
      </c>
      <c r="Q80" s="53" t="str">
        <f aca="false">IF(AND(R$3&gt;=$J80, R$3&lt;$M80), $A80, "")</f>
        <v/>
      </c>
      <c r="R80" s="53" t="str">
        <f aca="false">IF(AND(S$3&gt;=$J80, S$3&lt;$M80), $A80, "")</f>
        <v/>
      </c>
      <c r="S80" s="53" t="str">
        <f aca="false">IF(AND(T$3&gt;=$J80, T$3&lt;$M80), $A80, "")</f>
        <v/>
      </c>
      <c r="T80" s="53" t="str">
        <f aca="false">IF(AND(U$3&gt;=$J80, U$3&lt;$M80), $A80, "")</f>
        <v/>
      </c>
      <c r="U80" s="53" t="str">
        <f aca="false">IF(AND(V$3&gt;=$J80, V$3&lt;$M80), $A80, "")</f>
        <v/>
      </c>
      <c r="V80" s="53" t="str">
        <f aca="false">IF(AND(W$3&gt;=$J80, W$3&lt;$M80), $A80, "")</f>
        <v/>
      </c>
      <c r="W80" s="53" t="str">
        <f aca="false">IF(AND(X$3&gt;=$J80, X$3&lt;$M80), $A80, "")</f>
        <v/>
      </c>
      <c r="X80" s="53" t="str">
        <f aca="false">IF(AND(Y$3&gt;=$J80, Y$3&lt;$M80), $A80, "")</f>
        <v/>
      </c>
      <c r="Y80" s="53" t="str">
        <f aca="false">IF(AND(Z$3&gt;=$J80, Z$3&lt;$M80), $A80, "")</f>
        <v/>
      </c>
      <c r="Z80" s="53" t="str">
        <f aca="false">IF(AND(AA$3&gt;=$J80, AA$3&lt;$M80), $A80, "")</f>
        <v/>
      </c>
      <c r="AA80" s="53" t="str">
        <f aca="false">IF(AND(AB$3&gt;=$J80, AB$3&lt;$M80), $A80, "")</f>
        <v/>
      </c>
      <c r="AB80" s="53" t="str">
        <f aca="false">IF(AND(AC$3&gt;=$J80, AC$3&lt;$M80), $A80, "")</f>
        <v/>
      </c>
      <c r="AC80" s="53" t="str">
        <f aca="false">IF(AND(AD$3&gt;=$J80, AD$3&lt;$M80), $A80, "")</f>
        <v/>
      </c>
      <c r="AD80" s="53" t="str">
        <f aca="false">IF(AND(AE$3&gt;=$J80, AE$3&lt;$M80), $A80, "")</f>
        <v/>
      </c>
      <c r="AE80" s="53" t="str">
        <f aca="false">IF(AND(AF$3&gt;=$J80, AF$3&lt;$M80), $A80, "")</f>
        <v/>
      </c>
      <c r="AF80" s="53" t="str">
        <f aca="false">IF(AND(AG$3&gt;=$J80, AG$3&lt;$M80), $A80, "")</f>
        <v/>
      </c>
      <c r="AG80" s="53" t="str">
        <f aca="false">IF(AND(AH$3&gt;=$J80, AH$3&lt;$M80), $A80, "")</f>
        <v/>
      </c>
      <c r="AH80" s="53" t="str">
        <f aca="false">IF(AND(AI$3&gt;=$J80, AI$3&lt;$M80), $A80, "")</f>
        <v/>
      </c>
      <c r="AI80" s="53" t="str">
        <f aca="false">IF(AND(AJ$3&gt;=$J80, AJ$3&lt;$M80), $A80, "")</f>
        <v/>
      </c>
      <c r="AJ80" s="53" t="str">
        <f aca="false">IF(AND(AK$3&gt;=$J80, AK$3&lt;$M80), $A80, "")</f>
        <v/>
      </c>
      <c r="AK80" s="53" t="str">
        <f aca="false">IF(AND(AL$3&gt;=$J80, AL$3&lt;$M80), $A80, "")</f>
        <v/>
      </c>
      <c r="AL80" s="53" t="str">
        <f aca="false">IF(AND(AM$3&gt;=$J80, AM$3&lt;$M80), $A80, "")</f>
        <v/>
      </c>
      <c r="AM80" s="53" t="str">
        <f aca="false">IF(AND(AN$3&gt;=$J80, AN$3&lt;$M80), $A80, "")</f>
        <v/>
      </c>
      <c r="AN80" s="53" t="str">
        <f aca="false">IF(AND(AO$3&gt;=$J80, AO$3&lt;$M80), $A80, "")</f>
        <v/>
      </c>
      <c r="AO80" s="53" t="str">
        <f aca="false">IF(AND(AP$3&gt;=$J80, AP$3&lt;$M80), $A80, "")</f>
        <v/>
      </c>
      <c r="AP80" s="53" t="str">
        <f aca="false">IF(AND(AQ$3&gt;=$J80, AQ$3&lt;$M80), $A80, "")</f>
        <v/>
      </c>
      <c r="AQ80" s="53" t="str">
        <f aca="false">IF(AND(AR$3&gt;=$J80, AR$3&lt;$M80), $A80, "")</f>
        <v/>
      </c>
      <c r="AR80" s="53" t="str">
        <f aca="false">IF(AND(AS$3&gt;=$J80, AS$3&lt;$M80), $A80, "")</f>
        <v/>
      </c>
      <c r="AS80" s="53" t="str">
        <f aca="false">IF(AND(AT$3&gt;=$J80, AT$3&lt;$M80), $A80, "")</f>
        <v/>
      </c>
      <c r="AT80" s="53" t="str">
        <f aca="false">IF(AND(AU$3&gt;=$J80, AU$3&lt;$M80), $A80, "")</f>
        <v/>
      </c>
      <c r="AU80" s="53" t="str">
        <f aca="false">IF(AND(AV$3&gt;=$J80, AV$3&lt;$M80), $A80, "")</f>
        <v/>
      </c>
      <c r="AV80" s="53" t="str">
        <f aca="false">IF(AND(AW$3&gt;=$J80, AW$3&lt;$M80), $A80, "")</f>
        <v/>
      </c>
      <c r="AW80" s="53" t="str">
        <f aca="false">IF(AND(AX$3&gt;=$J80, AX$3&lt;$M80), $A80, "")</f>
        <v/>
      </c>
      <c r="AX80" s="53" t="str">
        <f aca="false">IF(AND(AY$3&gt;=$J80, AY$3&lt;$M80), $A80, "")</f>
        <v/>
      </c>
      <c r="AY80" s="53" t="str">
        <f aca="false">IF(AND(AZ$3&gt;=$J80, AZ$3&lt;$M80), $A80, "")</f>
        <v/>
      </c>
      <c r="AZ80" s="53" t="str">
        <f aca="false">IF(AND(BA$3&gt;=$J80, BA$3&lt;$M80), $A80, "")</f>
        <v/>
      </c>
      <c r="BA80" s="53" t="str">
        <f aca="false">IF(AND(BB$3&gt;=$J80, BB$3&lt;$M80), $A80, "")</f>
        <v/>
      </c>
      <c r="BB80" s="53" t="str">
        <f aca="false">IF(AND(BC$3&gt;=$J80, BC$3&lt;$M80), $A80, "")</f>
        <v/>
      </c>
      <c r="BC80" s="53" t="str">
        <f aca="false">IF(AND(BD$3&gt;=$J80, BD$3&lt;$M80), $A80, "")</f>
        <v/>
      </c>
      <c r="BD80" s="53" t="str">
        <f aca="false">IF(AND(BE$3&gt;=$J80, BE$3&lt;$M80), $A80, "")</f>
        <v/>
      </c>
      <c r="BE80" s="53" t="str">
        <f aca="false">IF(AND(BF$3&gt;=$J80, BF$3&lt;$M80), $A80, "")</f>
        <v/>
      </c>
      <c r="BF80" s="53" t="str">
        <f aca="false">IF(AND(BG$3&gt;=$J80, BG$3&lt;$M80), $A80, "")</f>
        <v/>
      </c>
      <c r="BG80" s="53" t="str">
        <f aca="false">IF(AND(BH$3&gt;=$J80, BH$3&lt;$M80), $A80, "")</f>
        <v/>
      </c>
      <c r="BH80" s="53" t="str">
        <f aca="false">IF(AND(BI$3&gt;=$J80, BI$3&lt;$M80), $A80, "")</f>
        <v/>
      </c>
      <c r="BI80" s="53" t="str">
        <f aca="false">IF(AND(BJ$3&gt;=$J80, BJ$3&lt;$M80), $A80, "")</f>
        <v/>
      </c>
      <c r="BJ80" s="53" t="str">
        <f aca="false">IF(AND(BK$3&gt;=$J80, BK$3&lt;$M80), $A80, "")</f>
        <v/>
      </c>
      <c r="BK80" s="53" t="str">
        <f aca="false">IF(AND(BL$3&gt;=$J80, BL$3&lt;$M80), $A80, "")</f>
        <v/>
      </c>
      <c r="BL80" s="53" t="str">
        <f aca="false">IF(AND(BM$3&gt;=$J80, BM$3&lt;$M80), $A80, "")</f>
        <v/>
      </c>
      <c r="BM80" s="53" t="str">
        <f aca="false">IF(AND(BN$3&gt;=$J80, BN$3&lt;$M80), $A80, "")</f>
        <v/>
      </c>
      <c r="BN80" s="1" t="str">
        <f aca="false">IF(AND(BO$3&gt;=$J80, BO$3&lt;$M80), $A80, "")</f>
        <v/>
      </c>
      <c r="BO80" s="1" t="str">
        <f aca="false">IF(AND(BP$3&gt;=$J80, BP$3&lt;$M80), $A80, "")</f>
        <v/>
      </c>
      <c r="BP80" s="1" t="str">
        <f aca="false">IF(AND(BQ$3&gt;=$J80, BQ$3&lt;$M80), $A80, "")</f>
        <v/>
      </c>
    </row>
    <row r="81" customFormat="false" ht="15" hidden="false" customHeight="true" outlineLevel="0" collapsed="false">
      <c r="A81" s="46" t="str">
        <f aca="false">IF(Job_Master!A81="","",Job_Master!A81)</f>
        <v/>
      </c>
      <c r="B81" s="4" t="str">
        <f aca="false">IF($A81="","",Job_Master!B81)</f>
        <v/>
      </c>
      <c r="C81" s="4" t="str">
        <f aca="false">IF($A81="","",Job_Master!C81)</f>
        <v/>
      </c>
      <c r="D81" s="4" t="str">
        <f aca="false">IF($A81="","",Job_Master!D81)</f>
        <v/>
      </c>
      <c r="E81" s="48" t="str">
        <f aca="false">IF($A81="","",IFERROR(INDEX(Machine_List!$B$82:$B$86,MATCH("*"&amp;$B81&amp;"*",Machine_List!$J$82:$J$86,0)),"NO COMPATIBLE MACHINE"))</f>
        <v/>
      </c>
      <c r="F81" s="4" t="str">
        <f aca="false">IF($E81="","",IFERROR(VLOOKUP($E81,Machine_List!$B:$G,6,0),""))</f>
        <v/>
      </c>
      <c r="G81" s="55" t="str">
        <f aca="false">IF($E81="","",IFERROR(VLOOKUP($E81,Machine_List!$B:$C,2,0),""))</f>
        <v/>
      </c>
      <c r="H81" s="4" t="str">
        <f aca="false">IF($E81="","",IFERROR(VLOOKUP($E81,Machine_List!$B:$D,3,0),""))</f>
        <v/>
      </c>
      <c r="I81" s="56"/>
      <c r="J81" s="57" t="str">
        <f aca="true">IF($A81="","",IF($I81&lt;&gt;"",$I81,MAX(FID_Plan!$M81,IFERROR(LOOKUP(2,1/($E$3:INDIRECT("E"&amp;(ROW()-1))=$E81),$M$3:INDIRECT("M"&amp;(ROW()-1))),FID_Plan!$M81))))</f>
        <v/>
      </c>
      <c r="K81" s="4" t="str">
        <f aca="false">IF($A81="","",IFERROR(VLOOKUP(B81,CHOOSE(MATCH(C81,Settings!$L$4:$L$10,0),OPR_2P!$A$4:$I$18,SEG_6P!$A$4:$I$18,SOL_4P!$A$4:$I$18,RW_2P!$A$4:$I$18,RW2_4P!$A$4:$I$18,FLAP_4P!$A$4:$I$18,TUBE_4P!$A$4:$I$18),8,0),0))</f>
        <v/>
      </c>
      <c r="L81" s="4" t="str">
        <f aca="false">IF($A81="","",K81*D81)</f>
        <v/>
      </c>
      <c r="M81" s="57" t="str">
        <f aca="false">IF($A81="","",$J81+($L81/(IF(F81="Contract Workman",Settings!$K$5,Settings!$K$4))))</f>
        <v/>
      </c>
      <c r="N81" s="4" t="str">
        <f aca="false">IF($A81="","",IF(F81="Contract Workman",IF(AND(MOD(M81,1)&gt;=8/24,MOD(M81,1)&lt;20/24),"Shift S1","Shift S2"),IF(AND(MOD(M81,1)&gt;=7/24,MOD(M81,1)&lt;15/24),"Shift A",IF(AND(MOD(M81,1)&gt;=15/24,MOD(M81,1)&lt;23/24),"Shift B","Shift C"))))</f>
        <v/>
      </c>
      <c r="O81" s="52" t="str">
        <f aca="false"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3" t="str">
        <f aca="false">IF(AND(Q$3&gt;=$J81, Q$3&lt;$M81), $A81, "")</f>
        <v/>
      </c>
      <c r="Q81" s="53" t="str">
        <f aca="false">IF(AND(R$3&gt;=$J81, R$3&lt;$M81), $A81, "")</f>
        <v/>
      </c>
      <c r="R81" s="53" t="str">
        <f aca="false">IF(AND(S$3&gt;=$J81, S$3&lt;$M81), $A81, "")</f>
        <v/>
      </c>
      <c r="S81" s="53" t="str">
        <f aca="false">IF(AND(T$3&gt;=$J81, T$3&lt;$M81), $A81, "")</f>
        <v/>
      </c>
      <c r="T81" s="53" t="str">
        <f aca="false">IF(AND(U$3&gt;=$J81, U$3&lt;$M81), $A81, "")</f>
        <v/>
      </c>
      <c r="U81" s="53" t="str">
        <f aca="false">IF(AND(V$3&gt;=$J81, V$3&lt;$M81), $A81, "")</f>
        <v/>
      </c>
      <c r="V81" s="53" t="str">
        <f aca="false">IF(AND(W$3&gt;=$J81, W$3&lt;$M81), $A81, "")</f>
        <v/>
      </c>
      <c r="W81" s="53" t="str">
        <f aca="false">IF(AND(X$3&gt;=$J81, X$3&lt;$M81), $A81, "")</f>
        <v/>
      </c>
      <c r="X81" s="53" t="str">
        <f aca="false">IF(AND(Y$3&gt;=$J81, Y$3&lt;$M81), $A81, "")</f>
        <v/>
      </c>
      <c r="Y81" s="53" t="str">
        <f aca="false">IF(AND(Z$3&gt;=$J81, Z$3&lt;$M81), $A81, "")</f>
        <v/>
      </c>
      <c r="Z81" s="53" t="str">
        <f aca="false">IF(AND(AA$3&gt;=$J81, AA$3&lt;$M81), $A81, "")</f>
        <v/>
      </c>
      <c r="AA81" s="53" t="str">
        <f aca="false">IF(AND(AB$3&gt;=$J81, AB$3&lt;$M81), $A81, "")</f>
        <v/>
      </c>
      <c r="AB81" s="53" t="str">
        <f aca="false">IF(AND(AC$3&gt;=$J81, AC$3&lt;$M81), $A81, "")</f>
        <v/>
      </c>
      <c r="AC81" s="53" t="str">
        <f aca="false">IF(AND(AD$3&gt;=$J81, AD$3&lt;$M81), $A81, "")</f>
        <v/>
      </c>
      <c r="AD81" s="53" t="str">
        <f aca="false">IF(AND(AE$3&gt;=$J81, AE$3&lt;$M81), $A81, "")</f>
        <v/>
      </c>
      <c r="AE81" s="53" t="str">
        <f aca="false">IF(AND(AF$3&gt;=$J81, AF$3&lt;$M81), $A81, "")</f>
        <v/>
      </c>
      <c r="AF81" s="53" t="str">
        <f aca="false">IF(AND(AG$3&gt;=$J81, AG$3&lt;$M81), $A81, "")</f>
        <v/>
      </c>
      <c r="AG81" s="53" t="str">
        <f aca="false">IF(AND(AH$3&gt;=$J81, AH$3&lt;$M81), $A81, "")</f>
        <v/>
      </c>
      <c r="AH81" s="53" t="str">
        <f aca="false">IF(AND(AI$3&gt;=$J81, AI$3&lt;$M81), $A81, "")</f>
        <v/>
      </c>
      <c r="AI81" s="53" t="str">
        <f aca="false">IF(AND(AJ$3&gt;=$J81, AJ$3&lt;$M81), $A81, "")</f>
        <v/>
      </c>
      <c r="AJ81" s="53" t="str">
        <f aca="false">IF(AND(AK$3&gt;=$J81, AK$3&lt;$M81), $A81, "")</f>
        <v/>
      </c>
      <c r="AK81" s="53" t="str">
        <f aca="false">IF(AND(AL$3&gt;=$J81, AL$3&lt;$M81), $A81, "")</f>
        <v/>
      </c>
      <c r="AL81" s="53" t="str">
        <f aca="false">IF(AND(AM$3&gt;=$J81, AM$3&lt;$M81), $A81, "")</f>
        <v/>
      </c>
      <c r="AM81" s="53" t="str">
        <f aca="false">IF(AND(AN$3&gt;=$J81, AN$3&lt;$M81), $A81, "")</f>
        <v/>
      </c>
      <c r="AN81" s="53" t="str">
        <f aca="false">IF(AND(AO$3&gt;=$J81, AO$3&lt;$M81), $A81, "")</f>
        <v/>
      </c>
      <c r="AO81" s="53" t="str">
        <f aca="false">IF(AND(AP$3&gt;=$J81, AP$3&lt;$M81), $A81, "")</f>
        <v/>
      </c>
      <c r="AP81" s="53" t="str">
        <f aca="false">IF(AND(AQ$3&gt;=$J81, AQ$3&lt;$M81), $A81, "")</f>
        <v/>
      </c>
      <c r="AQ81" s="53" t="str">
        <f aca="false">IF(AND(AR$3&gt;=$J81, AR$3&lt;$M81), $A81, "")</f>
        <v/>
      </c>
      <c r="AR81" s="53" t="str">
        <f aca="false">IF(AND(AS$3&gt;=$J81, AS$3&lt;$M81), $A81, "")</f>
        <v/>
      </c>
      <c r="AS81" s="53" t="str">
        <f aca="false">IF(AND(AT$3&gt;=$J81, AT$3&lt;$M81), $A81, "")</f>
        <v/>
      </c>
      <c r="AT81" s="53" t="str">
        <f aca="false">IF(AND(AU$3&gt;=$J81, AU$3&lt;$M81), $A81, "")</f>
        <v/>
      </c>
      <c r="AU81" s="53" t="str">
        <f aca="false">IF(AND(AV$3&gt;=$J81, AV$3&lt;$M81), $A81, "")</f>
        <v/>
      </c>
      <c r="AV81" s="53" t="str">
        <f aca="false">IF(AND(AW$3&gt;=$J81, AW$3&lt;$M81), $A81, "")</f>
        <v/>
      </c>
      <c r="AW81" s="53" t="str">
        <f aca="false">IF(AND(AX$3&gt;=$J81, AX$3&lt;$M81), $A81, "")</f>
        <v/>
      </c>
      <c r="AX81" s="53" t="str">
        <f aca="false">IF(AND(AY$3&gt;=$J81, AY$3&lt;$M81), $A81, "")</f>
        <v/>
      </c>
      <c r="AY81" s="53" t="str">
        <f aca="false">IF(AND(AZ$3&gt;=$J81, AZ$3&lt;$M81), $A81, "")</f>
        <v/>
      </c>
      <c r="AZ81" s="53" t="str">
        <f aca="false">IF(AND(BA$3&gt;=$J81, BA$3&lt;$M81), $A81, "")</f>
        <v/>
      </c>
      <c r="BA81" s="53" t="str">
        <f aca="false">IF(AND(BB$3&gt;=$J81, BB$3&lt;$M81), $A81, "")</f>
        <v/>
      </c>
      <c r="BB81" s="53" t="str">
        <f aca="false">IF(AND(BC$3&gt;=$J81, BC$3&lt;$M81), $A81, "")</f>
        <v/>
      </c>
      <c r="BC81" s="53" t="str">
        <f aca="false">IF(AND(BD$3&gt;=$J81, BD$3&lt;$M81), $A81, "")</f>
        <v/>
      </c>
      <c r="BD81" s="53" t="str">
        <f aca="false">IF(AND(BE$3&gt;=$J81, BE$3&lt;$M81), $A81, "")</f>
        <v/>
      </c>
      <c r="BE81" s="53" t="str">
        <f aca="false">IF(AND(BF$3&gt;=$J81, BF$3&lt;$M81), $A81, "")</f>
        <v/>
      </c>
      <c r="BF81" s="53" t="str">
        <f aca="false">IF(AND(BG$3&gt;=$J81, BG$3&lt;$M81), $A81, "")</f>
        <v/>
      </c>
      <c r="BG81" s="53" t="str">
        <f aca="false">IF(AND(BH$3&gt;=$J81, BH$3&lt;$M81), $A81, "")</f>
        <v/>
      </c>
      <c r="BH81" s="53" t="str">
        <f aca="false">IF(AND(BI$3&gt;=$J81, BI$3&lt;$M81), $A81, "")</f>
        <v/>
      </c>
      <c r="BI81" s="53" t="str">
        <f aca="false">IF(AND(BJ$3&gt;=$J81, BJ$3&lt;$M81), $A81, "")</f>
        <v/>
      </c>
      <c r="BJ81" s="53" t="str">
        <f aca="false">IF(AND(BK$3&gt;=$J81, BK$3&lt;$M81), $A81, "")</f>
        <v/>
      </c>
      <c r="BK81" s="53" t="str">
        <f aca="false">IF(AND(BL$3&gt;=$J81, BL$3&lt;$M81), $A81, "")</f>
        <v/>
      </c>
      <c r="BL81" s="53" t="str">
        <f aca="false">IF(AND(BM$3&gt;=$J81, BM$3&lt;$M81), $A81, "")</f>
        <v/>
      </c>
      <c r="BM81" s="53" t="str">
        <f aca="false">IF(AND(BN$3&gt;=$J81, BN$3&lt;$M81), $A81, "")</f>
        <v/>
      </c>
      <c r="BN81" s="1" t="str">
        <f aca="false">IF(AND(BO$3&gt;=$J81, BO$3&lt;$M81), $A81, "")</f>
        <v/>
      </c>
      <c r="BO81" s="1" t="str">
        <f aca="false">IF(AND(BP$3&gt;=$J81, BP$3&lt;$M81), $A81, "")</f>
        <v/>
      </c>
      <c r="BP81" s="1" t="str">
        <f aca="false">IF(AND(BQ$3&gt;=$J81, BQ$3&lt;$M81), $A81, "")</f>
        <v/>
      </c>
    </row>
    <row r="82" customFormat="false" ht="15" hidden="false" customHeight="true" outlineLevel="0" collapsed="false">
      <c r="A82" s="46" t="str">
        <f aca="false">IF(Job_Master!A82="","",Job_Master!A82)</f>
        <v/>
      </c>
      <c r="B82" s="4" t="str">
        <f aca="false">IF($A82="","",Job_Master!B82)</f>
        <v/>
      </c>
      <c r="C82" s="4" t="str">
        <f aca="false">IF($A82="","",Job_Master!C82)</f>
        <v/>
      </c>
      <c r="D82" s="4" t="str">
        <f aca="false">IF($A82="","",Job_Master!D82)</f>
        <v/>
      </c>
      <c r="E82" s="48" t="str">
        <f aca="false">IF($A82="","",IFERROR(INDEX(Machine_List!$B$82:$B$86,MATCH("*"&amp;$B82&amp;"*",Machine_List!$J$82:$J$86,0)),"NO COMPATIBLE MACHINE"))</f>
        <v/>
      </c>
      <c r="F82" s="4" t="str">
        <f aca="false">IF($E82="","",IFERROR(VLOOKUP($E82,Machine_List!$B:$G,6,0),""))</f>
        <v/>
      </c>
      <c r="G82" s="55" t="str">
        <f aca="false">IF($E82="","",IFERROR(VLOOKUP($E82,Machine_List!$B:$C,2,0),""))</f>
        <v/>
      </c>
      <c r="H82" s="4" t="str">
        <f aca="false">IF($E82="","",IFERROR(VLOOKUP($E82,Machine_List!$B:$D,3,0),""))</f>
        <v/>
      </c>
      <c r="I82" s="56"/>
      <c r="J82" s="57" t="str">
        <f aca="true">IF($A82="","",IF($I82&lt;&gt;"",$I82,MAX(FID_Plan!$M82,IFERROR(LOOKUP(2,1/($E$3:INDIRECT("E"&amp;(ROW()-1))=$E82),$M$3:INDIRECT("M"&amp;(ROW()-1))),FID_Plan!$M82))))</f>
        <v/>
      </c>
      <c r="K82" s="4" t="str">
        <f aca="false">IF($A82="","",IFERROR(VLOOKUP(B82,CHOOSE(MATCH(C82,Settings!$L$4:$L$10,0),OPR_2P!$A$4:$I$18,SEG_6P!$A$4:$I$18,SOL_4P!$A$4:$I$18,RW_2P!$A$4:$I$18,RW2_4P!$A$4:$I$18,FLAP_4P!$A$4:$I$18,TUBE_4P!$A$4:$I$18),8,0),0))</f>
        <v/>
      </c>
      <c r="L82" s="4" t="str">
        <f aca="false">IF($A82="","",K82*D82)</f>
        <v/>
      </c>
      <c r="M82" s="57" t="str">
        <f aca="false">IF($A82="","",$J82+($L82/(IF(F82="Contract Workman",Settings!$K$5,Settings!$K$4))))</f>
        <v/>
      </c>
      <c r="N82" s="4" t="str">
        <f aca="false">IF($A82="","",IF(F82="Contract Workman",IF(AND(MOD(M82,1)&gt;=8/24,MOD(M82,1)&lt;20/24),"Shift S1","Shift S2"),IF(AND(MOD(M82,1)&gt;=7/24,MOD(M82,1)&lt;15/24),"Shift A",IF(AND(MOD(M82,1)&gt;=15/24,MOD(M82,1)&lt;23/24),"Shift B","Shift C"))))</f>
        <v/>
      </c>
      <c r="O82" s="52" t="str">
        <f aca="false"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3" t="str">
        <f aca="false">IF(AND(Q$3&gt;=$J82, Q$3&lt;$M82), $A82, "")</f>
        <v/>
      </c>
      <c r="Q82" s="53" t="str">
        <f aca="false">IF(AND(R$3&gt;=$J82, R$3&lt;$M82), $A82, "")</f>
        <v/>
      </c>
      <c r="R82" s="53" t="str">
        <f aca="false">IF(AND(S$3&gt;=$J82, S$3&lt;$M82), $A82, "")</f>
        <v/>
      </c>
      <c r="S82" s="53" t="str">
        <f aca="false">IF(AND(T$3&gt;=$J82, T$3&lt;$M82), $A82, "")</f>
        <v/>
      </c>
      <c r="T82" s="53" t="str">
        <f aca="false">IF(AND(U$3&gt;=$J82, U$3&lt;$M82), $A82, "")</f>
        <v/>
      </c>
      <c r="U82" s="53" t="str">
        <f aca="false">IF(AND(V$3&gt;=$J82, V$3&lt;$M82), $A82, "")</f>
        <v/>
      </c>
      <c r="V82" s="53" t="str">
        <f aca="false">IF(AND(W$3&gt;=$J82, W$3&lt;$M82), $A82, "")</f>
        <v/>
      </c>
      <c r="W82" s="53" t="str">
        <f aca="false">IF(AND(X$3&gt;=$J82, X$3&lt;$M82), $A82, "")</f>
        <v/>
      </c>
      <c r="X82" s="53" t="str">
        <f aca="false">IF(AND(Y$3&gt;=$J82, Y$3&lt;$M82), $A82, "")</f>
        <v/>
      </c>
      <c r="Y82" s="53" t="str">
        <f aca="false">IF(AND(Z$3&gt;=$J82, Z$3&lt;$M82), $A82, "")</f>
        <v/>
      </c>
      <c r="Z82" s="53" t="str">
        <f aca="false">IF(AND(AA$3&gt;=$J82, AA$3&lt;$M82), $A82, "")</f>
        <v/>
      </c>
      <c r="AA82" s="53" t="str">
        <f aca="false">IF(AND(AB$3&gt;=$J82, AB$3&lt;$M82), $A82, "")</f>
        <v/>
      </c>
      <c r="AB82" s="53" t="str">
        <f aca="false">IF(AND(AC$3&gt;=$J82, AC$3&lt;$M82), $A82, "")</f>
        <v/>
      </c>
      <c r="AC82" s="53" t="str">
        <f aca="false">IF(AND(AD$3&gt;=$J82, AD$3&lt;$M82), $A82, "")</f>
        <v/>
      </c>
      <c r="AD82" s="53" t="str">
        <f aca="false">IF(AND(AE$3&gt;=$J82, AE$3&lt;$M82), $A82, "")</f>
        <v/>
      </c>
      <c r="AE82" s="53" t="str">
        <f aca="false">IF(AND(AF$3&gt;=$J82, AF$3&lt;$M82), $A82, "")</f>
        <v/>
      </c>
      <c r="AF82" s="53" t="str">
        <f aca="false">IF(AND(AG$3&gt;=$J82, AG$3&lt;$M82), $A82, "")</f>
        <v/>
      </c>
      <c r="AG82" s="53" t="str">
        <f aca="false">IF(AND(AH$3&gt;=$J82, AH$3&lt;$M82), $A82, "")</f>
        <v/>
      </c>
      <c r="AH82" s="53" t="str">
        <f aca="false">IF(AND(AI$3&gt;=$J82, AI$3&lt;$M82), $A82, "")</f>
        <v/>
      </c>
      <c r="AI82" s="53" t="str">
        <f aca="false">IF(AND(AJ$3&gt;=$J82, AJ$3&lt;$M82), $A82, "")</f>
        <v/>
      </c>
      <c r="AJ82" s="53" t="str">
        <f aca="false">IF(AND(AK$3&gt;=$J82, AK$3&lt;$M82), $A82, "")</f>
        <v/>
      </c>
      <c r="AK82" s="53" t="str">
        <f aca="false">IF(AND(AL$3&gt;=$J82, AL$3&lt;$M82), $A82, "")</f>
        <v/>
      </c>
      <c r="AL82" s="53" t="str">
        <f aca="false">IF(AND(AM$3&gt;=$J82, AM$3&lt;$M82), $A82, "")</f>
        <v/>
      </c>
      <c r="AM82" s="53" t="str">
        <f aca="false">IF(AND(AN$3&gt;=$J82, AN$3&lt;$M82), $A82, "")</f>
        <v/>
      </c>
      <c r="AN82" s="53" t="str">
        <f aca="false">IF(AND(AO$3&gt;=$J82, AO$3&lt;$M82), $A82, "")</f>
        <v/>
      </c>
      <c r="AO82" s="53" t="str">
        <f aca="false">IF(AND(AP$3&gt;=$J82, AP$3&lt;$M82), $A82, "")</f>
        <v/>
      </c>
      <c r="AP82" s="53" t="str">
        <f aca="false">IF(AND(AQ$3&gt;=$J82, AQ$3&lt;$M82), $A82, "")</f>
        <v/>
      </c>
      <c r="AQ82" s="53" t="str">
        <f aca="false">IF(AND(AR$3&gt;=$J82, AR$3&lt;$M82), $A82, "")</f>
        <v/>
      </c>
      <c r="AR82" s="53" t="str">
        <f aca="false">IF(AND(AS$3&gt;=$J82, AS$3&lt;$M82), $A82, "")</f>
        <v/>
      </c>
      <c r="AS82" s="53" t="str">
        <f aca="false">IF(AND(AT$3&gt;=$J82, AT$3&lt;$M82), $A82, "")</f>
        <v/>
      </c>
      <c r="AT82" s="53" t="str">
        <f aca="false">IF(AND(AU$3&gt;=$J82, AU$3&lt;$M82), $A82, "")</f>
        <v/>
      </c>
      <c r="AU82" s="53" t="str">
        <f aca="false">IF(AND(AV$3&gt;=$J82, AV$3&lt;$M82), $A82, "")</f>
        <v/>
      </c>
      <c r="AV82" s="53" t="str">
        <f aca="false">IF(AND(AW$3&gt;=$J82, AW$3&lt;$M82), $A82, "")</f>
        <v/>
      </c>
      <c r="AW82" s="53" t="str">
        <f aca="false">IF(AND(AX$3&gt;=$J82, AX$3&lt;$M82), $A82, "")</f>
        <v/>
      </c>
      <c r="AX82" s="53" t="str">
        <f aca="false">IF(AND(AY$3&gt;=$J82, AY$3&lt;$M82), $A82, "")</f>
        <v/>
      </c>
      <c r="AY82" s="53" t="str">
        <f aca="false">IF(AND(AZ$3&gt;=$J82, AZ$3&lt;$M82), $A82, "")</f>
        <v/>
      </c>
      <c r="AZ82" s="53" t="str">
        <f aca="false">IF(AND(BA$3&gt;=$J82, BA$3&lt;$M82), $A82, "")</f>
        <v/>
      </c>
      <c r="BA82" s="53" t="str">
        <f aca="false">IF(AND(BB$3&gt;=$J82, BB$3&lt;$M82), $A82, "")</f>
        <v/>
      </c>
      <c r="BB82" s="53" t="str">
        <f aca="false">IF(AND(BC$3&gt;=$J82, BC$3&lt;$M82), $A82, "")</f>
        <v/>
      </c>
      <c r="BC82" s="53" t="str">
        <f aca="false">IF(AND(BD$3&gt;=$J82, BD$3&lt;$M82), $A82, "")</f>
        <v/>
      </c>
      <c r="BD82" s="53" t="str">
        <f aca="false">IF(AND(BE$3&gt;=$J82, BE$3&lt;$M82), $A82, "")</f>
        <v/>
      </c>
      <c r="BE82" s="53" t="str">
        <f aca="false">IF(AND(BF$3&gt;=$J82, BF$3&lt;$M82), $A82, "")</f>
        <v/>
      </c>
      <c r="BF82" s="53" t="str">
        <f aca="false">IF(AND(BG$3&gt;=$J82, BG$3&lt;$M82), $A82, "")</f>
        <v/>
      </c>
      <c r="BG82" s="53" t="str">
        <f aca="false">IF(AND(BH$3&gt;=$J82, BH$3&lt;$M82), $A82, "")</f>
        <v/>
      </c>
      <c r="BH82" s="53" t="str">
        <f aca="false">IF(AND(BI$3&gt;=$J82, BI$3&lt;$M82), $A82, "")</f>
        <v/>
      </c>
      <c r="BI82" s="53" t="str">
        <f aca="false">IF(AND(BJ$3&gt;=$J82, BJ$3&lt;$M82), $A82, "")</f>
        <v/>
      </c>
      <c r="BJ82" s="53" t="str">
        <f aca="false">IF(AND(BK$3&gt;=$J82, BK$3&lt;$M82), $A82, "")</f>
        <v/>
      </c>
      <c r="BK82" s="53" t="str">
        <f aca="false">IF(AND(BL$3&gt;=$J82, BL$3&lt;$M82), $A82, "")</f>
        <v/>
      </c>
      <c r="BL82" s="53" t="str">
        <f aca="false">IF(AND(BM$3&gt;=$J82, BM$3&lt;$M82), $A82, "")</f>
        <v/>
      </c>
      <c r="BM82" s="53" t="str">
        <f aca="false">IF(AND(BN$3&gt;=$J82, BN$3&lt;$M82), $A82, "")</f>
        <v/>
      </c>
      <c r="BN82" s="1" t="str">
        <f aca="false">IF(AND(BO$3&gt;=$J82, BO$3&lt;$M82), $A82, "")</f>
        <v/>
      </c>
      <c r="BO82" s="1" t="str">
        <f aca="false">IF(AND(BP$3&gt;=$J82, BP$3&lt;$M82), $A82, "")</f>
        <v/>
      </c>
      <c r="BP82" s="1" t="str">
        <f aca="false">IF(AND(BQ$3&gt;=$J82, BQ$3&lt;$M82), $A82, "")</f>
        <v/>
      </c>
    </row>
    <row r="83" customFormat="false" ht="15" hidden="false" customHeight="true" outlineLevel="0" collapsed="false">
      <c r="A83" s="46" t="str">
        <f aca="false">IF(Job_Master!A83="","",Job_Master!A83)</f>
        <v/>
      </c>
      <c r="B83" s="4" t="str">
        <f aca="false">IF($A83="","",Job_Master!B83)</f>
        <v/>
      </c>
      <c r="C83" s="4" t="str">
        <f aca="false">IF($A83="","",Job_Master!C83)</f>
        <v/>
      </c>
      <c r="D83" s="4" t="str">
        <f aca="false">IF($A83="","",Job_Master!D83)</f>
        <v/>
      </c>
      <c r="E83" s="48" t="str">
        <f aca="false">IF($A83="","",IFERROR(INDEX(Machine_List!$B$82:$B$86,MATCH("*"&amp;$B83&amp;"*",Machine_List!$J$82:$J$86,0)),"NO COMPATIBLE MACHINE"))</f>
        <v/>
      </c>
      <c r="F83" s="4" t="str">
        <f aca="false">IF($E83="","",IFERROR(VLOOKUP($E83,Machine_List!$B:$G,6,0),""))</f>
        <v/>
      </c>
      <c r="G83" s="55" t="str">
        <f aca="false">IF($E83="","",IFERROR(VLOOKUP($E83,Machine_List!$B:$C,2,0),""))</f>
        <v/>
      </c>
      <c r="H83" s="4" t="str">
        <f aca="false">IF($E83="","",IFERROR(VLOOKUP($E83,Machine_List!$B:$D,3,0),""))</f>
        <v/>
      </c>
      <c r="I83" s="56"/>
      <c r="J83" s="57" t="str">
        <f aca="true">IF($A83="","",IF($I83&lt;&gt;"",$I83,MAX(FID_Plan!$M83,IFERROR(LOOKUP(2,1/($E$3:INDIRECT("E"&amp;(ROW()-1))=$E83),$M$3:INDIRECT("M"&amp;(ROW()-1))),FID_Plan!$M83))))</f>
        <v/>
      </c>
      <c r="K83" s="4" t="str">
        <f aca="false">IF($A83="","",IFERROR(VLOOKUP(B83,CHOOSE(MATCH(C83,Settings!$L$4:$L$10,0),OPR_2P!$A$4:$I$18,SEG_6P!$A$4:$I$18,SOL_4P!$A$4:$I$18,RW_2P!$A$4:$I$18,RW2_4P!$A$4:$I$18,FLAP_4P!$A$4:$I$18,TUBE_4P!$A$4:$I$18),8,0),0))</f>
        <v/>
      </c>
      <c r="L83" s="4" t="str">
        <f aca="false">IF($A83="","",K83*D83)</f>
        <v/>
      </c>
      <c r="M83" s="57" t="str">
        <f aca="false">IF($A83="","",$J83+($L83/(IF(F83="Contract Workman",Settings!$K$5,Settings!$K$4))))</f>
        <v/>
      </c>
      <c r="N83" s="4" t="str">
        <f aca="false">IF($A83="","",IF(F83="Contract Workman",IF(AND(MOD(M83,1)&gt;=8/24,MOD(M83,1)&lt;20/24),"Shift S1","Shift S2"),IF(AND(MOD(M83,1)&gt;=7/24,MOD(M83,1)&lt;15/24),"Shift A",IF(AND(MOD(M83,1)&gt;=15/24,MOD(M83,1)&lt;23/24),"Shift B","Shift C"))))</f>
        <v/>
      </c>
      <c r="O83" s="52" t="str">
        <f aca="false"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3" t="str">
        <f aca="false">IF(AND(Q$3&gt;=$J83, Q$3&lt;$M83), $A83, "")</f>
        <v/>
      </c>
      <c r="Q83" s="53" t="str">
        <f aca="false">IF(AND(R$3&gt;=$J83, R$3&lt;$M83), $A83, "")</f>
        <v/>
      </c>
      <c r="R83" s="53" t="str">
        <f aca="false">IF(AND(S$3&gt;=$J83, S$3&lt;$M83), $A83, "")</f>
        <v/>
      </c>
      <c r="S83" s="53" t="str">
        <f aca="false">IF(AND(T$3&gt;=$J83, T$3&lt;$M83), $A83, "")</f>
        <v/>
      </c>
      <c r="T83" s="53" t="str">
        <f aca="false">IF(AND(U$3&gt;=$J83, U$3&lt;$M83), $A83, "")</f>
        <v/>
      </c>
      <c r="U83" s="53" t="str">
        <f aca="false">IF(AND(V$3&gt;=$J83, V$3&lt;$M83), $A83, "")</f>
        <v/>
      </c>
      <c r="V83" s="53" t="str">
        <f aca="false">IF(AND(W$3&gt;=$J83, W$3&lt;$M83), $A83, "")</f>
        <v/>
      </c>
      <c r="W83" s="53" t="str">
        <f aca="false">IF(AND(X$3&gt;=$J83, X$3&lt;$M83), $A83, "")</f>
        <v/>
      </c>
      <c r="X83" s="53" t="str">
        <f aca="false">IF(AND(Y$3&gt;=$J83, Y$3&lt;$M83), $A83, "")</f>
        <v/>
      </c>
      <c r="Y83" s="53" t="str">
        <f aca="false">IF(AND(Z$3&gt;=$J83, Z$3&lt;$M83), $A83, "")</f>
        <v/>
      </c>
      <c r="Z83" s="53" t="str">
        <f aca="false">IF(AND(AA$3&gt;=$J83, AA$3&lt;$M83), $A83, "")</f>
        <v/>
      </c>
      <c r="AA83" s="53" t="str">
        <f aca="false">IF(AND(AB$3&gt;=$J83, AB$3&lt;$M83), $A83, "")</f>
        <v/>
      </c>
      <c r="AB83" s="53" t="str">
        <f aca="false">IF(AND(AC$3&gt;=$J83, AC$3&lt;$M83), $A83, "")</f>
        <v/>
      </c>
      <c r="AC83" s="53" t="str">
        <f aca="false">IF(AND(AD$3&gt;=$J83, AD$3&lt;$M83), $A83, "")</f>
        <v/>
      </c>
      <c r="AD83" s="53" t="str">
        <f aca="false">IF(AND(AE$3&gt;=$J83, AE$3&lt;$M83), $A83, "")</f>
        <v/>
      </c>
      <c r="AE83" s="53" t="str">
        <f aca="false">IF(AND(AF$3&gt;=$J83, AF$3&lt;$M83), $A83, "")</f>
        <v/>
      </c>
      <c r="AF83" s="53" t="str">
        <f aca="false">IF(AND(AG$3&gt;=$J83, AG$3&lt;$M83), $A83, "")</f>
        <v/>
      </c>
      <c r="AG83" s="53" t="str">
        <f aca="false">IF(AND(AH$3&gt;=$J83, AH$3&lt;$M83), $A83, "")</f>
        <v/>
      </c>
      <c r="AH83" s="53" t="str">
        <f aca="false">IF(AND(AI$3&gt;=$J83, AI$3&lt;$M83), $A83, "")</f>
        <v/>
      </c>
      <c r="AI83" s="53" t="str">
        <f aca="false">IF(AND(AJ$3&gt;=$J83, AJ$3&lt;$M83), $A83, "")</f>
        <v/>
      </c>
      <c r="AJ83" s="53" t="str">
        <f aca="false">IF(AND(AK$3&gt;=$J83, AK$3&lt;$M83), $A83, "")</f>
        <v/>
      </c>
      <c r="AK83" s="53" t="str">
        <f aca="false">IF(AND(AL$3&gt;=$J83, AL$3&lt;$M83), $A83, "")</f>
        <v/>
      </c>
      <c r="AL83" s="53" t="str">
        <f aca="false">IF(AND(AM$3&gt;=$J83, AM$3&lt;$M83), $A83, "")</f>
        <v/>
      </c>
      <c r="AM83" s="53" t="str">
        <f aca="false">IF(AND(AN$3&gt;=$J83, AN$3&lt;$M83), $A83, "")</f>
        <v/>
      </c>
      <c r="AN83" s="53" t="str">
        <f aca="false">IF(AND(AO$3&gt;=$J83, AO$3&lt;$M83), $A83, "")</f>
        <v/>
      </c>
      <c r="AO83" s="53" t="str">
        <f aca="false">IF(AND(AP$3&gt;=$J83, AP$3&lt;$M83), $A83, "")</f>
        <v/>
      </c>
      <c r="AP83" s="53" t="str">
        <f aca="false">IF(AND(AQ$3&gt;=$J83, AQ$3&lt;$M83), $A83, "")</f>
        <v/>
      </c>
      <c r="AQ83" s="53" t="str">
        <f aca="false">IF(AND(AR$3&gt;=$J83, AR$3&lt;$M83), $A83, "")</f>
        <v/>
      </c>
      <c r="AR83" s="53" t="str">
        <f aca="false">IF(AND(AS$3&gt;=$J83, AS$3&lt;$M83), $A83, "")</f>
        <v/>
      </c>
      <c r="AS83" s="53" t="str">
        <f aca="false">IF(AND(AT$3&gt;=$J83, AT$3&lt;$M83), $A83, "")</f>
        <v/>
      </c>
      <c r="AT83" s="53" t="str">
        <f aca="false">IF(AND(AU$3&gt;=$J83, AU$3&lt;$M83), $A83, "")</f>
        <v/>
      </c>
      <c r="AU83" s="53" t="str">
        <f aca="false">IF(AND(AV$3&gt;=$J83, AV$3&lt;$M83), $A83, "")</f>
        <v/>
      </c>
      <c r="AV83" s="53" t="str">
        <f aca="false">IF(AND(AW$3&gt;=$J83, AW$3&lt;$M83), $A83, "")</f>
        <v/>
      </c>
      <c r="AW83" s="53" t="str">
        <f aca="false">IF(AND(AX$3&gt;=$J83, AX$3&lt;$M83), $A83, "")</f>
        <v/>
      </c>
      <c r="AX83" s="53" t="str">
        <f aca="false">IF(AND(AY$3&gt;=$J83, AY$3&lt;$M83), $A83, "")</f>
        <v/>
      </c>
      <c r="AY83" s="53" t="str">
        <f aca="false">IF(AND(AZ$3&gt;=$J83, AZ$3&lt;$M83), $A83, "")</f>
        <v/>
      </c>
      <c r="AZ83" s="53" t="str">
        <f aca="false">IF(AND(BA$3&gt;=$J83, BA$3&lt;$M83), $A83, "")</f>
        <v/>
      </c>
      <c r="BA83" s="53" t="str">
        <f aca="false">IF(AND(BB$3&gt;=$J83, BB$3&lt;$M83), $A83, "")</f>
        <v/>
      </c>
      <c r="BB83" s="53" t="str">
        <f aca="false">IF(AND(BC$3&gt;=$J83, BC$3&lt;$M83), $A83, "")</f>
        <v/>
      </c>
      <c r="BC83" s="53" t="str">
        <f aca="false">IF(AND(BD$3&gt;=$J83, BD$3&lt;$M83), $A83, "")</f>
        <v/>
      </c>
      <c r="BD83" s="53" t="str">
        <f aca="false">IF(AND(BE$3&gt;=$J83, BE$3&lt;$M83), $A83, "")</f>
        <v/>
      </c>
      <c r="BE83" s="53" t="str">
        <f aca="false">IF(AND(BF$3&gt;=$J83, BF$3&lt;$M83), $A83, "")</f>
        <v/>
      </c>
      <c r="BF83" s="53" t="str">
        <f aca="false">IF(AND(BG$3&gt;=$J83, BG$3&lt;$M83), $A83, "")</f>
        <v/>
      </c>
      <c r="BG83" s="53" t="str">
        <f aca="false">IF(AND(BH$3&gt;=$J83, BH$3&lt;$M83), $A83, "")</f>
        <v/>
      </c>
      <c r="BH83" s="53" t="str">
        <f aca="false">IF(AND(BI$3&gt;=$J83, BI$3&lt;$M83), $A83, "")</f>
        <v/>
      </c>
      <c r="BI83" s="53" t="str">
        <f aca="false">IF(AND(BJ$3&gt;=$J83, BJ$3&lt;$M83), $A83, "")</f>
        <v/>
      </c>
      <c r="BJ83" s="53" t="str">
        <f aca="false">IF(AND(BK$3&gt;=$J83, BK$3&lt;$M83), $A83, "")</f>
        <v/>
      </c>
      <c r="BK83" s="53" t="str">
        <f aca="false">IF(AND(BL$3&gt;=$J83, BL$3&lt;$M83), $A83, "")</f>
        <v/>
      </c>
      <c r="BL83" s="53" t="str">
        <f aca="false">IF(AND(BM$3&gt;=$J83, BM$3&lt;$M83), $A83, "")</f>
        <v/>
      </c>
      <c r="BM83" s="53" t="str">
        <f aca="false">IF(AND(BN$3&gt;=$J83, BN$3&lt;$M83), $A83, "")</f>
        <v/>
      </c>
      <c r="BN83" s="1" t="str">
        <f aca="false">IF(AND(BO$3&gt;=$J83, BO$3&lt;$M83), $A83, "")</f>
        <v/>
      </c>
      <c r="BO83" s="1" t="str">
        <f aca="false">IF(AND(BP$3&gt;=$J83, BP$3&lt;$M83), $A83, "")</f>
        <v/>
      </c>
      <c r="BP83" s="1" t="str">
        <f aca="false">IF(AND(BQ$3&gt;=$J83, BQ$3&lt;$M83), $A83, "")</f>
        <v/>
      </c>
    </row>
    <row r="84" customFormat="false" ht="15" hidden="false" customHeight="true" outlineLevel="0" collapsed="false">
      <c r="A84" s="46" t="str">
        <f aca="false">IF(Job_Master!A84="","",Job_Master!A84)</f>
        <v/>
      </c>
      <c r="B84" s="4" t="str">
        <f aca="false">IF($A84="","",Job_Master!B84)</f>
        <v/>
      </c>
      <c r="C84" s="4" t="str">
        <f aca="false">IF($A84="","",Job_Master!C84)</f>
        <v/>
      </c>
      <c r="D84" s="4" t="str">
        <f aca="false">IF($A84="","",Job_Master!D84)</f>
        <v/>
      </c>
      <c r="E84" s="48" t="str">
        <f aca="false">IF($A84="","",IFERROR(INDEX(Machine_List!$B$82:$B$86,MATCH("*"&amp;$B84&amp;"*",Machine_List!$J$82:$J$86,0)),"NO COMPATIBLE MACHINE"))</f>
        <v/>
      </c>
      <c r="F84" s="4" t="str">
        <f aca="false">IF($E84="","",IFERROR(VLOOKUP($E84,Machine_List!$B:$G,6,0),""))</f>
        <v/>
      </c>
      <c r="G84" s="55" t="str">
        <f aca="false">IF($E84="","",IFERROR(VLOOKUP($E84,Machine_List!$B:$C,2,0),""))</f>
        <v/>
      </c>
      <c r="H84" s="4" t="str">
        <f aca="false">IF($E84="","",IFERROR(VLOOKUP($E84,Machine_List!$B:$D,3,0),""))</f>
        <v/>
      </c>
      <c r="I84" s="56"/>
      <c r="J84" s="57" t="str">
        <f aca="true">IF($A84="","",IF($I84&lt;&gt;"",$I84,MAX(FID_Plan!$M84,IFERROR(LOOKUP(2,1/($E$3:INDIRECT("E"&amp;(ROW()-1))=$E84),$M$3:INDIRECT("M"&amp;(ROW()-1))),FID_Plan!$M84))))</f>
        <v/>
      </c>
      <c r="K84" s="4" t="str">
        <f aca="false">IF($A84="","",IFERROR(VLOOKUP(B84,CHOOSE(MATCH(C84,Settings!$L$4:$L$10,0),OPR_2P!$A$4:$I$18,SEG_6P!$A$4:$I$18,SOL_4P!$A$4:$I$18,RW_2P!$A$4:$I$18,RW2_4P!$A$4:$I$18,FLAP_4P!$A$4:$I$18,TUBE_4P!$A$4:$I$18),8,0),0))</f>
        <v/>
      </c>
      <c r="L84" s="4" t="str">
        <f aca="false">IF($A84="","",K84*D84)</f>
        <v/>
      </c>
      <c r="M84" s="57" t="str">
        <f aca="false">IF($A84="","",$J84+($L84/(IF(F84="Contract Workman",Settings!$K$5,Settings!$K$4))))</f>
        <v/>
      </c>
      <c r="N84" s="4" t="str">
        <f aca="false">IF($A84="","",IF(F84="Contract Workman",IF(AND(MOD(M84,1)&gt;=8/24,MOD(M84,1)&lt;20/24),"Shift S1","Shift S2"),IF(AND(MOD(M84,1)&gt;=7/24,MOD(M84,1)&lt;15/24),"Shift A",IF(AND(MOD(M84,1)&gt;=15/24,MOD(M84,1)&lt;23/24),"Shift B","Shift C"))))</f>
        <v/>
      </c>
      <c r="O84" s="52" t="str">
        <f aca="false"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3" t="str">
        <f aca="false">IF(AND(Q$3&gt;=$J84, Q$3&lt;$M84), $A84, "")</f>
        <v/>
      </c>
      <c r="Q84" s="53" t="str">
        <f aca="false">IF(AND(R$3&gt;=$J84, R$3&lt;$M84), $A84, "")</f>
        <v/>
      </c>
      <c r="R84" s="53" t="str">
        <f aca="false">IF(AND(S$3&gt;=$J84, S$3&lt;$M84), $A84, "")</f>
        <v/>
      </c>
      <c r="S84" s="53" t="str">
        <f aca="false">IF(AND(T$3&gt;=$J84, T$3&lt;$M84), $A84, "")</f>
        <v/>
      </c>
      <c r="T84" s="53" t="str">
        <f aca="false">IF(AND(U$3&gt;=$J84, U$3&lt;$M84), $A84, "")</f>
        <v/>
      </c>
      <c r="U84" s="53" t="str">
        <f aca="false">IF(AND(V$3&gt;=$J84, V$3&lt;$M84), $A84, "")</f>
        <v/>
      </c>
      <c r="V84" s="53" t="str">
        <f aca="false">IF(AND(W$3&gt;=$J84, W$3&lt;$M84), $A84, "")</f>
        <v/>
      </c>
      <c r="W84" s="53" t="str">
        <f aca="false">IF(AND(X$3&gt;=$J84, X$3&lt;$M84), $A84, "")</f>
        <v/>
      </c>
      <c r="X84" s="53" t="str">
        <f aca="false">IF(AND(Y$3&gt;=$J84, Y$3&lt;$M84), $A84, "")</f>
        <v/>
      </c>
      <c r="Y84" s="53" t="str">
        <f aca="false">IF(AND(Z$3&gt;=$J84, Z$3&lt;$M84), $A84, "")</f>
        <v/>
      </c>
      <c r="Z84" s="53" t="str">
        <f aca="false">IF(AND(AA$3&gt;=$J84, AA$3&lt;$M84), $A84, "")</f>
        <v/>
      </c>
      <c r="AA84" s="53" t="str">
        <f aca="false">IF(AND(AB$3&gt;=$J84, AB$3&lt;$M84), $A84, "")</f>
        <v/>
      </c>
      <c r="AB84" s="53" t="str">
        <f aca="false">IF(AND(AC$3&gt;=$J84, AC$3&lt;$M84), $A84, "")</f>
        <v/>
      </c>
      <c r="AC84" s="53" t="str">
        <f aca="false">IF(AND(AD$3&gt;=$J84, AD$3&lt;$M84), $A84, "")</f>
        <v/>
      </c>
      <c r="AD84" s="53" t="str">
        <f aca="false">IF(AND(AE$3&gt;=$J84, AE$3&lt;$M84), $A84, "")</f>
        <v/>
      </c>
      <c r="AE84" s="53" t="str">
        <f aca="false">IF(AND(AF$3&gt;=$J84, AF$3&lt;$M84), $A84, "")</f>
        <v/>
      </c>
      <c r="AF84" s="53" t="str">
        <f aca="false">IF(AND(AG$3&gt;=$J84, AG$3&lt;$M84), $A84, "")</f>
        <v/>
      </c>
      <c r="AG84" s="53" t="str">
        <f aca="false">IF(AND(AH$3&gt;=$J84, AH$3&lt;$M84), $A84, "")</f>
        <v/>
      </c>
      <c r="AH84" s="53" t="str">
        <f aca="false">IF(AND(AI$3&gt;=$J84, AI$3&lt;$M84), $A84, "")</f>
        <v/>
      </c>
      <c r="AI84" s="53" t="str">
        <f aca="false">IF(AND(AJ$3&gt;=$J84, AJ$3&lt;$M84), $A84, "")</f>
        <v/>
      </c>
      <c r="AJ84" s="53" t="str">
        <f aca="false">IF(AND(AK$3&gt;=$J84, AK$3&lt;$M84), $A84, "")</f>
        <v/>
      </c>
      <c r="AK84" s="53" t="str">
        <f aca="false">IF(AND(AL$3&gt;=$J84, AL$3&lt;$M84), $A84, "")</f>
        <v/>
      </c>
      <c r="AL84" s="53" t="str">
        <f aca="false">IF(AND(AM$3&gt;=$J84, AM$3&lt;$M84), $A84, "")</f>
        <v/>
      </c>
      <c r="AM84" s="53" t="str">
        <f aca="false">IF(AND(AN$3&gt;=$J84, AN$3&lt;$M84), $A84, "")</f>
        <v/>
      </c>
      <c r="AN84" s="53" t="str">
        <f aca="false">IF(AND(AO$3&gt;=$J84, AO$3&lt;$M84), $A84, "")</f>
        <v/>
      </c>
      <c r="AO84" s="53" t="str">
        <f aca="false">IF(AND(AP$3&gt;=$J84, AP$3&lt;$M84), $A84, "")</f>
        <v/>
      </c>
      <c r="AP84" s="53" t="str">
        <f aca="false">IF(AND(AQ$3&gt;=$J84, AQ$3&lt;$M84), $A84, "")</f>
        <v/>
      </c>
      <c r="AQ84" s="53" t="str">
        <f aca="false">IF(AND(AR$3&gt;=$J84, AR$3&lt;$M84), $A84, "")</f>
        <v/>
      </c>
      <c r="AR84" s="53" t="str">
        <f aca="false">IF(AND(AS$3&gt;=$J84, AS$3&lt;$M84), $A84, "")</f>
        <v/>
      </c>
      <c r="AS84" s="53" t="str">
        <f aca="false">IF(AND(AT$3&gt;=$J84, AT$3&lt;$M84), $A84, "")</f>
        <v/>
      </c>
      <c r="AT84" s="53" t="str">
        <f aca="false">IF(AND(AU$3&gt;=$J84, AU$3&lt;$M84), $A84, "")</f>
        <v/>
      </c>
      <c r="AU84" s="53" t="str">
        <f aca="false">IF(AND(AV$3&gt;=$J84, AV$3&lt;$M84), $A84, "")</f>
        <v/>
      </c>
      <c r="AV84" s="53" t="str">
        <f aca="false">IF(AND(AW$3&gt;=$J84, AW$3&lt;$M84), $A84, "")</f>
        <v/>
      </c>
      <c r="AW84" s="53" t="str">
        <f aca="false">IF(AND(AX$3&gt;=$J84, AX$3&lt;$M84), $A84, "")</f>
        <v/>
      </c>
      <c r="AX84" s="53" t="str">
        <f aca="false">IF(AND(AY$3&gt;=$J84, AY$3&lt;$M84), $A84, "")</f>
        <v/>
      </c>
      <c r="AY84" s="53" t="str">
        <f aca="false">IF(AND(AZ$3&gt;=$J84, AZ$3&lt;$M84), $A84, "")</f>
        <v/>
      </c>
      <c r="AZ84" s="53" t="str">
        <f aca="false">IF(AND(BA$3&gt;=$J84, BA$3&lt;$M84), $A84, "")</f>
        <v/>
      </c>
      <c r="BA84" s="53" t="str">
        <f aca="false">IF(AND(BB$3&gt;=$J84, BB$3&lt;$M84), $A84, "")</f>
        <v/>
      </c>
      <c r="BB84" s="53" t="str">
        <f aca="false">IF(AND(BC$3&gt;=$J84, BC$3&lt;$M84), $A84, "")</f>
        <v/>
      </c>
      <c r="BC84" s="53" t="str">
        <f aca="false">IF(AND(BD$3&gt;=$J84, BD$3&lt;$M84), $A84, "")</f>
        <v/>
      </c>
      <c r="BD84" s="53" t="str">
        <f aca="false">IF(AND(BE$3&gt;=$J84, BE$3&lt;$M84), $A84, "")</f>
        <v/>
      </c>
      <c r="BE84" s="53" t="str">
        <f aca="false">IF(AND(BF$3&gt;=$J84, BF$3&lt;$M84), $A84, "")</f>
        <v/>
      </c>
      <c r="BF84" s="53" t="str">
        <f aca="false">IF(AND(BG$3&gt;=$J84, BG$3&lt;$M84), $A84, "")</f>
        <v/>
      </c>
      <c r="BG84" s="53" t="str">
        <f aca="false">IF(AND(BH$3&gt;=$J84, BH$3&lt;$M84), $A84, "")</f>
        <v/>
      </c>
      <c r="BH84" s="53" t="str">
        <f aca="false">IF(AND(BI$3&gt;=$J84, BI$3&lt;$M84), $A84, "")</f>
        <v/>
      </c>
      <c r="BI84" s="53" t="str">
        <f aca="false">IF(AND(BJ$3&gt;=$J84, BJ$3&lt;$M84), $A84, "")</f>
        <v/>
      </c>
      <c r="BJ84" s="53" t="str">
        <f aca="false">IF(AND(BK$3&gt;=$J84, BK$3&lt;$M84), $A84, "")</f>
        <v/>
      </c>
      <c r="BK84" s="53" t="str">
        <f aca="false">IF(AND(BL$3&gt;=$J84, BL$3&lt;$M84), $A84, "")</f>
        <v/>
      </c>
      <c r="BL84" s="53" t="str">
        <f aca="false">IF(AND(BM$3&gt;=$J84, BM$3&lt;$M84), $A84, "")</f>
        <v/>
      </c>
      <c r="BM84" s="53" t="str">
        <f aca="false">IF(AND(BN$3&gt;=$J84, BN$3&lt;$M84), $A84, "")</f>
        <v/>
      </c>
      <c r="BN84" s="1" t="str">
        <f aca="false">IF(AND(BO$3&gt;=$J84, BO$3&lt;$M84), $A84, "")</f>
        <v/>
      </c>
      <c r="BO84" s="1" t="str">
        <f aca="false">IF(AND(BP$3&gt;=$J84, BP$3&lt;$M84), $A84, "")</f>
        <v/>
      </c>
      <c r="BP84" s="1" t="str">
        <f aca="false">IF(AND(BQ$3&gt;=$J84, BQ$3&lt;$M84), $A84, "")</f>
        <v/>
      </c>
    </row>
    <row r="85" customFormat="false" ht="15" hidden="false" customHeight="true" outlineLevel="0" collapsed="false">
      <c r="A85" s="46" t="str">
        <f aca="false">IF(Job_Master!A85="","",Job_Master!A85)</f>
        <v/>
      </c>
      <c r="B85" s="4" t="str">
        <f aca="false">IF($A85="","",Job_Master!B85)</f>
        <v/>
      </c>
      <c r="C85" s="4" t="str">
        <f aca="false">IF($A85="","",Job_Master!C85)</f>
        <v/>
      </c>
      <c r="D85" s="4" t="str">
        <f aca="false">IF($A85="","",Job_Master!D85)</f>
        <v/>
      </c>
      <c r="E85" s="48" t="str">
        <f aca="false">IF($A85="","",IFERROR(INDEX(Machine_List!$B$82:$B$86,MATCH("*"&amp;$B85&amp;"*",Machine_List!$J$82:$J$86,0)),"NO COMPATIBLE MACHINE"))</f>
        <v/>
      </c>
      <c r="F85" s="4" t="str">
        <f aca="false">IF($E85="","",IFERROR(VLOOKUP($E85,Machine_List!$B:$G,6,0),""))</f>
        <v/>
      </c>
      <c r="G85" s="55" t="str">
        <f aca="false">IF($E85="","",IFERROR(VLOOKUP($E85,Machine_List!$B:$C,2,0),""))</f>
        <v/>
      </c>
      <c r="H85" s="4" t="str">
        <f aca="false">IF($E85="","",IFERROR(VLOOKUP($E85,Machine_List!$B:$D,3,0),""))</f>
        <v/>
      </c>
      <c r="I85" s="56"/>
      <c r="J85" s="57" t="str">
        <f aca="true">IF($A85="","",IF($I85&lt;&gt;"",$I85,MAX(FID_Plan!$M85,IFERROR(LOOKUP(2,1/($E$3:INDIRECT("E"&amp;(ROW()-1))=$E85),$M$3:INDIRECT("M"&amp;(ROW()-1))),FID_Plan!$M85))))</f>
        <v/>
      </c>
      <c r="K85" s="4" t="str">
        <f aca="false">IF($A85="","",IFERROR(VLOOKUP(B85,CHOOSE(MATCH(C85,Settings!$L$4:$L$10,0),OPR_2P!$A$4:$I$18,SEG_6P!$A$4:$I$18,SOL_4P!$A$4:$I$18,RW_2P!$A$4:$I$18,RW2_4P!$A$4:$I$18,FLAP_4P!$A$4:$I$18,TUBE_4P!$A$4:$I$18),8,0),0))</f>
        <v/>
      </c>
      <c r="L85" s="4" t="str">
        <f aca="false">IF($A85="","",K85*D85)</f>
        <v/>
      </c>
      <c r="M85" s="57" t="str">
        <f aca="false">IF($A85="","",$J85+($L85/(IF(F85="Contract Workman",Settings!$K$5,Settings!$K$4))))</f>
        <v/>
      </c>
      <c r="N85" s="4" t="str">
        <f aca="false">IF($A85="","",IF(F85="Contract Workman",IF(AND(MOD(M85,1)&gt;=8/24,MOD(M85,1)&lt;20/24),"Shift S1","Shift S2"),IF(AND(MOD(M85,1)&gt;=7/24,MOD(M85,1)&lt;15/24),"Shift A",IF(AND(MOD(M85,1)&gt;=15/24,MOD(M85,1)&lt;23/24),"Shift B","Shift C"))))</f>
        <v/>
      </c>
      <c r="O85" s="52" t="str">
        <f aca="false"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3" t="str">
        <f aca="false">IF(AND(Q$3&gt;=$J85, Q$3&lt;$M85), $A85, "")</f>
        <v/>
      </c>
      <c r="Q85" s="53" t="str">
        <f aca="false">IF(AND(R$3&gt;=$J85, R$3&lt;$M85), $A85, "")</f>
        <v/>
      </c>
      <c r="R85" s="53" t="str">
        <f aca="false">IF(AND(S$3&gt;=$J85, S$3&lt;$M85), $A85, "")</f>
        <v/>
      </c>
      <c r="S85" s="53" t="str">
        <f aca="false">IF(AND(T$3&gt;=$J85, T$3&lt;$M85), $A85, "")</f>
        <v/>
      </c>
      <c r="T85" s="53" t="str">
        <f aca="false">IF(AND(U$3&gt;=$J85, U$3&lt;$M85), $A85, "")</f>
        <v/>
      </c>
      <c r="U85" s="53" t="str">
        <f aca="false">IF(AND(V$3&gt;=$J85, V$3&lt;$M85), $A85, "")</f>
        <v/>
      </c>
      <c r="V85" s="53" t="str">
        <f aca="false">IF(AND(W$3&gt;=$J85, W$3&lt;$M85), $A85, "")</f>
        <v/>
      </c>
      <c r="W85" s="53" t="str">
        <f aca="false">IF(AND(X$3&gt;=$J85, X$3&lt;$M85), $A85, "")</f>
        <v/>
      </c>
      <c r="X85" s="53" t="str">
        <f aca="false">IF(AND(Y$3&gt;=$J85, Y$3&lt;$M85), $A85, "")</f>
        <v/>
      </c>
      <c r="Y85" s="53" t="str">
        <f aca="false">IF(AND(Z$3&gt;=$J85, Z$3&lt;$M85), $A85, "")</f>
        <v/>
      </c>
      <c r="Z85" s="53" t="str">
        <f aca="false">IF(AND(AA$3&gt;=$J85, AA$3&lt;$M85), $A85, "")</f>
        <v/>
      </c>
      <c r="AA85" s="53" t="str">
        <f aca="false">IF(AND(AB$3&gt;=$J85, AB$3&lt;$M85), $A85, "")</f>
        <v/>
      </c>
      <c r="AB85" s="53" t="str">
        <f aca="false">IF(AND(AC$3&gt;=$J85, AC$3&lt;$M85), $A85, "")</f>
        <v/>
      </c>
      <c r="AC85" s="53" t="str">
        <f aca="false">IF(AND(AD$3&gt;=$J85, AD$3&lt;$M85), $A85, "")</f>
        <v/>
      </c>
      <c r="AD85" s="53" t="str">
        <f aca="false">IF(AND(AE$3&gt;=$J85, AE$3&lt;$M85), $A85, "")</f>
        <v/>
      </c>
      <c r="AE85" s="53" t="str">
        <f aca="false">IF(AND(AF$3&gt;=$J85, AF$3&lt;$M85), $A85, "")</f>
        <v/>
      </c>
      <c r="AF85" s="53" t="str">
        <f aca="false">IF(AND(AG$3&gt;=$J85, AG$3&lt;$M85), $A85, "")</f>
        <v/>
      </c>
      <c r="AG85" s="53" t="str">
        <f aca="false">IF(AND(AH$3&gt;=$J85, AH$3&lt;$M85), $A85, "")</f>
        <v/>
      </c>
      <c r="AH85" s="53" t="str">
        <f aca="false">IF(AND(AI$3&gt;=$J85, AI$3&lt;$M85), $A85, "")</f>
        <v/>
      </c>
      <c r="AI85" s="53" t="str">
        <f aca="false">IF(AND(AJ$3&gt;=$J85, AJ$3&lt;$M85), $A85, "")</f>
        <v/>
      </c>
      <c r="AJ85" s="53" t="str">
        <f aca="false">IF(AND(AK$3&gt;=$J85, AK$3&lt;$M85), $A85, "")</f>
        <v/>
      </c>
      <c r="AK85" s="53" t="str">
        <f aca="false">IF(AND(AL$3&gt;=$J85, AL$3&lt;$M85), $A85, "")</f>
        <v/>
      </c>
      <c r="AL85" s="53" t="str">
        <f aca="false">IF(AND(AM$3&gt;=$J85, AM$3&lt;$M85), $A85, "")</f>
        <v/>
      </c>
      <c r="AM85" s="53" t="str">
        <f aca="false">IF(AND(AN$3&gt;=$J85, AN$3&lt;$M85), $A85, "")</f>
        <v/>
      </c>
      <c r="AN85" s="53" t="str">
        <f aca="false">IF(AND(AO$3&gt;=$J85, AO$3&lt;$M85), $A85, "")</f>
        <v/>
      </c>
      <c r="AO85" s="53" t="str">
        <f aca="false">IF(AND(AP$3&gt;=$J85, AP$3&lt;$M85), $A85, "")</f>
        <v/>
      </c>
      <c r="AP85" s="53" t="str">
        <f aca="false">IF(AND(AQ$3&gt;=$J85, AQ$3&lt;$M85), $A85, "")</f>
        <v/>
      </c>
      <c r="AQ85" s="53" t="str">
        <f aca="false">IF(AND(AR$3&gt;=$J85, AR$3&lt;$M85), $A85, "")</f>
        <v/>
      </c>
      <c r="AR85" s="53" t="str">
        <f aca="false">IF(AND(AS$3&gt;=$J85, AS$3&lt;$M85), $A85, "")</f>
        <v/>
      </c>
      <c r="AS85" s="53" t="str">
        <f aca="false">IF(AND(AT$3&gt;=$J85, AT$3&lt;$M85), $A85, "")</f>
        <v/>
      </c>
      <c r="AT85" s="53" t="str">
        <f aca="false">IF(AND(AU$3&gt;=$J85, AU$3&lt;$M85), $A85, "")</f>
        <v/>
      </c>
      <c r="AU85" s="53" t="str">
        <f aca="false">IF(AND(AV$3&gt;=$J85, AV$3&lt;$M85), $A85, "")</f>
        <v/>
      </c>
      <c r="AV85" s="53" t="str">
        <f aca="false">IF(AND(AW$3&gt;=$J85, AW$3&lt;$M85), $A85, "")</f>
        <v/>
      </c>
      <c r="AW85" s="53" t="str">
        <f aca="false">IF(AND(AX$3&gt;=$J85, AX$3&lt;$M85), $A85, "")</f>
        <v/>
      </c>
      <c r="AX85" s="53" t="str">
        <f aca="false">IF(AND(AY$3&gt;=$J85, AY$3&lt;$M85), $A85, "")</f>
        <v/>
      </c>
      <c r="AY85" s="53" t="str">
        <f aca="false">IF(AND(AZ$3&gt;=$J85, AZ$3&lt;$M85), $A85, "")</f>
        <v/>
      </c>
      <c r="AZ85" s="53" t="str">
        <f aca="false">IF(AND(BA$3&gt;=$J85, BA$3&lt;$M85), $A85, "")</f>
        <v/>
      </c>
      <c r="BA85" s="53" t="str">
        <f aca="false">IF(AND(BB$3&gt;=$J85, BB$3&lt;$M85), $A85, "")</f>
        <v/>
      </c>
      <c r="BB85" s="53" t="str">
        <f aca="false">IF(AND(BC$3&gt;=$J85, BC$3&lt;$M85), $A85, "")</f>
        <v/>
      </c>
      <c r="BC85" s="53" t="str">
        <f aca="false">IF(AND(BD$3&gt;=$J85, BD$3&lt;$M85), $A85, "")</f>
        <v/>
      </c>
      <c r="BD85" s="53" t="str">
        <f aca="false">IF(AND(BE$3&gt;=$J85, BE$3&lt;$M85), $A85, "")</f>
        <v/>
      </c>
      <c r="BE85" s="53" t="str">
        <f aca="false">IF(AND(BF$3&gt;=$J85, BF$3&lt;$M85), $A85, "")</f>
        <v/>
      </c>
      <c r="BF85" s="53" t="str">
        <f aca="false">IF(AND(BG$3&gt;=$J85, BG$3&lt;$M85), $A85, "")</f>
        <v/>
      </c>
      <c r="BG85" s="53" t="str">
        <f aca="false">IF(AND(BH$3&gt;=$J85, BH$3&lt;$M85), $A85, "")</f>
        <v/>
      </c>
      <c r="BH85" s="53" t="str">
        <f aca="false">IF(AND(BI$3&gt;=$J85, BI$3&lt;$M85), $A85, "")</f>
        <v/>
      </c>
      <c r="BI85" s="53" t="str">
        <f aca="false">IF(AND(BJ$3&gt;=$J85, BJ$3&lt;$M85), $A85, "")</f>
        <v/>
      </c>
      <c r="BJ85" s="53" t="str">
        <f aca="false">IF(AND(BK$3&gt;=$J85, BK$3&lt;$M85), $A85, "")</f>
        <v/>
      </c>
      <c r="BK85" s="53" t="str">
        <f aca="false">IF(AND(BL$3&gt;=$J85, BL$3&lt;$M85), $A85, "")</f>
        <v/>
      </c>
      <c r="BL85" s="53" t="str">
        <f aca="false">IF(AND(BM$3&gt;=$J85, BM$3&lt;$M85), $A85, "")</f>
        <v/>
      </c>
      <c r="BM85" s="53" t="str">
        <f aca="false">IF(AND(BN$3&gt;=$J85, BN$3&lt;$M85), $A85, "")</f>
        <v/>
      </c>
      <c r="BN85" s="1" t="str">
        <f aca="false">IF(AND(BO$3&gt;=$J85, BO$3&lt;$M85), $A85, "")</f>
        <v/>
      </c>
      <c r="BO85" s="1" t="str">
        <f aca="false">IF(AND(BP$3&gt;=$J85, BP$3&lt;$M85), $A85, "")</f>
        <v/>
      </c>
      <c r="BP85" s="1" t="str">
        <f aca="false">IF(AND(BQ$3&gt;=$J85, BQ$3&lt;$M85), $A85, "")</f>
        <v/>
      </c>
    </row>
    <row r="86" customFormat="false" ht="15" hidden="false" customHeight="true" outlineLevel="0" collapsed="false">
      <c r="A86" s="46" t="str">
        <f aca="false">IF(Job_Master!A86="","",Job_Master!A86)</f>
        <v/>
      </c>
      <c r="B86" s="4" t="str">
        <f aca="false">IF($A86="","",Job_Master!B86)</f>
        <v/>
      </c>
      <c r="C86" s="4" t="str">
        <f aca="false">IF($A86="","",Job_Master!C86)</f>
        <v/>
      </c>
      <c r="D86" s="4" t="str">
        <f aca="false">IF($A86="","",Job_Master!D86)</f>
        <v/>
      </c>
      <c r="E86" s="48" t="str">
        <f aca="false">IF($A86="","",IFERROR(INDEX(Machine_List!$B$82:$B$86,MATCH("*"&amp;$B86&amp;"*",Machine_List!$J$82:$J$86,0)),"NO COMPATIBLE MACHINE"))</f>
        <v/>
      </c>
      <c r="F86" s="4" t="str">
        <f aca="false">IF($E86="","",IFERROR(VLOOKUP($E86,Machine_List!$B:$G,6,0),""))</f>
        <v/>
      </c>
      <c r="G86" s="55" t="str">
        <f aca="false">IF($E86="","",IFERROR(VLOOKUP($E86,Machine_List!$B:$C,2,0),""))</f>
        <v/>
      </c>
      <c r="H86" s="4" t="str">
        <f aca="false">IF($E86="","",IFERROR(VLOOKUP($E86,Machine_List!$B:$D,3,0),""))</f>
        <v/>
      </c>
      <c r="I86" s="56"/>
      <c r="J86" s="57" t="str">
        <f aca="true">IF($A86="","",IF($I86&lt;&gt;"",$I86,MAX(FID_Plan!$M86,IFERROR(LOOKUP(2,1/($E$3:INDIRECT("E"&amp;(ROW()-1))=$E86),$M$3:INDIRECT("M"&amp;(ROW()-1))),FID_Plan!$M86))))</f>
        <v/>
      </c>
      <c r="K86" s="4" t="str">
        <f aca="false">IF($A86="","",IFERROR(VLOOKUP(B86,CHOOSE(MATCH(C86,Settings!$L$4:$L$10,0),OPR_2P!$A$4:$I$18,SEG_6P!$A$4:$I$18,SOL_4P!$A$4:$I$18,RW_2P!$A$4:$I$18,RW2_4P!$A$4:$I$18,FLAP_4P!$A$4:$I$18,TUBE_4P!$A$4:$I$18),8,0),0))</f>
        <v/>
      </c>
      <c r="L86" s="4" t="str">
        <f aca="false">IF($A86="","",K86*D86)</f>
        <v/>
      </c>
      <c r="M86" s="57" t="str">
        <f aca="false">IF($A86="","",$J86+($L86/(IF(F86="Contract Workman",Settings!$K$5,Settings!$K$4))))</f>
        <v/>
      </c>
      <c r="N86" s="4" t="str">
        <f aca="false">IF($A86="","",IF(F86="Contract Workman",IF(AND(MOD(M86,1)&gt;=8/24,MOD(M86,1)&lt;20/24),"Shift S1","Shift S2"),IF(AND(MOD(M86,1)&gt;=7/24,MOD(M86,1)&lt;15/24),"Shift A",IF(AND(MOD(M86,1)&gt;=15/24,MOD(M86,1)&lt;23/24),"Shift B","Shift C"))))</f>
        <v/>
      </c>
      <c r="O86" s="52" t="str">
        <f aca="false"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3" t="str">
        <f aca="false">IF(AND(Q$3&gt;=$J86, Q$3&lt;$M86), $A86, "")</f>
        <v/>
      </c>
      <c r="Q86" s="53" t="str">
        <f aca="false">IF(AND(R$3&gt;=$J86, R$3&lt;$M86), $A86, "")</f>
        <v/>
      </c>
      <c r="R86" s="53" t="str">
        <f aca="false">IF(AND(S$3&gt;=$J86, S$3&lt;$M86), $A86, "")</f>
        <v/>
      </c>
      <c r="S86" s="53" t="str">
        <f aca="false">IF(AND(T$3&gt;=$J86, T$3&lt;$M86), $A86, "")</f>
        <v/>
      </c>
      <c r="T86" s="53" t="str">
        <f aca="false">IF(AND(U$3&gt;=$J86, U$3&lt;$M86), $A86, "")</f>
        <v/>
      </c>
      <c r="U86" s="53" t="str">
        <f aca="false">IF(AND(V$3&gt;=$J86, V$3&lt;$M86), $A86, "")</f>
        <v/>
      </c>
      <c r="V86" s="53" t="str">
        <f aca="false">IF(AND(W$3&gt;=$J86, W$3&lt;$M86), $A86, "")</f>
        <v/>
      </c>
      <c r="W86" s="53" t="str">
        <f aca="false">IF(AND(X$3&gt;=$J86, X$3&lt;$M86), $A86, "")</f>
        <v/>
      </c>
      <c r="X86" s="53" t="str">
        <f aca="false">IF(AND(Y$3&gt;=$J86, Y$3&lt;$M86), $A86, "")</f>
        <v/>
      </c>
      <c r="Y86" s="53" t="str">
        <f aca="false">IF(AND(Z$3&gt;=$J86, Z$3&lt;$M86), $A86, "")</f>
        <v/>
      </c>
      <c r="Z86" s="53" t="str">
        <f aca="false">IF(AND(AA$3&gt;=$J86, AA$3&lt;$M86), $A86, "")</f>
        <v/>
      </c>
      <c r="AA86" s="53" t="str">
        <f aca="false">IF(AND(AB$3&gt;=$J86, AB$3&lt;$M86), $A86, "")</f>
        <v/>
      </c>
      <c r="AB86" s="53" t="str">
        <f aca="false">IF(AND(AC$3&gt;=$J86, AC$3&lt;$M86), $A86, "")</f>
        <v/>
      </c>
      <c r="AC86" s="53" t="str">
        <f aca="false">IF(AND(AD$3&gt;=$J86, AD$3&lt;$M86), $A86, "")</f>
        <v/>
      </c>
      <c r="AD86" s="53" t="str">
        <f aca="false">IF(AND(AE$3&gt;=$J86, AE$3&lt;$M86), $A86, "")</f>
        <v/>
      </c>
      <c r="AE86" s="53" t="str">
        <f aca="false">IF(AND(AF$3&gt;=$J86, AF$3&lt;$M86), $A86, "")</f>
        <v/>
      </c>
      <c r="AF86" s="53" t="str">
        <f aca="false">IF(AND(AG$3&gt;=$J86, AG$3&lt;$M86), $A86, "")</f>
        <v/>
      </c>
      <c r="AG86" s="53" t="str">
        <f aca="false">IF(AND(AH$3&gt;=$J86, AH$3&lt;$M86), $A86, "")</f>
        <v/>
      </c>
      <c r="AH86" s="53" t="str">
        <f aca="false">IF(AND(AI$3&gt;=$J86, AI$3&lt;$M86), $A86, "")</f>
        <v/>
      </c>
      <c r="AI86" s="53" t="str">
        <f aca="false">IF(AND(AJ$3&gt;=$J86, AJ$3&lt;$M86), $A86, "")</f>
        <v/>
      </c>
      <c r="AJ86" s="53" t="str">
        <f aca="false">IF(AND(AK$3&gt;=$J86, AK$3&lt;$M86), $A86, "")</f>
        <v/>
      </c>
      <c r="AK86" s="53" t="str">
        <f aca="false">IF(AND(AL$3&gt;=$J86, AL$3&lt;$M86), $A86, "")</f>
        <v/>
      </c>
      <c r="AL86" s="53" t="str">
        <f aca="false">IF(AND(AM$3&gt;=$J86, AM$3&lt;$M86), $A86, "")</f>
        <v/>
      </c>
      <c r="AM86" s="53" t="str">
        <f aca="false">IF(AND(AN$3&gt;=$J86, AN$3&lt;$M86), $A86, "")</f>
        <v/>
      </c>
      <c r="AN86" s="53" t="str">
        <f aca="false">IF(AND(AO$3&gt;=$J86, AO$3&lt;$M86), $A86, "")</f>
        <v/>
      </c>
      <c r="AO86" s="53" t="str">
        <f aca="false">IF(AND(AP$3&gt;=$J86, AP$3&lt;$M86), $A86, "")</f>
        <v/>
      </c>
      <c r="AP86" s="53" t="str">
        <f aca="false">IF(AND(AQ$3&gt;=$J86, AQ$3&lt;$M86), $A86, "")</f>
        <v/>
      </c>
      <c r="AQ86" s="53" t="str">
        <f aca="false">IF(AND(AR$3&gt;=$J86, AR$3&lt;$M86), $A86, "")</f>
        <v/>
      </c>
      <c r="AR86" s="53" t="str">
        <f aca="false">IF(AND(AS$3&gt;=$J86, AS$3&lt;$M86), $A86, "")</f>
        <v/>
      </c>
      <c r="AS86" s="53" t="str">
        <f aca="false">IF(AND(AT$3&gt;=$J86, AT$3&lt;$M86), $A86, "")</f>
        <v/>
      </c>
      <c r="AT86" s="53" t="str">
        <f aca="false">IF(AND(AU$3&gt;=$J86, AU$3&lt;$M86), $A86, "")</f>
        <v/>
      </c>
      <c r="AU86" s="53" t="str">
        <f aca="false">IF(AND(AV$3&gt;=$J86, AV$3&lt;$M86), $A86, "")</f>
        <v/>
      </c>
      <c r="AV86" s="53" t="str">
        <f aca="false">IF(AND(AW$3&gt;=$J86, AW$3&lt;$M86), $A86, "")</f>
        <v/>
      </c>
      <c r="AW86" s="53" t="str">
        <f aca="false">IF(AND(AX$3&gt;=$J86, AX$3&lt;$M86), $A86, "")</f>
        <v/>
      </c>
      <c r="AX86" s="53" t="str">
        <f aca="false">IF(AND(AY$3&gt;=$J86, AY$3&lt;$M86), $A86, "")</f>
        <v/>
      </c>
      <c r="AY86" s="53" t="str">
        <f aca="false">IF(AND(AZ$3&gt;=$J86, AZ$3&lt;$M86), $A86, "")</f>
        <v/>
      </c>
      <c r="AZ86" s="53" t="str">
        <f aca="false">IF(AND(BA$3&gt;=$J86, BA$3&lt;$M86), $A86, "")</f>
        <v/>
      </c>
      <c r="BA86" s="53" t="str">
        <f aca="false">IF(AND(BB$3&gt;=$J86, BB$3&lt;$M86), $A86, "")</f>
        <v/>
      </c>
      <c r="BB86" s="53" t="str">
        <f aca="false">IF(AND(BC$3&gt;=$J86, BC$3&lt;$M86), $A86, "")</f>
        <v/>
      </c>
      <c r="BC86" s="53" t="str">
        <f aca="false">IF(AND(BD$3&gt;=$J86, BD$3&lt;$M86), $A86, "")</f>
        <v/>
      </c>
      <c r="BD86" s="53" t="str">
        <f aca="false">IF(AND(BE$3&gt;=$J86, BE$3&lt;$M86), $A86, "")</f>
        <v/>
      </c>
      <c r="BE86" s="53" t="str">
        <f aca="false">IF(AND(BF$3&gt;=$J86, BF$3&lt;$M86), $A86, "")</f>
        <v/>
      </c>
      <c r="BF86" s="53" t="str">
        <f aca="false">IF(AND(BG$3&gt;=$J86, BG$3&lt;$M86), $A86, "")</f>
        <v/>
      </c>
      <c r="BG86" s="53" t="str">
        <f aca="false">IF(AND(BH$3&gt;=$J86, BH$3&lt;$M86), $A86, "")</f>
        <v/>
      </c>
      <c r="BH86" s="53" t="str">
        <f aca="false">IF(AND(BI$3&gt;=$J86, BI$3&lt;$M86), $A86, "")</f>
        <v/>
      </c>
      <c r="BI86" s="53" t="str">
        <f aca="false">IF(AND(BJ$3&gt;=$J86, BJ$3&lt;$M86), $A86, "")</f>
        <v/>
      </c>
      <c r="BJ86" s="53" t="str">
        <f aca="false">IF(AND(BK$3&gt;=$J86, BK$3&lt;$M86), $A86, "")</f>
        <v/>
      </c>
      <c r="BK86" s="53" t="str">
        <f aca="false">IF(AND(BL$3&gt;=$J86, BL$3&lt;$M86), $A86, "")</f>
        <v/>
      </c>
      <c r="BL86" s="53" t="str">
        <f aca="false">IF(AND(BM$3&gt;=$J86, BM$3&lt;$M86), $A86, "")</f>
        <v/>
      </c>
      <c r="BM86" s="53" t="str">
        <f aca="false">IF(AND(BN$3&gt;=$J86, BN$3&lt;$M86), $A86, "")</f>
        <v/>
      </c>
      <c r="BN86" s="1" t="str">
        <f aca="false">IF(AND(BO$3&gt;=$J86, BO$3&lt;$M86), $A86, "")</f>
        <v/>
      </c>
      <c r="BO86" s="1" t="str">
        <f aca="false">IF(AND(BP$3&gt;=$J86, BP$3&lt;$M86), $A86, "")</f>
        <v/>
      </c>
      <c r="BP86" s="1" t="str">
        <f aca="false">IF(AND(BQ$3&gt;=$J86, BQ$3&lt;$M86), $A86, "")</f>
        <v/>
      </c>
    </row>
    <row r="87" customFormat="false" ht="15" hidden="false" customHeight="true" outlineLevel="0" collapsed="false">
      <c r="A87" s="46" t="str">
        <f aca="false">IF(Job_Master!A87="","",Job_Master!A87)</f>
        <v/>
      </c>
      <c r="B87" s="4" t="str">
        <f aca="false">IF($A87="","",Job_Master!B87)</f>
        <v/>
      </c>
      <c r="C87" s="4" t="str">
        <f aca="false">IF($A87="","",Job_Master!C87)</f>
        <v/>
      </c>
      <c r="D87" s="4" t="str">
        <f aca="false">IF($A87="","",Job_Master!D87)</f>
        <v/>
      </c>
      <c r="E87" s="48" t="str">
        <f aca="false">IF($A87="","",IFERROR(INDEX(Machine_List!$B$82:$B$86,MATCH("*"&amp;$B87&amp;"*",Machine_List!$J$82:$J$86,0)),"NO COMPATIBLE MACHINE"))</f>
        <v/>
      </c>
      <c r="F87" s="4" t="str">
        <f aca="false">IF($E87="","",IFERROR(VLOOKUP($E87,Machine_List!$B:$G,6,0),""))</f>
        <v/>
      </c>
      <c r="G87" s="55" t="str">
        <f aca="false">IF($E87="","",IFERROR(VLOOKUP($E87,Machine_List!$B:$C,2,0),""))</f>
        <v/>
      </c>
      <c r="H87" s="4" t="str">
        <f aca="false">IF($E87="","",IFERROR(VLOOKUP($E87,Machine_List!$B:$D,3,0),""))</f>
        <v/>
      </c>
      <c r="I87" s="56"/>
      <c r="J87" s="57" t="str">
        <f aca="true">IF($A87="","",IF($I87&lt;&gt;"",$I87,MAX(FID_Plan!$M87,IFERROR(LOOKUP(2,1/($E$3:INDIRECT("E"&amp;(ROW()-1))=$E87),$M$3:INDIRECT("M"&amp;(ROW()-1))),FID_Plan!$M87))))</f>
        <v/>
      </c>
      <c r="K87" s="4" t="str">
        <f aca="false">IF($A87="","",IFERROR(VLOOKUP(B87,CHOOSE(MATCH(C87,Settings!$L$4:$L$10,0),OPR_2P!$A$4:$I$18,SEG_6P!$A$4:$I$18,SOL_4P!$A$4:$I$18,RW_2P!$A$4:$I$18,RW2_4P!$A$4:$I$18,FLAP_4P!$A$4:$I$18,TUBE_4P!$A$4:$I$18),8,0),0))</f>
        <v/>
      </c>
      <c r="L87" s="4" t="str">
        <f aca="false">IF($A87="","",K87*D87)</f>
        <v/>
      </c>
      <c r="M87" s="57" t="str">
        <f aca="false">IF($A87="","",$J87+($L87/(IF(F87="Contract Workman",Settings!$K$5,Settings!$K$4))))</f>
        <v/>
      </c>
      <c r="N87" s="4" t="str">
        <f aca="false">IF($A87="","",IF(F87="Contract Workman",IF(AND(MOD(M87,1)&gt;=8/24,MOD(M87,1)&lt;20/24),"Shift S1","Shift S2"),IF(AND(MOD(M87,1)&gt;=7/24,MOD(M87,1)&lt;15/24),"Shift A",IF(AND(MOD(M87,1)&gt;=15/24,MOD(M87,1)&lt;23/24),"Shift B","Shift C"))))</f>
        <v/>
      </c>
      <c r="O87" s="52" t="str">
        <f aca="false"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3" t="str">
        <f aca="false">IF(AND(Q$3&gt;=$J87, Q$3&lt;$M87), $A87, "")</f>
        <v/>
      </c>
      <c r="Q87" s="53" t="str">
        <f aca="false">IF(AND(R$3&gt;=$J87, R$3&lt;$M87), $A87, "")</f>
        <v/>
      </c>
      <c r="R87" s="53" t="str">
        <f aca="false">IF(AND(S$3&gt;=$J87, S$3&lt;$M87), $A87, "")</f>
        <v/>
      </c>
      <c r="S87" s="53" t="str">
        <f aca="false">IF(AND(T$3&gt;=$J87, T$3&lt;$M87), $A87, "")</f>
        <v/>
      </c>
      <c r="T87" s="53" t="str">
        <f aca="false">IF(AND(U$3&gt;=$J87, U$3&lt;$M87), $A87, "")</f>
        <v/>
      </c>
      <c r="U87" s="53" t="str">
        <f aca="false">IF(AND(V$3&gt;=$J87, V$3&lt;$M87), $A87, "")</f>
        <v/>
      </c>
      <c r="V87" s="53" t="str">
        <f aca="false">IF(AND(W$3&gt;=$J87, W$3&lt;$M87), $A87, "")</f>
        <v/>
      </c>
      <c r="W87" s="53" t="str">
        <f aca="false">IF(AND(X$3&gt;=$J87, X$3&lt;$M87), $A87, "")</f>
        <v/>
      </c>
      <c r="X87" s="53" t="str">
        <f aca="false">IF(AND(Y$3&gt;=$J87, Y$3&lt;$M87), $A87, "")</f>
        <v/>
      </c>
      <c r="Y87" s="53" t="str">
        <f aca="false">IF(AND(Z$3&gt;=$J87, Z$3&lt;$M87), $A87, "")</f>
        <v/>
      </c>
      <c r="Z87" s="53" t="str">
        <f aca="false">IF(AND(AA$3&gt;=$J87, AA$3&lt;$M87), $A87, "")</f>
        <v/>
      </c>
      <c r="AA87" s="53" t="str">
        <f aca="false">IF(AND(AB$3&gt;=$J87, AB$3&lt;$M87), $A87, "")</f>
        <v/>
      </c>
      <c r="AB87" s="53" t="str">
        <f aca="false">IF(AND(AC$3&gt;=$J87, AC$3&lt;$M87), $A87, "")</f>
        <v/>
      </c>
      <c r="AC87" s="53" t="str">
        <f aca="false">IF(AND(AD$3&gt;=$J87, AD$3&lt;$M87), $A87, "")</f>
        <v/>
      </c>
      <c r="AD87" s="53" t="str">
        <f aca="false">IF(AND(AE$3&gt;=$J87, AE$3&lt;$M87), $A87, "")</f>
        <v/>
      </c>
      <c r="AE87" s="53" t="str">
        <f aca="false">IF(AND(AF$3&gt;=$J87, AF$3&lt;$M87), $A87, "")</f>
        <v/>
      </c>
      <c r="AF87" s="53" t="str">
        <f aca="false">IF(AND(AG$3&gt;=$J87, AG$3&lt;$M87), $A87, "")</f>
        <v/>
      </c>
      <c r="AG87" s="53" t="str">
        <f aca="false">IF(AND(AH$3&gt;=$J87, AH$3&lt;$M87), $A87, "")</f>
        <v/>
      </c>
      <c r="AH87" s="53" t="str">
        <f aca="false">IF(AND(AI$3&gt;=$J87, AI$3&lt;$M87), $A87, "")</f>
        <v/>
      </c>
      <c r="AI87" s="53" t="str">
        <f aca="false">IF(AND(AJ$3&gt;=$J87, AJ$3&lt;$M87), $A87, "")</f>
        <v/>
      </c>
      <c r="AJ87" s="53" t="str">
        <f aca="false">IF(AND(AK$3&gt;=$J87, AK$3&lt;$M87), $A87, "")</f>
        <v/>
      </c>
      <c r="AK87" s="53" t="str">
        <f aca="false">IF(AND(AL$3&gt;=$J87, AL$3&lt;$M87), $A87, "")</f>
        <v/>
      </c>
      <c r="AL87" s="53" t="str">
        <f aca="false">IF(AND(AM$3&gt;=$J87, AM$3&lt;$M87), $A87, "")</f>
        <v/>
      </c>
      <c r="AM87" s="53" t="str">
        <f aca="false">IF(AND(AN$3&gt;=$J87, AN$3&lt;$M87), $A87, "")</f>
        <v/>
      </c>
      <c r="AN87" s="53" t="str">
        <f aca="false">IF(AND(AO$3&gt;=$J87, AO$3&lt;$M87), $A87, "")</f>
        <v/>
      </c>
      <c r="AO87" s="53" t="str">
        <f aca="false">IF(AND(AP$3&gt;=$J87, AP$3&lt;$M87), $A87, "")</f>
        <v/>
      </c>
      <c r="AP87" s="53" t="str">
        <f aca="false">IF(AND(AQ$3&gt;=$J87, AQ$3&lt;$M87), $A87, "")</f>
        <v/>
      </c>
      <c r="AQ87" s="53" t="str">
        <f aca="false">IF(AND(AR$3&gt;=$J87, AR$3&lt;$M87), $A87, "")</f>
        <v/>
      </c>
      <c r="AR87" s="53" t="str">
        <f aca="false">IF(AND(AS$3&gt;=$J87, AS$3&lt;$M87), $A87, "")</f>
        <v/>
      </c>
      <c r="AS87" s="53" t="str">
        <f aca="false">IF(AND(AT$3&gt;=$J87, AT$3&lt;$M87), $A87, "")</f>
        <v/>
      </c>
      <c r="AT87" s="53" t="str">
        <f aca="false">IF(AND(AU$3&gt;=$J87, AU$3&lt;$M87), $A87, "")</f>
        <v/>
      </c>
      <c r="AU87" s="53" t="str">
        <f aca="false">IF(AND(AV$3&gt;=$J87, AV$3&lt;$M87), $A87, "")</f>
        <v/>
      </c>
      <c r="AV87" s="53" t="str">
        <f aca="false">IF(AND(AW$3&gt;=$J87, AW$3&lt;$M87), $A87, "")</f>
        <v/>
      </c>
      <c r="AW87" s="53" t="str">
        <f aca="false">IF(AND(AX$3&gt;=$J87, AX$3&lt;$M87), $A87, "")</f>
        <v/>
      </c>
      <c r="AX87" s="53" t="str">
        <f aca="false">IF(AND(AY$3&gt;=$J87, AY$3&lt;$M87), $A87, "")</f>
        <v/>
      </c>
      <c r="AY87" s="53" t="str">
        <f aca="false">IF(AND(AZ$3&gt;=$J87, AZ$3&lt;$M87), $A87, "")</f>
        <v/>
      </c>
      <c r="AZ87" s="53" t="str">
        <f aca="false">IF(AND(BA$3&gt;=$J87, BA$3&lt;$M87), $A87, "")</f>
        <v/>
      </c>
      <c r="BA87" s="53" t="str">
        <f aca="false">IF(AND(BB$3&gt;=$J87, BB$3&lt;$M87), $A87, "")</f>
        <v/>
      </c>
      <c r="BB87" s="53" t="str">
        <f aca="false">IF(AND(BC$3&gt;=$J87, BC$3&lt;$M87), $A87, "")</f>
        <v/>
      </c>
      <c r="BC87" s="53" t="str">
        <f aca="false">IF(AND(BD$3&gt;=$J87, BD$3&lt;$M87), $A87, "")</f>
        <v/>
      </c>
      <c r="BD87" s="53" t="str">
        <f aca="false">IF(AND(BE$3&gt;=$J87, BE$3&lt;$M87), $A87, "")</f>
        <v/>
      </c>
      <c r="BE87" s="53" t="str">
        <f aca="false">IF(AND(BF$3&gt;=$J87, BF$3&lt;$M87), $A87, "")</f>
        <v/>
      </c>
      <c r="BF87" s="53" t="str">
        <f aca="false">IF(AND(BG$3&gt;=$J87, BG$3&lt;$M87), $A87, "")</f>
        <v/>
      </c>
      <c r="BG87" s="53" t="str">
        <f aca="false">IF(AND(BH$3&gt;=$J87, BH$3&lt;$M87), $A87, "")</f>
        <v/>
      </c>
      <c r="BH87" s="53" t="str">
        <f aca="false">IF(AND(BI$3&gt;=$J87, BI$3&lt;$M87), $A87, "")</f>
        <v/>
      </c>
      <c r="BI87" s="53" t="str">
        <f aca="false">IF(AND(BJ$3&gt;=$J87, BJ$3&lt;$M87), $A87, "")</f>
        <v/>
      </c>
      <c r="BJ87" s="53" t="str">
        <f aca="false">IF(AND(BK$3&gt;=$J87, BK$3&lt;$M87), $A87, "")</f>
        <v/>
      </c>
      <c r="BK87" s="53" t="str">
        <f aca="false">IF(AND(BL$3&gt;=$J87, BL$3&lt;$M87), $A87, "")</f>
        <v/>
      </c>
      <c r="BL87" s="53" t="str">
        <f aca="false">IF(AND(BM$3&gt;=$J87, BM$3&lt;$M87), $A87, "")</f>
        <v/>
      </c>
      <c r="BM87" s="53" t="str">
        <f aca="false">IF(AND(BN$3&gt;=$J87, BN$3&lt;$M87), $A87, "")</f>
        <v/>
      </c>
      <c r="BN87" s="1" t="str">
        <f aca="false">IF(AND(BO$3&gt;=$J87, BO$3&lt;$M87), $A87, "")</f>
        <v/>
      </c>
      <c r="BO87" s="1" t="str">
        <f aca="false">IF(AND(BP$3&gt;=$J87, BP$3&lt;$M87), $A87, "")</f>
        <v/>
      </c>
      <c r="BP87" s="1" t="str">
        <f aca="false">IF(AND(BQ$3&gt;=$J87, BQ$3&lt;$M87), $A87, "")</f>
        <v/>
      </c>
    </row>
    <row r="88" customFormat="false" ht="15" hidden="false" customHeight="true" outlineLevel="0" collapsed="false">
      <c r="A88" s="46" t="str">
        <f aca="false">IF(Job_Master!A88="","",Job_Master!A88)</f>
        <v/>
      </c>
      <c r="B88" s="4" t="str">
        <f aca="false">IF($A88="","",Job_Master!B88)</f>
        <v/>
      </c>
      <c r="C88" s="4" t="str">
        <f aca="false">IF($A88="","",Job_Master!C88)</f>
        <v/>
      </c>
      <c r="D88" s="4" t="str">
        <f aca="false">IF($A88="","",Job_Master!D88)</f>
        <v/>
      </c>
      <c r="E88" s="48" t="str">
        <f aca="false">IF($A88="","",IFERROR(INDEX(Machine_List!$B$82:$B$86,MATCH("*"&amp;$B88&amp;"*",Machine_List!$J$82:$J$86,0)),"NO COMPATIBLE MACHINE"))</f>
        <v/>
      </c>
      <c r="F88" s="4" t="str">
        <f aca="false">IF($E88="","",IFERROR(VLOOKUP($E88,Machine_List!$B:$G,6,0),""))</f>
        <v/>
      </c>
      <c r="G88" s="55" t="str">
        <f aca="false">IF($E88="","",IFERROR(VLOOKUP($E88,Machine_List!$B:$C,2,0),""))</f>
        <v/>
      </c>
      <c r="H88" s="4" t="str">
        <f aca="false">IF($E88="","",IFERROR(VLOOKUP($E88,Machine_List!$B:$D,3,0),""))</f>
        <v/>
      </c>
      <c r="I88" s="56"/>
      <c r="J88" s="57" t="str">
        <f aca="true">IF($A88="","",IF($I88&lt;&gt;"",$I88,MAX(FID_Plan!$M88,IFERROR(LOOKUP(2,1/($E$3:INDIRECT("E"&amp;(ROW()-1))=$E88),$M$3:INDIRECT("M"&amp;(ROW()-1))),FID_Plan!$M88))))</f>
        <v/>
      </c>
      <c r="K88" s="4" t="str">
        <f aca="false">IF($A88="","",IFERROR(VLOOKUP(B88,CHOOSE(MATCH(C88,Settings!$L$4:$L$10,0),OPR_2P!$A$4:$I$18,SEG_6P!$A$4:$I$18,SOL_4P!$A$4:$I$18,RW_2P!$A$4:$I$18,RW2_4P!$A$4:$I$18,FLAP_4P!$A$4:$I$18,TUBE_4P!$A$4:$I$18),8,0),0))</f>
        <v/>
      </c>
      <c r="L88" s="4" t="str">
        <f aca="false">IF($A88="","",K88*D88)</f>
        <v/>
      </c>
      <c r="M88" s="57" t="str">
        <f aca="false">IF($A88="","",$J88+($L88/(IF(F88="Contract Workman",Settings!$K$5,Settings!$K$4))))</f>
        <v/>
      </c>
      <c r="N88" s="4" t="str">
        <f aca="false">IF($A88="","",IF(F88="Contract Workman",IF(AND(MOD(M88,1)&gt;=8/24,MOD(M88,1)&lt;20/24),"Shift S1","Shift S2"),IF(AND(MOD(M88,1)&gt;=7/24,MOD(M88,1)&lt;15/24),"Shift A",IF(AND(MOD(M88,1)&gt;=15/24,MOD(M88,1)&lt;23/24),"Shift B","Shift C"))))</f>
        <v/>
      </c>
      <c r="O88" s="52" t="str">
        <f aca="false"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3" t="str">
        <f aca="false">IF(AND(Q$3&gt;=$J88, Q$3&lt;$M88), $A88, "")</f>
        <v/>
      </c>
      <c r="Q88" s="53" t="str">
        <f aca="false">IF(AND(R$3&gt;=$J88, R$3&lt;$M88), $A88, "")</f>
        <v/>
      </c>
      <c r="R88" s="53" t="str">
        <f aca="false">IF(AND(S$3&gt;=$J88, S$3&lt;$M88), $A88, "")</f>
        <v/>
      </c>
      <c r="S88" s="53" t="str">
        <f aca="false">IF(AND(T$3&gt;=$J88, T$3&lt;$M88), $A88, "")</f>
        <v/>
      </c>
      <c r="T88" s="53" t="str">
        <f aca="false">IF(AND(U$3&gt;=$J88, U$3&lt;$M88), $A88, "")</f>
        <v/>
      </c>
      <c r="U88" s="53" t="str">
        <f aca="false">IF(AND(V$3&gt;=$J88, V$3&lt;$M88), $A88, "")</f>
        <v/>
      </c>
      <c r="V88" s="53" t="str">
        <f aca="false">IF(AND(W$3&gt;=$J88, W$3&lt;$M88), $A88, "")</f>
        <v/>
      </c>
      <c r="W88" s="53" t="str">
        <f aca="false">IF(AND(X$3&gt;=$J88, X$3&lt;$M88), $A88, "")</f>
        <v/>
      </c>
      <c r="X88" s="53" t="str">
        <f aca="false">IF(AND(Y$3&gt;=$J88, Y$3&lt;$M88), $A88, "")</f>
        <v/>
      </c>
      <c r="Y88" s="53" t="str">
        <f aca="false">IF(AND(Z$3&gt;=$J88, Z$3&lt;$M88), $A88, "")</f>
        <v/>
      </c>
      <c r="Z88" s="53" t="str">
        <f aca="false">IF(AND(AA$3&gt;=$J88, AA$3&lt;$M88), $A88, "")</f>
        <v/>
      </c>
      <c r="AA88" s="53" t="str">
        <f aca="false">IF(AND(AB$3&gt;=$J88, AB$3&lt;$M88), $A88, "")</f>
        <v/>
      </c>
      <c r="AB88" s="53" t="str">
        <f aca="false">IF(AND(AC$3&gt;=$J88, AC$3&lt;$M88), $A88, "")</f>
        <v/>
      </c>
      <c r="AC88" s="53" t="str">
        <f aca="false">IF(AND(AD$3&gt;=$J88, AD$3&lt;$M88), $A88, "")</f>
        <v/>
      </c>
      <c r="AD88" s="53" t="str">
        <f aca="false">IF(AND(AE$3&gt;=$J88, AE$3&lt;$M88), $A88, "")</f>
        <v/>
      </c>
      <c r="AE88" s="53" t="str">
        <f aca="false">IF(AND(AF$3&gt;=$J88, AF$3&lt;$M88), $A88, "")</f>
        <v/>
      </c>
      <c r="AF88" s="53" t="str">
        <f aca="false">IF(AND(AG$3&gt;=$J88, AG$3&lt;$M88), $A88, "")</f>
        <v/>
      </c>
      <c r="AG88" s="53" t="str">
        <f aca="false">IF(AND(AH$3&gt;=$J88, AH$3&lt;$M88), $A88, "")</f>
        <v/>
      </c>
      <c r="AH88" s="53" t="str">
        <f aca="false">IF(AND(AI$3&gt;=$J88, AI$3&lt;$M88), $A88, "")</f>
        <v/>
      </c>
      <c r="AI88" s="53" t="str">
        <f aca="false">IF(AND(AJ$3&gt;=$J88, AJ$3&lt;$M88), $A88, "")</f>
        <v/>
      </c>
      <c r="AJ88" s="53" t="str">
        <f aca="false">IF(AND(AK$3&gt;=$J88, AK$3&lt;$M88), $A88, "")</f>
        <v/>
      </c>
      <c r="AK88" s="53" t="str">
        <f aca="false">IF(AND(AL$3&gt;=$J88, AL$3&lt;$M88), $A88, "")</f>
        <v/>
      </c>
      <c r="AL88" s="53" t="str">
        <f aca="false">IF(AND(AM$3&gt;=$J88, AM$3&lt;$M88), $A88, "")</f>
        <v/>
      </c>
      <c r="AM88" s="53" t="str">
        <f aca="false">IF(AND(AN$3&gt;=$J88, AN$3&lt;$M88), $A88, "")</f>
        <v/>
      </c>
      <c r="AN88" s="53" t="str">
        <f aca="false">IF(AND(AO$3&gt;=$J88, AO$3&lt;$M88), $A88, "")</f>
        <v/>
      </c>
      <c r="AO88" s="53" t="str">
        <f aca="false">IF(AND(AP$3&gt;=$J88, AP$3&lt;$M88), $A88, "")</f>
        <v/>
      </c>
      <c r="AP88" s="53" t="str">
        <f aca="false">IF(AND(AQ$3&gt;=$J88, AQ$3&lt;$M88), $A88, "")</f>
        <v/>
      </c>
      <c r="AQ88" s="53" t="str">
        <f aca="false">IF(AND(AR$3&gt;=$J88, AR$3&lt;$M88), $A88, "")</f>
        <v/>
      </c>
      <c r="AR88" s="53" t="str">
        <f aca="false">IF(AND(AS$3&gt;=$J88, AS$3&lt;$M88), $A88, "")</f>
        <v/>
      </c>
      <c r="AS88" s="53" t="str">
        <f aca="false">IF(AND(AT$3&gt;=$J88, AT$3&lt;$M88), $A88, "")</f>
        <v/>
      </c>
      <c r="AT88" s="53" t="str">
        <f aca="false">IF(AND(AU$3&gt;=$J88, AU$3&lt;$M88), $A88, "")</f>
        <v/>
      </c>
      <c r="AU88" s="53" t="str">
        <f aca="false">IF(AND(AV$3&gt;=$J88, AV$3&lt;$M88), $A88, "")</f>
        <v/>
      </c>
      <c r="AV88" s="53" t="str">
        <f aca="false">IF(AND(AW$3&gt;=$J88, AW$3&lt;$M88), $A88, "")</f>
        <v/>
      </c>
      <c r="AW88" s="53" t="str">
        <f aca="false">IF(AND(AX$3&gt;=$J88, AX$3&lt;$M88), $A88, "")</f>
        <v/>
      </c>
      <c r="AX88" s="53" t="str">
        <f aca="false">IF(AND(AY$3&gt;=$J88, AY$3&lt;$M88), $A88, "")</f>
        <v/>
      </c>
      <c r="AY88" s="53" t="str">
        <f aca="false">IF(AND(AZ$3&gt;=$J88, AZ$3&lt;$M88), $A88, "")</f>
        <v/>
      </c>
      <c r="AZ88" s="53" t="str">
        <f aca="false">IF(AND(BA$3&gt;=$J88, BA$3&lt;$M88), $A88, "")</f>
        <v/>
      </c>
      <c r="BA88" s="53" t="str">
        <f aca="false">IF(AND(BB$3&gt;=$J88, BB$3&lt;$M88), $A88, "")</f>
        <v/>
      </c>
      <c r="BB88" s="53" t="str">
        <f aca="false">IF(AND(BC$3&gt;=$J88, BC$3&lt;$M88), $A88, "")</f>
        <v/>
      </c>
      <c r="BC88" s="53" t="str">
        <f aca="false">IF(AND(BD$3&gt;=$J88, BD$3&lt;$M88), $A88, "")</f>
        <v/>
      </c>
      <c r="BD88" s="53" t="str">
        <f aca="false">IF(AND(BE$3&gt;=$J88, BE$3&lt;$M88), $A88, "")</f>
        <v/>
      </c>
      <c r="BE88" s="53" t="str">
        <f aca="false">IF(AND(BF$3&gt;=$J88, BF$3&lt;$M88), $A88, "")</f>
        <v/>
      </c>
      <c r="BF88" s="53" t="str">
        <f aca="false">IF(AND(BG$3&gt;=$J88, BG$3&lt;$M88), $A88, "")</f>
        <v/>
      </c>
      <c r="BG88" s="53" t="str">
        <f aca="false">IF(AND(BH$3&gt;=$J88, BH$3&lt;$M88), $A88, "")</f>
        <v/>
      </c>
      <c r="BH88" s="53" t="str">
        <f aca="false">IF(AND(BI$3&gt;=$J88, BI$3&lt;$M88), $A88, "")</f>
        <v/>
      </c>
      <c r="BI88" s="53" t="str">
        <f aca="false">IF(AND(BJ$3&gt;=$J88, BJ$3&lt;$M88), $A88, "")</f>
        <v/>
      </c>
      <c r="BJ88" s="53" t="str">
        <f aca="false">IF(AND(BK$3&gt;=$J88, BK$3&lt;$M88), $A88, "")</f>
        <v/>
      </c>
      <c r="BK88" s="53" t="str">
        <f aca="false">IF(AND(BL$3&gt;=$J88, BL$3&lt;$M88), $A88, "")</f>
        <v/>
      </c>
      <c r="BL88" s="53" t="str">
        <f aca="false">IF(AND(BM$3&gt;=$J88, BM$3&lt;$M88), $A88, "")</f>
        <v/>
      </c>
      <c r="BM88" s="53" t="str">
        <f aca="false">IF(AND(BN$3&gt;=$J88, BN$3&lt;$M88), $A88, "")</f>
        <v/>
      </c>
      <c r="BN88" s="1" t="str">
        <f aca="false">IF(AND(BO$3&gt;=$J88, BO$3&lt;$M88), $A88, "")</f>
        <v/>
      </c>
      <c r="BO88" s="1" t="str">
        <f aca="false">IF(AND(BP$3&gt;=$J88, BP$3&lt;$M88), $A88, "")</f>
        <v/>
      </c>
      <c r="BP88" s="1" t="str">
        <f aca="false">IF(AND(BQ$3&gt;=$J88, BQ$3&lt;$M88), $A88, "")</f>
        <v/>
      </c>
    </row>
    <row r="89" customFormat="false" ht="15" hidden="false" customHeight="true" outlineLevel="0" collapsed="false">
      <c r="A89" s="46" t="str">
        <f aca="false">IF(Job_Master!A89="","",Job_Master!A89)</f>
        <v/>
      </c>
      <c r="B89" s="4" t="str">
        <f aca="false">IF($A89="","",Job_Master!B89)</f>
        <v/>
      </c>
      <c r="C89" s="4" t="str">
        <f aca="false">IF($A89="","",Job_Master!C89)</f>
        <v/>
      </c>
      <c r="D89" s="4" t="str">
        <f aca="false">IF($A89="","",Job_Master!D89)</f>
        <v/>
      </c>
      <c r="E89" s="48" t="str">
        <f aca="false">IF($A89="","",IFERROR(INDEX(Machine_List!$B$82:$B$86,MATCH("*"&amp;$B89&amp;"*",Machine_List!$J$82:$J$86,0)),"NO COMPATIBLE MACHINE"))</f>
        <v/>
      </c>
      <c r="F89" s="4" t="str">
        <f aca="false">IF($E89="","",IFERROR(VLOOKUP($E89,Machine_List!$B:$G,6,0),""))</f>
        <v/>
      </c>
      <c r="G89" s="55" t="str">
        <f aca="false">IF($E89="","",IFERROR(VLOOKUP($E89,Machine_List!$B:$C,2,0),""))</f>
        <v/>
      </c>
      <c r="H89" s="4" t="str">
        <f aca="false">IF($E89="","",IFERROR(VLOOKUP($E89,Machine_List!$B:$D,3,0),""))</f>
        <v/>
      </c>
      <c r="I89" s="56"/>
      <c r="J89" s="57" t="str">
        <f aca="true">IF($A89="","",IF($I89&lt;&gt;"",$I89,MAX(FID_Plan!$M89,IFERROR(LOOKUP(2,1/($E$3:INDIRECT("E"&amp;(ROW()-1))=$E89),$M$3:INDIRECT("M"&amp;(ROW()-1))),FID_Plan!$M89))))</f>
        <v/>
      </c>
      <c r="K89" s="4" t="str">
        <f aca="false">IF($A89="","",IFERROR(VLOOKUP(B89,CHOOSE(MATCH(C89,Settings!$L$4:$L$10,0),OPR_2P!$A$4:$I$18,SEG_6P!$A$4:$I$18,SOL_4P!$A$4:$I$18,RW_2P!$A$4:$I$18,RW2_4P!$A$4:$I$18,FLAP_4P!$A$4:$I$18,TUBE_4P!$A$4:$I$18),8,0),0))</f>
        <v/>
      </c>
      <c r="L89" s="4" t="str">
        <f aca="false">IF($A89="","",K89*D89)</f>
        <v/>
      </c>
      <c r="M89" s="57" t="str">
        <f aca="false">IF($A89="","",$J89+($L89/(IF(F89="Contract Workman",Settings!$K$5,Settings!$K$4))))</f>
        <v/>
      </c>
      <c r="N89" s="4" t="str">
        <f aca="false">IF($A89="","",IF(F89="Contract Workman",IF(AND(MOD(M89,1)&gt;=8/24,MOD(M89,1)&lt;20/24),"Shift S1","Shift S2"),IF(AND(MOD(M89,1)&gt;=7/24,MOD(M89,1)&lt;15/24),"Shift A",IF(AND(MOD(M89,1)&gt;=15/24,MOD(M89,1)&lt;23/24),"Shift B","Shift C"))))</f>
        <v/>
      </c>
      <c r="O89" s="52" t="str">
        <f aca="false"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3" t="str">
        <f aca="false">IF(AND(Q$3&gt;=$J89, Q$3&lt;$M89), $A89, "")</f>
        <v/>
      </c>
      <c r="Q89" s="53" t="str">
        <f aca="false">IF(AND(R$3&gt;=$J89, R$3&lt;$M89), $A89, "")</f>
        <v/>
      </c>
      <c r="R89" s="53" t="str">
        <f aca="false">IF(AND(S$3&gt;=$J89, S$3&lt;$M89), $A89, "")</f>
        <v/>
      </c>
      <c r="S89" s="53" t="str">
        <f aca="false">IF(AND(T$3&gt;=$J89, T$3&lt;$M89), $A89, "")</f>
        <v/>
      </c>
      <c r="T89" s="53" t="str">
        <f aca="false">IF(AND(U$3&gt;=$J89, U$3&lt;$M89), $A89, "")</f>
        <v/>
      </c>
      <c r="U89" s="53" t="str">
        <f aca="false">IF(AND(V$3&gt;=$J89, V$3&lt;$M89), $A89, "")</f>
        <v/>
      </c>
      <c r="V89" s="53" t="str">
        <f aca="false">IF(AND(W$3&gt;=$J89, W$3&lt;$M89), $A89, "")</f>
        <v/>
      </c>
      <c r="W89" s="53" t="str">
        <f aca="false">IF(AND(X$3&gt;=$J89, X$3&lt;$M89), $A89, "")</f>
        <v/>
      </c>
      <c r="X89" s="53" t="str">
        <f aca="false">IF(AND(Y$3&gt;=$J89, Y$3&lt;$M89), $A89, "")</f>
        <v/>
      </c>
      <c r="Y89" s="53" t="str">
        <f aca="false">IF(AND(Z$3&gt;=$J89, Z$3&lt;$M89), $A89, "")</f>
        <v/>
      </c>
      <c r="Z89" s="53" t="str">
        <f aca="false">IF(AND(AA$3&gt;=$J89, AA$3&lt;$M89), $A89, "")</f>
        <v/>
      </c>
      <c r="AA89" s="53" t="str">
        <f aca="false">IF(AND(AB$3&gt;=$J89, AB$3&lt;$M89), $A89, "")</f>
        <v/>
      </c>
      <c r="AB89" s="53" t="str">
        <f aca="false">IF(AND(AC$3&gt;=$J89, AC$3&lt;$M89), $A89, "")</f>
        <v/>
      </c>
      <c r="AC89" s="53" t="str">
        <f aca="false">IF(AND(AD$3&gt;=$J89, AD$3&lt;$M89), $A89, "")</f>
        <v/>
      </c>
      <c r="AD89" s="53" t="str">
        <f aca="false">IF(AND(AE$3&gt;=$J89, AE$3&lt;$M89), $A89, "")</f>
        <v/>
      </c>
      <c r="AE89" s="53" t="str">
        <f aca="false">IF(AND(AF$3&gt;=$J89, AF$3&lt;$M89), $A89, "")</f>
        <v/>
      </c>
      <c r="AF89" s="53" t="str">
        <f aca="false">IF(AND(AG$3&gt;=$J89, AG$3&lt;$M89), $A89, "")</f>
        <v/>
      </c>
      <c r="AG89" s="53" t="str">
        <f aca="false">IF(AND(AH$3&gt;=$J89, AH$3&lt;$M89), $A89, "")</f>
        <v/>
      </c>
      <c r="AH89" s="53" t="str">
        <f aca="false">IF(AND(AI$3&gt;=$J89, AI$3&lt;$M89), $A89, "")</f>
        <v/>
      </c>
      <c r="AI89" s="53" t="str">
        <f aca="false">IF(AND(AJ$3&gt;=$J89, AJ$3&lt;$M89), $A89, "")</f>
        <v/>
      </c>
      <c r="AJ89" s="53" t="str">
        <f aca="false">IF(AND(AK$3&gt;=$J89, AK$3&lt;$M89), $A89, "")</f>
        <v/>
      </c>
      <c r="AK89" s="53" t="str">
        <f aca="false">IF(AND(AL$3&gt;=$J89, AL$3&lt;$M89), $A89, "")</f>
        <v/>
      </c>
      <c r="AL89" s="53" t="str">
        <f aca="false">IF(AND(AM$3&gt;=$J89, AM$3&lt;$M89), $A89, "")</f>
        <v/>
      </c>
      <c r="AM89" s="53" t="str">
        <f aca="false">IF(AND(AN$3&gt;=$J89, AN$3&lt;$M89), $A89, "")</f>
        <v/>
      </c>
      <c r="AN89" s="53" t="str">
        <f aca="false">IF(AND(AO$3&gt;=$J89, AO$3&lt;$M89), $A89, "")</f>
        <v/>
      </c>
      <c r="AO89" s="53" t="str">
        <f aca="false">IF(AND(AP$3&gt;=$J89, AP$3&lt;$M89), $A89, "")</f>
        <v/>
      </c>
      <c r="AP89" s="53" t="str">
        <f aca="false">IF(AND(AQ$3&gt;=$J89, AQ$3&lt;$M89), $A89, "")</f>
        <v/>
      </c>
      <c r="AQ89" s="53" t="str">
        <f aca="false">IF(AND(AR$3&gt;=$J89, AR$3&lt;$M89), $A89, "")</f>
        <v/>
      </c>
      <c r="AR89" s="53" t="str">
        <f aca="false">IF(AND(AS$3&gt;=$J89, AS$3&lt;$M89), $A89, "")</f>
        <v/>
      </c>
      <c r="AS89" s="53" t="str">
        <f aca="false">IF(AND(AT$3&gt;=$J89, AT$3&lt;$M89), $A89, "")</f>
        <v/>
      </c>
      <c r="AT89" s="53" t="str">
        <f aca="false">IF(AND(AU$3&gt;=$J89, AU$3&lt;$M89), $A89, "")</f>
        <v/>
      </c>
      <c r="AU89" s="53" t="str">
        <f aca="false">IF(AND(AV$3&gt;=$J89, AV$3&lt;$M89), $A89, "")</f>
        <v/>
      </c>
      <c r="AV89" s="53" t="str">
        <f aca="false">IF(AND(AW$3&gt;=$J89, AW$3&lt;$M89), $A89, "")</f>
        <v/>
      </c>
      <c r="AW89" s="53" t="str">
        <f aca="false">IF(AND(AX$3&gt;=$J89, AX$3&lt;$M89), $A89, "")</f>
        <v/>
      </c>
      <c r="AX89" s="53" t="str">
        <f aca="false">IF(AND(AY$3&gt;=$J89, AY$3&lt;$M89), $A89, "")</f>
        <v/>
      </c>
      <c r="AY89" s="53" t="str">
        <f aca="false">IF(AND(AZ$3&gt;=$J89, AZ$3&lt;$M89), $A89, "")</f>
        <v/>
      </c>
      <c r="AZ89" s="53" t="str">
        <f aca="false">IF(AND(BA$3&gt;=$J89, BA$3&lt;$M89), $A89, "")</f>
        <v/>
      </c>
      <c r="BA89" s="53" t="str">
        <f aca="false">IF(AND(BB$3&gt;=$J89, BB$3&lt;$M89), $A89, "")</f>
        <v/>
      </c>
      <c r="BB89" s="53" t="str">
        <f aca="false">IF(AND(BC$3&gt;=$J89, BC$3&lt;$M89), $A89, "")</f>
        <v/>
      </c>
      <c r="BC89" s="53" t="str">
        <f aca="false">IF(AND(BD$3&gt;=$J89, BD$3&lt;$M89), $A89, "")</f>
        <v/>
      </c>
      <c r="BD89" s="53" t="str">
        <f aca="false">IF(AND(BE$3&gt;=$J89, BE$3&lt;$M89), $A89, "")</f>
        <v/>
      </c>
      <c r="BE89" s="53" t="str">
        <f aca="false">IF(AND(BF$3&gt;=$J89, BF$3&lt;$M89), $A89, "")</f>
        <v/>
      </c>
      <c r="BF89" s="53" t="str">
        <f aca="false">IF(AND(BG$3&gt;=$J89, BG$3&lt;$M89), $A89, "")</f>
        <v/>
      </c>
      <c r="BG89" s="53" t="str">
        <f aca="false">IF(AND(BH$3&gt;=$J89, BH$3&lt;$M89), $A89, "")</f>
        <v/>
      </c>
      <c r="BH89" s="53" t="str">
        <f aca="false">IF(AND(BI$3&gt;=$J89, BI$3&lt;$M89), $A89, "")</f>
        <v/>
      </c>
      <c r="BI89" s="53" t="str">
        <f aca="false">IF(AND(BJ$3&gt;=$J89, BJ$3&lt;$M89), $A89, "")</f>
        <v/>
      </c>
      <c r="BJ89" s="53" t="str">
        <f aca="false">IF(AND(BK$3&gt;=$J89, BK$3&lt;$M89), $A89, "")</f>
        <v/>
      </c>
      <c r="BK89" s="53" t="str">
        <f aca="false">IF(AND(BL$3&gt;=$J89, BL$3&lt;$M89), $A89, "")</f>
        <v/>
      </c>
      <c r="BL89" s="53" t="str">
        <f aca="false">IF(AND(BM$3&gt;=$J89, BM$3&lt;$M89), $A89, "")</f>
        <v/>
      </c>
      <c r="BM89" s="53" t="str">
        <f aca="false">IF(AND(BN$3&gt;=$J89, BN$3&lt;$M89), $A89, "")</f>
        <v/>
      </c>
      <c r="BN89" s="1" t="str">
        <f aca="false">IF(AND(BO$3&gt;=$J89, BO$3&lt;$M89), $A89, "")</f>
        <v/>
      </c>
      <c r="BO89" s="1" t="str">
        <f aca="false">IF(AND(BP$3&gt;=$J89, BP$3&lt;$M89), $A89, "")</f>
        <v/>
      </c>
      <c r="BP89" s="1" t="str">
        <f aca="false">IF(AND(BQ$3&gt;=$J89, BQ$3&lt;$M89), $A89, "")</f>
        <v/>
      </c>
    </row>
    <row r="90" customFormat="false" ht="15" hidden="false" customHeight="true" outlineLevel="0" collapsed="false">
      <c r="A90" s="46" t="str">
        <f aca="false">IF(Job_Master!A90="","",Job_Master!A90)</f>
        <v/>
      </c>
      <c r="B90" s="4" t="str">
        <f aca="false">IF($A90="","",Job_Master!B90)</f>
        <v/>
      </c>
      <c r="C90" s="4" t="str">
        <f aca="false">IF($A90="","",Job_Master!C90)</f>
        <v/>
      </c>
      <c r="D90" s="4" t="str">
        <f aca="false">IF($A90="","",Job_Master!D90)</f>
        <v/>
      </c>
      <c r="E90" s="48" t="str">
        <f aca="false">IF($A90="","",IFERROR(INDEX(Machine_List!$B$82:$B$86,MATCH("*"&amp;$B90&amp;"*",Machine_List!$J$82:$J$86,0)),"NO COMPATIBLE MACHINE"))</f>
        <v/>
      </c>
      <c r="F90" s="4" t="str">
        <f aca="false">IF($E90="","",IFERROR(VLOOKUP($E90,Machine_List!$B:$G,6,0),""))</f>
        <v/>
      </c>
      <c r="G90" s="55" t="str">
        <f aca="false">IF($E90="","",IFERROR(VLOOKUP($E90,Machine_List!$B:$C,2,0),""))</f>
        <v/>
      </c>
      <c r="H90" s="4" t="str">
        <f aca="false">IF($E90="","",IFERROR(VLOOKUP($E90,Machine_List!$B:$D,3,0),""))</f>
        <v/>
      </c>
      <c r="I90" s="56"/>
      <c r="J90" s="57" t="str">
        <f aca="true">IF($A90="","",IF($I90&lt;&gt;"",$I90,MAX(FID_Plan!$M90,IFERROR(LOOKUP(2,1/($E$3:INDIRECT("E"&amp;(ROW()-1))=$E90),$M$3:INDIRECT("M"&amp;(ROW()-1))),FID_Plan!$M90))))</f>
        <v/>
      </c>
      <c r="K90" s="4" t="str">
        <f aca="false">IF($A90="","",IFERROR(VLOOKUP(B90,CHOOSE(MATCH(C90,Settings!$L$4:$L$10,0),OPR_2P!$A$4:$I$18,SEG_6P!$A$4:$I$18,SOL_4P!$A$4:$I$18,RW_2P!$A$4:$I$18,RW2_4P!$A$4:$I$18,FLAP_4P!$A$4:$I$18,TUBE_4P!$A$4:$I$18),8,0),0))</f>
        <v/>
      </c>
      <c r="L90" s="4" t="str">
        <f aca="false">IF($A90="","",K90*D90)</f>
        <v/>
      </c>
      <c r="M90" s="57" t="str">
        <f aca="false">IF($A90="","",$J90+($L90/(IF(F90="Contract Workman",Settings!$K$5,Settings!$K$4))))</f>
        <v/>
      </c>
      <c r="N90" s="4" t="str">
        <f aca="false">IF($A90="","",IF(F90="Contract Workman",IF(AND(MOD(M90,1)&gt;=8/24,MOD(M90,1)&lt;20/24),"Shift S1","Shift S2"),IF(AND(MOD(M90,1)&gt;=7/24,MOD(M90,1)&lt;15/24),"Shift A",IF(AND(MOD(M90,1)&gt;=15/24,MOD(M90,1)&lt;23/24),"Shift B","Shift C"))))</f>
        <v/>
      </c>
      <c r="O90" s="52" t="str">
        <f aca="false"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3" t="str">
        <f aca="false">IF(AND(Q$3&gt;=$J90, Q$3&lt;$M90), $A90, "")</f>
        <v/>
      </c>
      <c r="Q90" s="53" t="str">
        <f aca="false">IF(AND(R$3&gt;=$J90, R$3&lt;$M90), $A90, "")</f>
        <v/>
      </c>
      <c r="R90" s="53" t="str">
        <f aca="false">IF(AND(S$3&gt;=$J90, S$3&lt;$M90), $A90, "")</f>
        <v/>
      </c>
      <c r="S90" s="53" t="str">
        <f aca="false">IF(AND(T$3&gt;=$J90, T$3&lt;$M90), $A90, "")</f>
        <v/>
      </c>
      <c r="T90" s="53" t="str">
        <f aca="false">IF(AND(U$3&gt;=$J90, U$3&lt;$M90), $A90, "")</f>
        <v/>
      </c>
      <c r="U90" s="53" t="str">
        <f aca="false">IF(AND(V$3&gt;=$J90, V$3&lt;$M90), $A90, "")</f>
        <v/>
      </c>
      <c r="V90" s="53" t="str">
        <f aca="false">IF(AND(W$3&gt;=$J90, W$3&lt;$M90), $A90, "")</f>
        <v/>
      </c>
      <c r="W90" s="53" t="str">
        <f aca="false">IF(AND(X$3&gt;=$J90, X$3&lt;$M90), $A90, "")</f>
        <v/>
      </c>
      <c r="X90" s="53" t="str">
        <f aca="false">IF(AND(Y$3&gt;=$J90, Y$3&lt;$M90), $A90, "")</f>
        <v/>
      </c>
      <c r="Y90" s="53" t="str">
        <f aca="false">IF(AND(Z$3&gt;=$J90, Z$3&lt;$M90), $A90, "")</f>
        <v/>
      </c>
      <c r="Z90" s="53" t="str">
        <f aca="false">IF(AND(AA$3&gt;=$J90, AA$3&lt;$M90), $A90, "")</f>
        <v/>
      </c>
      <c r="AA90" s="53" t="str">
        <f aca="false">IF(AND(AB$3&gt;=$J90, AB$3&lt;$M90), $A90, "")</f>
        <v/>
      </c>
      <c r="AB90" s="53" t="str">
        <f aca="false">IF(AND(AC$3&gt;=$J90, AC$3&lt;$M90), $A90, "")</f>
        <v/>
      </c>
      <c r="AC90" s="53" t="str">
        <f aca="false">IF(AND(AD$3&gt;=$J90, AD$3&lt;$M90), $A90, "")</f>
        <v/>
      </c>
      <c r="AD90" s="53" t="str">
        <f aca="false">IF(AND(AE$3&gt;=$J90, AE$3&lt;$M90), $A90, "")</f>
        <v/>
      </c>
      <c r="AE90" s="53" t="str">
        <f aca="false">IF(AND(AF$3&gt;=$J90, AF$3&lt;$M90), $A90, "")</f>
        <v/>
      </c>
      <c r="AF90" s="53" t="str">
        <f aca="false">IF(AND(AG$3&gt;=$J90, AG$3&lt;$M90), $A90, "")</f>
        <v/>
      </c>
      <c r="AG90" s="53" t="str">
        <f aca="false">IF(AND(AH$3&gt;=$J90, AH$3&lt;$M90), $A90, "")</f>
        <v/>
      </c>
      <c r="AH90" s="53" t="str">
        <f aca="false">IF(AND(AI$3&gt;=$J90, AI$3&lt;$M90), $A90, "")</f>
        <v/>
      </c>
      <c r="AI90" s="53" t="str">
        <f aca="false">IF(AND(AJ$3&gt;=$J90, AJ$3&lt;$M90), $A90, "")</f>
        <v/>
      </c>
      <c r="AJ90" s="53" t="str">
        <f aca="false">IF(AND(AK$3&gt;=$J90, AK$3&lt;$M90), $A90, "")</f>
        <v/>
      </c>
      <c r="AK90" s="53" t="str">
        <f aca="false">IF(AND(AL$3&gt;=$J90, AL$3&lt;$M90), $A90, "")</f>
        <v/>
      </c>
      <c r="AL90" s="53" t="str">
        <f aca="false">IF(AND(AM$3&gt;=$J90, AM$3&lt;$M90), $A90, "")</f>
        <v/>
      </c>
      <c r="AM90" s="53" t="str">
        <f aca="false">IF(AND(AN$3&gt;=$J90, AN$3&lt;$M90), $A90, "")</f>
        <v/>
      </c>
      <c r="AN90" s="53" t="str">
        <f aca="false">IF(AND(AO$3&gt;=$J90, AO$3&lt;$M90), $A90, "")</f>
        <v/>
      </c>
      <c r="AO90" s="53" t="str">
        <f aca="false">IF(AND(AP$3&gt;=$J90, AP$3&lt;$M90), $A90, "")</f>
        <v/>
      </c>
      <c r="AP90" s="53" t="str">
        <f aca="false">IF(AND(AQ$3&gt;=$J90, AQ$3&lt;$M90), $A90, "")</f>
        <v/>
      </c>
      <c r="AQ90" s="53" t="str">
        <f aca="false">IF(AND(AR$3&gt;=$J90, AR$3&lt;$M90), $A90, "")</f>
        <v/>
      </c>
      <c r="AR90" s="53" t="str">
        <f aca="false">IF(AND(AS$3&gt;=$J90, AS$3&lt;$M90), $A90, "")</f>
        <v/>
      </c>
      <c r="AS90" s="53" t="str">
        <f aca="false">IF(AND(AT$3&gt;=$J90, AT$3&lt;$M90), $A90, "")</f>
        <v/>
      </c>
      <c r="AT90" s="53" t="str">
        <f aca="false">IF(AND(AU$3&gt;=$J90, AU$3&lt;$M90), $A90, "")</f>
        <v/>
      </c>
      <c r="AU90" s="53" t="str">
        <f aca="false">IF(AND(AV$3&gt;=$J90, AV$3&lt;$M90), $A90, "")</f>
        <v/>
      </c>
      <c r="AV90" s="53" t="str">
        <f aca="false">IF(AND(AW$3&gt;=$J90, AW$3&lt;$M90), $A90, "")</f>
        <v/>
      </c>
      <c r="AW90" s="53" t="str">
        <f aca="false">IF(AND(AX$3&gt;=$J90, AX$3&lt;$M90), $A90, "")</f>
        <v/>
      </c>
      <c r="AX90" s="53" t="str">
        <f aca="false">IF(AND(AY$3&gt;=$J90, AY$3&lt;$M90), $A90, "")</f>
        <v/>
      </c>
      <c r="AY90" s="53" t="str">
        <f aca="false">IF(AND(AZ$3&gt;=$J90, AZ$3&lt;$M90), $A90, "")</f>
        <v/>
      </c>
      <c r="AZ90" s="53" t="str">
        <f aca="false">IF(AND(BA$3&gt;=$J90, BA$3&lt;$M90), $A90, "")</f>
        <v/>
      </c>
      <c r="BA90" s="53" t="str">
        <f aca="false">IF(AND(BB$3&gt;=$J90, BB$3&lt;$M90), $A90, "")</f>
        <v/>
      </c>
      <c r="BB90" s="53" t="str">
        <f aca="false">IF(AND(BC$3&gt;=$J90, BC$3&lt;$M90), $A90, "")</f>
        <v/>
      </c>
      <c r="BC90" s="53" t="str">
        <f aca="false">IF(AND(BD$3&gt;=$J90, BD$3&lt;$M90), $A90, "")</f>
        <v/>
      </c>
      <c r="BD90" s="53" t="str">
        <f aca="false">IF(AND(BE$3&gt;=$J90, BE$3&lt;$M90), $A90, "")</f>
        <v/>
      </c>
      <c r="BE90" s="53" t="str">
        <f aca="false">IF(AND(BF$3&gt;=$J90, BF$3&lt;$M90), $A90, "")</f>
        <v/>
      </c>
      <c r="BF90" s="53" t="str">
        <f aca="false">IF(AND(BG$3&gt;=$J90, BG$3&lt;$M90), $A90, "")</f>
        <v/>
      </c>
      <c r="BG90" s="53" t="str">
        <f aca="false">IF(AND(BH$3&gt;=$J90, BH$3&lt;$M90), $A90, "")</f>
        <v/>
      </c>
      <c r="BH90" s="53" t="str">
        <f aca="false">IF(AND(BI$3&gt;=$J90, BI$3&lt;$M90), $A90, "")</f>
        <v/>
      </c>
      <c r="BI90" s="53" t="str">
        <f aca="false">IF(AND(BJ$3&gt;=$J90, BJ$3&lt;$M90), $A90, "")</f>
        <v/>
      </c>
      <c r="BJ90" s="53" t="str">
        <f aca="false">IF(AND(BK$3&gt;=$J90, BK$3&lt;$M90), $A90, "")</f>
        <v/>
      </c>
      <c r="BK90" s="53" t="str">
        <f aca="false">IF(AND(BL$3&gt;=$J90, BL$3&lt;$M90), $A90, "")</f>
        <v/>
      </c>
      <c r="BL90" s="53" t="str">
        <f aca="false">IF(AND(BM$3&gt;=$J90, BM$3&lt;$M90), $A90, "")</f>
        <v/>
      </c>
      <c r="BM90" s="53" t="str">
        <f aca="false">IF(AND(BN$3&gt;=$J90, BN$3&lt;$M90), $A90, "")</f>
        <v/>
      </c>
      <c r="BN90" s="1" t="str">
        <f aca="false">IF(AND(BO$3&gt;=$J90, BO$3&lt;$M90), $A90, "")</f>
        <v/>
      </c>
      <c r="BO90" s="1" t="str">
        <f aca="false">IF(AND(BP$3&gt;=$J90, BP$3&lt;$M90), $A90, "")</f>
        <v/>
      </c>
      <c r="BP90" s="1" t="str">
        <f aca="false">IF(AND(BQ$3&gt;=$J90, BQ$3&lt;$M90), $A90, "")</f>
        <v/>
      </c>
    </row>
    <row r="91" customFormat="false" ht="15" hidden="false" customHeight="true" outlineLevel="0" collapsed="false">
      <c r="A91" s="46" t="str">
        <f aca="false">IF(Job_Master!A91="","",Job_Master!A91)</f>
        <v/>
      </c>
      <c r="B91" s="4" t="str">
        <f aca="false">IF($A91="","",Job_Master!B91)</f>
        <v/>
      </c>
      <c r="C91" s="4" t="str">
        <f aca="false">IF($A91="","",Job_Master!C91)</f>
        <v/>
      </c>
      <c r="D91" s="4" t="str">
        <f aca="false">IF($A91="","",Job_Master!D91)</f>
        <v/>
      </c>
      <c r="E91" s="48" t="str">
        <f aca="false">IF($A91="","",IFERROR(INDEX(Machine_List!$B$82:$B$86,MATCH("*"&amp;$B91&amp;"*",Machine_List!$J$82:$J$86,0)),"NO COMPATIBLE MACHINE"))</f>
        <v/>
      </c>
      <c r="F91" s="4" t="str">
        <f aca="false">IF($E91="","",IFERROR(VLOOKUP($E91,Machine_List!$B:$G,6,0),""))</f>
        <v/>
      </c>
      <c r="G91" s="55" t="str">
        <f aca="false">IF($E91="","",IFERROR(VLOOKUP($E91,Machine_List!$B:$C,2,0),""))</f>
        <v/>
      </c>
      <c r="H91" s="4" t="str">
        <f aca="false">IF($E91="","",IFERROR(VLOOKUP($E91,Machine_List!$B:$D,3,0),""))</f>
        <v/>
      </c>
      <c r="I91" s="56"/>
      <c r="J91" s="57" t="str">
        <f aca="true">IF($A91="","",IF($I91&lt;&gt;"",$I91,MAX(FID_Plan!$M91,IFERROR(LOOKUP(2,1/($E$3:INDIRECT("E"&amp;(ROW()-1))=$E91),$M$3:INDIRECT("M"&amp;(ROW()-1))),FID_Plan!$M91))))</f>
        <v/>
      </c>
      <c r="K91" s="4" t="str">
        <f aca="false">IF($A91="","",IFERROR(VLOOKUP(B91,CHOOSE(MATCH(C91,Settings!$L$4:$L$10,0),OPR_2P!$A$4:$I$18,SEG_6P!$A$4:$I$18,SOL_4P!$A$4:$I$18,RW_2P!$A$4:$I$18,RW2_4P!$A$4:$I$18,FLAP_4P!$A$4:$I$18,TUBE_4P!$A$4:$I$18),8,0),0))</f>
        <v/>
      </c>
      <c r="L91" s="4" t="str">
        <f aca="false">IF($A91="","",K91*D91)</f>
        <v/>
      </c>
      <c r="M91" s="57" t="str">
        <f aca="false">IF($A91="","",$J91+($L91/(IF(F91="Contract Workman",Settings!$K$5,Settings!$K$4))))</f>
        <v/>
      </c>
      <c r="N91" s="4" t="str">
        <f aca="false">IF($A91="","",IF(F91="Contract Workman",IF(AND(MOD(M91,1)&gt;=8/24,MOD(M91,1)&lt;20/24),"Shift S1","Shift S2"),IF(AND(MOD(M91,1)&gt;=7/24,MOD(M91,1)&lt;15/24),"Shift A",IF(AND(MOD(M91,1)&gt;=15/24,MOD(M91,1)&lt;23/24),"Shift B","Shift C"))))</f>
        <v/>
      </c>
      <c r="O91" s="52" t="str">
        <f aca="false"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3" t="str">
        <f aca="false">IF(AND(Q$3&gt;=$J91, Q$3&lt;$M91), $A91, "")</f>
        <v/>
      </c>
      <c r="Q91" s="53" t="str">
        <f aca="false">IF(AND(R$3&gt;=$J91, R$3&lt;$M91), $A91, "")</f>
        <v/>
      </c>
      <c r="R91" s="53" t="str">
        <f aca="false">IF(AND(S$3&gt;=$J91, S$3&lt;$M91), $A91, "")</f>
        <v/>
      </c>
      <c r="S91" s="53" t="str">
        <f aca="false">IF(AND(T$3&gt;=$J91, T$3&lt;$M91), $A91, "")</f>
        <v/>
      </c>
      <c r="T91" s="53" t="str">
        <f aca="false">IF(AND(U$3&gt;=$J91, U$3&lt;$M91), $A91, "")</f>
        <v/>
      </c>
      <c r="U91" s="53" t="str">
        <f aca="false">IF(AND(V$3&gt;=$J91, V$3&lt;$M91), $A91, "")</f>
        <v/>
      </c>
      <c r="V91" s="53" t="str">
        <f aca="false">IF(AND(W$3&gt;=$J91, W$3&lt;$M91), $A91, "")</f>
        <v/>
      </c>
      <c r="W91" s="53" t="str">
        <f aca="false">IF(AND(X$3&gt;=$J91, X$3&lt;$M91), $A91, "")</f>
        <v/>
      </c>
      <c r="X91" s="53" t="str">
        <f aca="false">IF(AND(Y$3&gt;=$J91, Y$3&lt;$M91), $A91, "")</f>
        <v/>
      </c>
      <c r="Y91" s="53" t="str">
        <f aca="false">IF(AND(Z$3&gt;=$J91, Z$3&lt;$M91), $A91, "")</f>
        <v/>
      </c>
      <c r="Z91" s="53" t="str">
        <f aca="false">IF(AND(AA$3&gt;=$J91, AA$3&lt;$M91), $A91, "")</f>
        <v/>
      </c>
      <c r="AA91" s="53" t="str">
        <f aca="false">IF(AND(AB$3&gt;=$J91, AB$3&lt;$M91), $A91, "")</f>
        <v/>
      </c>
      <c r="AB91" s="53" t="str">
        <f aca="false">IF(AND(AC$3&gt;=$J91, AC$3&lt;$M91), $A91, "")</f>
        <v/>
      </c>
      <c r="AC91" s="53" t="str">
        <f aca="false">IF(AND(AD$3&gt;=$J91, AD$3&lt;$M91), $A91, "")</f>
        <v/>
      </c>
      <c r="AD91" s="53" t="str">
        <f aca="false">IF(AND(AE$3&gt;=$J91, AE$3&lt;$M91), $A91, "")</f>
        <v/>
      </c>
      <c r="AE91" s="53" t="str">
        <f aca="false">IF(AND(AF$3&gt;=$J91, AF$3&lt;$M91), $A91, "")</f>
        <v/>
      </c>
      <c r="AF91" s="53" t="str">
        <f aca="false">IF(AND(AG$3&gt;=$J91, AG$3&lt;$M91), $A91, "")</f>
        <v/>
      </c>
      <c r="AG91" s="53" t="str">
        <f aca="false">IF(AND(AH$3&gt;=$J91, AH$3&lt;$M91), $A91, "")</f>
        <v/>
      </c>
      <c r="AH91" s="53" t="str">
        <f aca="false">IF(AND(AI$3&gt;=$J91, AI$3&lt;$M91), $A91, "")</f>
        <v/>
      </c>
      <c r="AI91" s="53" t="str">
        <f aca="false">IF(AND(AJ$3&gt;=$J91, AJ$3&lt;$M91), $A91, "")</f>
        <v/>
      </c>
      <c r="AJ91" s="53" t="str">
        <f aca="false">IF(AND(AK$3&gt;=$J91, AK$3&lt;$M91), $A91, "")</f>
        <v/>
      </c>
      <c r="AK91" s="53" t="str">
        <f aca="false">IF(AND(AL$3&gt;=$J91, AL$3&lt;$M91), $A91, "")</f>
        <v/>
      </c>
      <c r="AL91" s="53" t="str">
        <f aca="false">IF(AND(AM$3&gt;=$J91, AM$3&lt;$M91), $A91, "")</f>
        <v/>
      </c>
      <c r="AM91" s="53" t="str">
        <f aca="false">IF(AND(AN$3&gt;=$J91, AN$3&lt;$M91), $A91, "")</f>
        <v/>
      </c>
      <c r="AN91" s="53" t="str">
        <f aca="false">IF(AND(AO$3&gt;=$J91, AO$3&lt;$M91), $A91, "")</f>
        <v/>
      </c>
      <c r="AO91" s="53" t="str">
        <f aca="false">IF(AND(AP$3&gt;=$J91, AP$3&lt;$M91), $A91, "")</f>
        <v/>
      </c>
      <c r="AP91" s="53" t="str">
        <f aca="false">IF(AND(AQ$3&gt;=$J91, AQ$3&lt;$M91), $A91, "")</f>
        <v/>
      </c>
      <c r="AQ91" s="53" t="str">
        <f aca="false">IF(AND(AR$3&gt;=$J91, AR$3&lt;$M91), $A91, "")</f>
        <v/>
      </c>
      <c r="AR91" s="53" t="str">
        <f aca="false">IF(AND(AS$3&gt;=$J91, AS$3&lt;$M91), $A91, "")</f>
        <v/>
      </c>
      <c r="AS91" s="53" t="str">
        <f aca="false">IF(AND(AT$3&gt;=$J91, AT$3&lt;$M91), $A91, "")</f>
        <v/>
      </c>
      <c r="AT91" s="53" t="str">
        <f aca="false">IF(AND(AU$3&gt;=$J91, AU$3&lt;$M91), $A91, "")</f>
        <v/>
      </c>
      <c r="AU91" s="53" t="str">
        <f aca="false">IF(AND(AV$3&gt;=$J91, AV$3&lt;$M91), $A91, "")</f>
        <v/>
      </c>
      <c r="AV91" s="53" t="str">
        <f aca="false">IF(AND(AW$3&gt;=$J91, AW$3&lt;$M91), $A91, "")</f>
        <v/>
      </c>
      <c r="AW91" s="53" t="str">
        <f aca="false">IF(AND(AX$3&gt;=$J91, AX$3&lt;$M91), $A91, "")</f>
        <v/>
      </c>
      <c r="AX91" s="53" t="str">
        <f aca="false">IF(AND(AY$3&gt;=$J91, AY$3&lt;$M91), $A91, "")</f>
        <v/>
      </c>
      <c r="AY91" s="53" t="str">
        <f aca="false">IF(AND(AZ$3&gt;=$J91, AZ$3&lt;$M91), $A91, "")</f>
        <v/>
      </c>
      <c r="AZ91" s="53" t="str">
        <f aca="false">IF(AND(BA$3&gt;=$J91, BA$3&lt;$M91), $A91, "")</f>
        <v/>
      </c>
      <c r="BA91" s="53" t="str">
        <f aca="false">IF(AND(BB$3&gt;=$J91, BB$3&lt;$M91), $A91, "")</f>
        <v/>
      </c>
      <c r="BB91" s="53" t="str">
        <f aca="false">IF(AND(BC$3&gt;=$J91, BC$3&lt;$M91), $A91, "")</f>
        <v/>
      </c>
      <c r="BC91" s="53" t="str">
        <f aca="false">IF(AND(BD$3&gt;=$J91, BD$3&lt;$M91), $A91, "")</f>
        <v/>
      </c>
      <c r="BD91" s="53" t="str">
        <f aca="false">IF(AND(BE$3&gt;=$J91, BE$3&lt;$M91), $A91, "")</f>
        <v/>
      </c>
      <c r="BE91" s="53" t="str">
        <f aca="false">IF(AND(BF$3&gt;=$J91, BF$3&lt;$M91), $A91, "")</f>
        <v/>
      </c>
      <c r="BF91" s="53" t="str">
        <f aca="false">IF(AND(BG$3&gt;=$J91, BG$3&lt;$M91), $A91, "")</f>
        <v/>
      </c>
      <c r="BG91" s="53" t="str">
        <f aca="false">IF(AND(BH$3&gt;=$J91, BH$3&lt;$M91), $A91, "")</f>
        <v/>
      </c>
      <c r="BH91" s="53" t="str">
        <f aca="false">IF(AND(BI$3&gt;=$J91, BI$3&lt;$M91), $A91, "")</f>
        <v/>
      </c>
      <c r="BI91" s="53" t="str">
        <f aca="false">IF(AND(BJ$3&gt;=$J91, BJ$3&lt;$M91), $A91, "")</f>
        <v/>
      </c>
      <c r="BJ91" s="53" t="str">
        <f aca="false">IF(AND(BK$3&gt;=$J91, BK$3&lt;$M91), $A91, "")</f>
        <v/>
      </c>
      <c r="BK91" s="53" t="str">
        <f aca="false">IF(AND(BL$3&gt;=$J91, BL$3&lt;$M91), $A91, "")</f>
        <v/>
      </c>
      <c r="BL91" s="53" t="str">
        <f aca="false">IF(AND(BM$3&gt;=$J91, BM$3&lt;$M91), $A91, "")</f>
        <v/>
      </c>
      <c r="BM91" s="53" t="str">
        <f aca="false">IF(AND(BN$3&gt;=$J91, BN$3&lt;$M91), $A91, "")</f>
        <v/>
      </c>
      <c r="BN91" s="1" t="str">
        <f aca="false">IF(AND(BO$3&gt;=$J91, BO$3&lt;$M91), $A91, "")</f>
        <v/>
      </c>
      <c r="BO91" s="1" t="str">
        <f aca="false">IF(AND(BP$3&gt;=$J91, BP$3&lt;$M91), $A91, "")</f>
        <v/>
      </c>
      <c r="BP91" s="1" t="str">
        <f aca="false">IF(AND(BQ$3&gt;=$J91, BQ$3&lt;$M91), $A91, "")</f>
        <v/>
      </c>
    </row>
    <row r="92" customFormat="false" ht="15" hidden="false" customHeight="true" outlineLevel="0" collapsed="false">
      <c r="A92" s="46" t="str">
        <f aca="false">IF(Job_Master!A92="","",Job_Master!A92)</f>
        <v/>
      </c>
      <c r="B92" s="4" t="str">
        <f aca="false">IF($A92="","",Job_Master!B92)</f>
        <v/>
      </c>
      <c r="C92" s="4" t="str">
        <f aca="false">IF($A92="","",Job_Master!C92)</f>
        <v/>
      </c>
      <c r="D92" s="4" t="str">
        <f aca="false">IF($A92="","",Job_Master!D92)</f>
        <v/>
      </c>
      <c r="E92" s="48" t="str">
        <f aca="false">IF($A92="","",IFERROR(INDEX(Machine_List!$B$82:$B$86,MATCH("*"&amp;$B92&amp;"*",Machine_List!$J$82:$J$86,0)),"NO COMPATIBLE MACHINE"))</f>
        <v/>
      </c>
      <c r="F92" s="4" t="str">
        <f aca="false">IF($E92="","",IFERROR(VLOOKUP($E92,Machine_List!$B:$G,6,0),""))</f>
        <v/>
      </c>
      <c r="G92" s="55" t="str">
        <f aca="false">IF($E92="","",IFERROR(VLOOKUP($E92,Machine_List!$B:$C,2,0),""))</f>
        <v/>
      </c>
      <c r="H92" s="4" t="str">
        <f aca="false">IF($E92="","",IFERROR(VLOOKUP($E92,Machine_List!$B:$D,3,0),""))</f>
        <v/>
      </c>
      <c r="I92" s="56"/>
      <c r="J92" s="57" t="str">
        <f aca="true">IF($A92="","",IF($I92&lt;&gt;"",$I92,MAX(FID_Plan!$M92,IFERROR(LOOKUP(2,1/($E$3:INDIRECT("E"&amp;(ROW()-1))=$E92),$M$3:INDIRECT("M"&amp;(ROW()-1))),FID_Plan!$M92))))</f>
        <v/>
      </c>
      <c r="K92" s="4" t="str">
        <f aca="false">IF($A92="","",IFERROR(VLOOKUP(B92,CHOOSE(MATCH(C92,Settings!$L$4:$L$10,0),OPR_2P!$A$4:$I$18,SEG_6P!$A$4:$I$18,SOL_4P!$A$4:$I$18,RW_2P!$A$4:$I$18,RW2_4P!$A$4:$I$18,FLAP_4P!$A$4:$I$18,TUBE_4P!$A$4:$I$18),8,0),0))</f>
        <v/>
      </c>
      <c r="L92" s="4" t="str">
        <f aca="false">IF($A92="","",K92*D92)</f>
        <v/>
      </c>
      <c r="M92" s="57" t="str">
        <f aca="false">IF($A92="","",$J92+($L92/(IF(F92="Contract Workman",Settings!$K$5,Settings!$K$4))))</f>
        <v/>
      </c>
      <c r="N92" s="4" t="str">
        <f aca="false">IF($A92="","",IF(F92="Contract Workman",IF(AND(MOD(M92,1)&gt;=8/24,MOD(M92,1)&lt;20/24),"Shift S1","Shift S2"),IF(AND(MOD(M92,1)&gt;=7/24,MOD(M92,1)&lt;15/24),"Shift A",IF(AND(MOD(M92,1)&gt;=15/24,MOD(M92,1)&lt;23/24),"Shift B","Shift C"))))</f>
        <v/>
      </c>
      <c r="O92" s="52" t="str">
        <f aca="false"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3" t="str">
        <f aca="false">IF(AND(Q$3&gt;=$J92, Q$3&lt;$M92), $A92, "")</f>
        <v/>
      </c>
      <c r="Q92" s="53" t="str">
        <f aca="false">IF(AND(R$3&gt;=$J92, R$3&lt;$M92), $A92, "")</f>
        <v/>
      </c>
      <c r="R92" s="53" t="str">
        <f aca="false">IF(AND(S$3&gt;=$J92, S$3&lt;$M92), $A92, "")</f>
        <v/>
      </c>
      <c r="S92" s="53" t="str">
        <f aca="false">IF(AND(T$3&gt;=$J92, T$3&lt;$M92), $A92, "")</f>
        <v/>
      </c>
      <c r="T92" s="53" t="str">
        <f aca="false">IF(AND(U$3&gt;=$J92, U$3&lt;$M92), $A92, "")</f>
        <v/>
      </c>
      <c r="U92" s="53" t="str">
        <f aca="false">IF(AND(V$3&gt;=$J92, V$3&lt;$M92), $A92, "")</f>
        <v/>
      </c>
      <c r="V92" s="53" t="str">
        <f aca="false">IF(AND(W$3&gt;=$J92, W$3&lt;$M92), $A92, "")</f>
        <v/>
      </c>
      <c r="W92" s="53" t="str">
        <f aca="false">IF(AND(X$3&gt;=$J92, X$3&lt;$M92), $A92, "")</f>
        <v/>
      </c>
      <c r="X92" s="53" t="str">
        <f aca="false">IF(AND(Y$3&gt;=$J92, Y$3&lt;$M92), $A92, "")</f>
        <v/>
      </c>
      <c r="Y92" s="53" t="str">
        <f aca="false">IF(AND(Z$3&gt;=$J92, Z$3&lt;$M92), $A92, "")</f>
        <v/>
      </c>
      <c r="Z92" s="53" t="str">
        <f aca="false">IF(AND(AA$3&gt;=$J92, AA$3&lt;$M92), $A92, "")</f>
        <v/>
      </c>
      <c r="AA92" s="53" t="str">
        <f aca="false">IF(AND(AB$3&gt;=$J92, AB$3&lt;$M92), $A92, "")</f>
        <v/>
      </c>
      <c r="AB92" s="53" t="str">
        <f aca="false">IF(AND(AC$3&gt;=$J92, AC$3&lt;$M92), $A92, "")</f>
        <v/>
      </c>
      <c r="AC92" s="53" t="str">
        <f aca="false">IF(AND(AD$3&gt;=$J92, AD$3&lt;$M92), $A92, "")</f>
        <v/>
      </c>
      <c r="AD92" s="53" t="str">
        <f aca="false">IF(AND(AE$3&gt;=$J92, AE$3&lt;$M92), $A92, "")</f>
        <v/>
      </c>
      <c r="AE92" s="53" t="str">
        <f aca="false">IF(AND(AF$3&gt;=$J92, AF$3&lt;$M92), $A92, "")</f>
        <v/>
      </c>
      <c r="AF92" s="53" t="str">
        <f aca="false">IF(AND(AG$3&gt;=$J92, AG$3&lt;$M92), $A92, "")</f>
        <v/>
      </c>
      <c r="AG92" s="53" t="str">
        <f aca="false">IF(AND(AH$3&gt;=$J92, AH$3&lt;$M92), $A92, "")</f>
        <v/>
      </c>
      <c r="AH92" s="53" t="str">
        <f aca="false">IF(AND(AI$3&gt;=$J92, AI$3&lt;$M92), $A92, "")</f>
        <v/>
      </c>
      <c r="AI92" s="53" t="str">
        <f aca="false">IF(AND(AJ$3&gt;=$J92, AJ$3&lt;$M92), $A92, "")</f>
        <v/>
      </c>
      <c r="AJ92" s="53" t="str">
        <f aca="false">IF(AND(AK$3&gt;=$J92, AK$3&lt;$M92), $A92, "")</f>
        <v/>
      </c>
      <c r="AK92" s="53" t="str">
        <f aca="false">IF(AND(AL$3&gt;=$J92, AL$3&lt;$M92), $A92, "")</f>
        <v/>
      </c>
      <c r="AL92" s="53" t="str">
        <f aca="false">IF(AND(AM$3&gt;=$J92, AM$3&lt;$M92), $A92, "")</f>
        <v/>
      </c>
      <c r="AM92" s="53" t="str">
        <f aca="false">IF(AND(AN$3&gt;=$J92, AN$3&lt;$M92), $A92, "")</f>
        <v/>
      </c>
      <c r="AN92" s="53" t="str">
        <f aca="false">IF(AND(AO$3&gt;=$J92, AO$3&lt;$M92), $A92, "")</f>
        <v/>
      </c>
      <c r="AO92" s="53" t="str">
        <f aca="false">IF(AND(AP$3&gt;=$J92, AP$3&lt;$M92), $A92, "")</f>
        <v/>
      </c>
      <c r="AP92" s="53" t="str">
        <f aca="false">IF(AND(AQ$3&gt;=$J92, AQ$3&lt;$M92), $A92, "")</f>
        <v/>
      </c>
      <c r="AQ92" s="53" t="str">
        <f aca="false">IF(AND(AR$3&gt;=$J92, AR$3&lt;$M92), $A92, "")</f>
        <v/>
      </c>
      <c r="AR92" s="53" t="str">
        <f aca="false">IF(AND(AS$3&gt;=$J92, AS$3&lt;$M92), $A92, "")</f>
        <v/>
      </c>
      <c r="AS92" s="53" t="str">
        <f aca="false">IF(AND(AT$3&gt;=$J92, AT$3&lt;$M92), $A92, "")</f>
        <v/>
      </c>
      <c r="AT92" s="53" t="str">
        <f aca="false">IF(AND(AU$3&gt;=$J92, AU$3&lt;$M92), $A92, "")</f>
        <v/>
      </c>
      <c r="AU92" s="53" t="str">
        <f aca="false">IF(AND(AV$3&gt;=$J92, AV$3&lt;$M92), $A92, "")</f>
        <v/>
      </c>
      <c r="AV92" s="53" t="str">
        <f aca="false">IF(AND(AW$3&gt;=$J92, AW$3&lt;$M92), $A92, "")</f>
        <v/>
      </c>
      <c r="AW92" s="53" t="str">
        <f aca="false">IF(AND(AX$3&gt;=$J92, AX$3&lt;$M92), $A92, "")</f>
        <v/>
      </c>
      <c r="AX92" s="53" t="str">
        <f aca="false">IF(AND(AY$3&gt;=$J92, AY$3&lt;$M92), $A92, "")</f>
        <v/>
      </c>
      <c r="AY92" s="53" t="str">
        <f aca="false">IF(AND(AZ$3&gt;=$J92, AZ$3&lt;$M92), $A92, "")</f>
        <v/>
      </c>
      <c r="AZ92" s="53" t="str">
        <f aca="false">IF(AND(BA$3&gt;=$J92, BA$3&lt;$M92), $A92, "")</f>
        <v/>
      </c>
      <c r="BA92" s="53" t="str">
        <f aca="false">IF(AND(BB$3&gt;=$J92, BB$3&lt;$M92), $A92, "")</f>
        <v/>
      </c>
      <c r="BB92" s="53" t="str">
        <f aca="false">IF(AND(BC$3&gt;=$J92, BC$3&lt;$M92), $A92, "")</f>
        <v/>
      </c>
      <c r="BC92" s="53" t="str">
        <f aca="false">IF(AND(BD$3&gt;=$J92, BD$3&lt;$M92), $A92, "")</f>
        <v/>
      </c>
      <c r="BD92" s="53" t="str">
        <f aca="false">IF(AND(BE$3&gt;=$J92, BE$3&lt;$M92), $A92, "")</f>
        <v/>
      </c>
      <c r="BE92" s="53" t="str">
        <f aca="false">IF(AND(BF$3&gt;=$J92, BF$3&lt;$M92), $A92, "")</f>
        <v/>
      </c>
      <c r="BF92" s="53" t="str">
        <f aca="false">IF(AND(BG$3&gt;=$J92, BG$3&lt;$M92), $A92, "")</f>
        <v/>
      </c>
      <c r="BG92" s="53" t="str">
        <f aca="false">IF(AND(BH$3&gt;=$J92, BH$3&lt;$M92), $A92, "")</f>
        <v/>
      </c>
      <c r="BH92" s="53" t="str">
        <f aca="false">IF(AND(BI$3&gt;=$J92, BI$3&lt;$M92), $A92, "")</f>
        <v/>
      </c>
      <c r="BI92" s="53" t="str">
        <f aca="false">IF(AND(BJ$3&gt;=$J92, BJ$3&lt;$M92), $A92, "")</f>
        <v/>
      </c>
      <c r="BJ92" s="53" t="str">
        <f aca="false">IF(AND(BK$3&gt;=$J92, BK$3&lt;$M92), $A92, "")</f>
        <v/>
      </c>
      <c r="BK92" s="53" t="str">
        <f aca="false">IF(AND(BL$3&gt;=$J92, BL$3&lt;$M92), $A92, "")</f>
        <v/>
      </c>
      <c r="BL92" s="53" t="str">
        <f aca="false">IF(AND(BM$3&gt;=$J92, BM$3&lt;$M92), $A92, "")</f>
        <v/>
      </c>
      <c r="BM92" s="53" t="str">
        <f aca="false">IF(AND(BN$3&gt;=$J92, BN$3&lt;$M92), $A92, "")</f>
        <v/>
      </c>
      <c r="BN92" s="1" t="str">
        <f aca="false">IF(AND(BO$3&gt;=$J92, BO$3&lt;$M92), $A92, "")</f>
        <v/>
      </c>
      <c r="BO92" s="1" t="str">
        <f aca="false">IF(AND(BP$3&gt;=$J92, BP$3&lt;$M92), $A92, "")</f>
        <v/>
      </c>
      <c r="BP92" s="1" t="str">
        <f aca="false">IF(AND(BQ$3&gt;=$J92, BQ$3&lt;$M92), $A92, "")</f>
        <v/>
      </c>
    </row>
    <row r="93" customFormat="false" ht="15" hidden="false" customHeight="true" outlineLevel="0" collapsed="false">
      <c r="A93" s="46" t="str">
        <f aca="false">IF(Job_Master!A93="","",Job_Master!A93)</f>
        <v/>
      </c>
      <c r="B93" s="4" t="str">
        <f aca="false">IF($A93="","",Job_Master!B93)</f>
        <v/>
      </c>
      <c r="C93" s="4" t="str">
        <f aca="false">IF($A93="","",Job_Master!C93)</f>
        <v/>
      </c>
      <c r="D93" s="4" t="str">
        <f aca="false">IF($A93="","",Job_Master!D93)</f>
        <v/>
      </c>
      <c r="E93" s="48" t="str">
        <f aca="false">IF($A93="","",IFERROR(INDEX(Machine_List!$B$82:$B$86,MATCH("*"&amp;$B93&amp;"*",Machine_List!$J$82:$J$86,0)),"NO COMPATIBLE MACHINE"))</f>
        <v/>
      </c>
      <c r="F93" s="4" t="str">
        <f aca="false">IF($E93="","",IFERROR(VLOOKUP($E93,Machine_List!$B:$G,6,0),""))</f>
        <v/>
      </c>
      <c r="G93" s="55" t="str">
        <f aca="false">IF($E93="","",IFERROR(VLOOKUP($E93,Machine_List!$B:$C,2,0),""))</f>
        <v/>
      </c>
      <c r="H93" s="4" t="str">
        <f aca="false">IF($E93="","",IFERROR(VLOOKUP($E93,Machine_List!$B:$D,3,0),""))</f>
        <v/>
      </c>
      <c r="I93" s="56"/>
      <c r="J93" s="57" t="str">
        <f aca="true">IF($A93="","",IF($I93&lt;&gt;"",$I93,MAX(FID_Plan!$M93,IFERROR(LOOKUP(2,1/($E$3:INDIRECT("E"&amp;(ROW()-1))=$E93),$M$3:INDIRECT("M"&amp;(ROW()-1))),FID_Plan!$M93))))</f>
        <v/>
      </c>
      <c r="K93" s="4" t="str">
        <f aca="false">IF($A93="","",IFERROR(VLOOKUP(B93,CHOOSE(MATCH(C93,Settings!$L$4:$L$10,0),OPR_2P!$A$4:$I$18,SEG_6P!$A$4:$I$18,SOL_4P!$A$4:$I$18,RW_2P!$A$4:$I$18,RW2_4P!$A$4:$I$18,FLAP_4P!$A$4:$I$18,TUBE_4P!$A$4:$I$18),8,0),0))</f>
        <v/>
      </c>
      <c r="L93" s="4" t="str">
        <f aca="false">IF($A93="","",K93*D93)</f>
        <v/>
      </c>
      <c r="M93" s="57" t="str">
        <f aca="false">IF($A93="","",$J93+($L93/(IF(F93="Contract Workman",Settings!$K$5,Settings!$K$4))))</f>
        <v/>
      </c>
      <c r="N93" s="4" t="str">
        <f aca="false">IF($A93="","",IF(F93="Contract Workman",IF(AND(MOD(M93,1)&gt;=8/24,MOD(M93,1)&lt;20/24),"Shift S1","Shift S2"),IF(AND(MOD(M93,1)&gt;=7/24,MOD(M93,1)&lt;15/24),"Shift A",IF(AND(MOD(M93,1)&gt;=15/24,MOD(M93,1)&lt;23/24),"Shift B","Shift C"))))</f>
        <v/>
      </c>
      <c r="O93" s="52" t="str">
        <f aca="false"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3" t="str">
        <f aca="false">IF(AND(Q$3&gt;=$J93, Q$3&lt;$M93), $A93, "")</f>
        <v/>
      </c>
      <c r="Q93" s="53" t="str">
        <f aca="false">IF(AND(R$3&gt;=$J93, R$3&lt;$M93), $A93, "")</f>
        <v/>
      </c>
      <c r="R93" s="53" t="str">
        <f aca="false">IF(AND(S$3&gt;=$J93, S$3&lt;$M93), $A93, "")</f>
        <v/>
      </c>
      <c r="S93" s="53" t="str">
        <f aca="false">IF(AND(T$3&gt;=$J93, T$3&lt;$M93), $A93, "")</f>
        <v/>
      </c>
      <c r="T93" s="53" t="str">
        <f aca="false">IF(AND(U$3&gt;=$J93, U$3&lt;$M93), $A93, "")</f>
        <v/>
      </c>
      <c r="U93" s="53" t="str">
        <f aca="false">IF(AND(V$3&gt;=$J93, V$3&lt;$M93), $A93, "")</f>
        <v/>
      </c>
      <c r="V93" s="53" t="str">
        <f aca="false">IF(AND(W$3&gt;=$J93, W$3&lt;$M93), $A93, "")</f>
        <v/>
      </c>
      <c r="W93" s="53" t="str">
        <f aca="false">IF(AND(X$3&gt;=$J93, X$3&lt;$M93), $A93, "")</f>
        <v/>
      </c>
      <c r="X93" s="53" t="str">
        <f aca="false">IF(AND(Y$3&gt;=$J93, Y$3&lt;$M93), $A93, "")</f>
        <v/>
      </c>
      <c r="Y93" s="53" t="str">
        <f aca="false">IF(AND(Z$3&gt;=$J93, Z$3&lt;$M93), $A93, "")</f>
        <v/>
      </c>
      <c r="Z93" s="53" t="str">
        <f aca="false">IF(AND(AA$3&gt;=$J93, AA$3&lt;$M93), $A93, "")</f>
        <v/>
      </c>
      <c r="AA93" s="53" t="str">
        <f aca="false">IF(AND(AB$3&gt;=$J93, AB$3&lt;$M93), $A93, "")</f>
        <v/>
      </c>
      <c r="AB93" s="53" t="str">
        <f aca="false">IF(AND(AC$3&gt;=$J93, AC$3&lt;$M93), $A93, "")</f>
        <v/>
      </c>
      <c r="AC93" s="53" t="str">
        <f aca="false">IF(AND(AD$3&gt;=$J93, AD$3&lt;$M93), $A93, "")</f>
        <v/>
      </c>
      <c r="AD93" s="53" t="str">
        <f aca="false">IF(AND(AE$3&gt;=$J93, AE$3&lt;$M93), $A93, "")</f>
        <v/>
      </c>
      <c r="AE93" s="53" t="str">
        <f aca="false">IF(AND(AF$3&gt;=$J93, AF$3&lt;$M93), $A93, "")</f>
        <v/>
      </c>
      <c r="AF93" s="53" t="str">
        <f aca="false">IF(AND(AG$3&gt;=$J93, AG$3&lt;$M93), $A93, "")</f>
        <v/>
      </c>
      <c r="AG93" s="53" t="str">
        <f aca="false">IF(AND(AH$3&gt;=$J93, AH$3&lt;$M93), $A93, "")</f>
        <v/>
      </c>
      <c r="AH93" s="53" t="str">
        <f aca="false">IF(AND(AI$3&gt;=$J93, AI$3&lt;$M93), $A93, "")</f>
        <v/>
      </c>
      <c r="AI93" s="53" t="str">
        <f aca="false">IF(AND(AJ$3&gt;=$J93, AJ$3&lt;$M93), $A93, "")</f>
        <v/>
      </c>
      <c r="AJ93" s="53" t="str">
        <f aca="false">IF(AND(AK$3&gt;=$J93, AK$3&lt;$M93), $A93, "")</f>
        <v/>
      </c>
      <c r="AK93" s="53" t="str">
        <f aca="false">IF(AND(AL$3&gt;=$J93, AL$3&lt;$M93), $A93, "")</f>
        <v/>
      </c>
      <c r="AL93" s="53" t="str">
        <f aca="false">IF(AND(AM$3&gt;=$J93, AM$3&lt;$M93), $A93, "")</f>
        <v/>
      </c>
      <c r="AM93" s="53" t="str">
        <f aca="false">IF(AND(AN$3&gt;=$J93, AN$3&lt;$M93), $A93, "")</f>
        <v/>
      </c>
      <c r="AN93" s="53" t="str">
        <f aca="false">IF(AND(AO$3&gt;=$J93, AO$3&lt;$M93), $A93, "")</f>
        <v/>
      </c>
      <c r="AO93" s="53" t="str">
        <f aca="false">IF(AND(AP$3&gt;=$J93, AP$3&lt;$M93), $A93, "")</f>
        <v/>
      </c>
      <c r="AP93" s="53" t="str">
        <f aca="false">IF(AND(AQ$3&gt;=$J93, AQ$3&lt;$M93), $A93, "")</f>
        <v/>
      </c>
      <c r="AQ93" s="53" t="str">
        <f aca="false">IF(AND(AR$3&gt;=$J93, AR$3&lt;$M93), $A93, "")</f>
        <v/>
      </c>
      <c r="AR93" s="53" t="str">
        <f aca="false">IF(AND(AS$3&gt;=$J93, AS$3&lt;$M93), $A93, "")</f>
        <v/>
      </c>
      <c r="AS93" s="53" t="str">
        <f aca="false">IF(AND(AT$3&gt;=$J93, AT$3&lt;$M93), $A93, "")</f>
        <v/>
      </c>
      <c r="AT93" s="53" t="str">
        <f aca="false">IF(AND(AU$3&gt;=$J93, AU$3&lt;$M93), $A93, "")</f>
        <v/>
      </c>
      <c r="AU93" s="53" t="str">
        <f aca="false">IF(AND(AV$3&gt;=$J93, AV$3&lt;$M93), $A93, "")</f>
        <v/>
      </c>
      <c r="AV93" s="53" t="str">
        <f aca="false">IF(AND(AW$3&gt;=$J93, AW$3&lt;$M93), $A93, "")</f>
        <v/>
      </c>
      <c r="AW93" s="53" t="str">
        <f aca="false">IF(AND(AX$3&gt;=$J93, AX$3&lt;$M93), $A93, "")</f>
        <v/>
      </c>
      <c r="AX93" s="53" t="str">
        <f aca="false">IF(AND(AY$3&gt;=$J93, AY$3&lt;$M93), $A93, "")</f>
        <v/>
      </c>
      <c r="AY93" s="53" t="str">
        <f aca="false">IF(AND(AZ$3&gt;=$J93, AZ$3&lt;$M93), $A93, "")</f>
        <v/>
      </c>
      <c r="AZ93" s="53" t="str">
        <f aca="false">IF(AND(BA$3&gt;=$J93, BA$3&lt;$M93), $A93, "")</f>
        <v/>
      </c>
      <c r="BA93" s="53" t="str">
        <f aca="false">IF(AND(BB$3&gt;=$J93, BB$3&lt;$M93), $A93, "")</f>
        <v/>
      </c>
      <c r="BB93" s="53" t="str">
        <f aca="false">IF(AND(BC$3&gt;=$J93, BC$3&lt;$M93), $A93, "")</f>
        <v/>
      </c>
      <c r="BC93" s="53" t="str">
        <f aca="false">IF(AND(BD$3&gt;=$J93, BD$3&lt;$M93), $A93, "")</f>
        <v/>
      </c>
      <c r="BD93" s="53" t="str">
        <f aca="false">IF(AND(BE$3&gt;=$J93, BE$3&lt;$M93), $A93, "")</f>
        <v/>
      </c>
      <c r="BE93" s="53" t="str">
        <f aca="false">IF(AND(BF$3&gt;=$J93, BF$3&lt;$M93), $A93, "")</f>
        <v/>
      </c>
      <c r="BF93" s="53" t="str">
        <f aca="false">IF(AND(BG$3&gt;=$J93, BG$3&lt;$M93), $A93, "")</f>
        <v/>
      </c>
      <c r="BG93" s="53" t="str">
        <f aca="false">IF(AND(BH$3&gt;=$J93, BH$3&lt;$M93), $A93, "")</f>
        <v/>
      </c>
      <c r="BH93" s="53" t="str">
        <f aca="false">IF(AND(BI$3&gt;=$J93, BI$3&lt;$M93), $A93, "")</f>
        <v/>
      </c>
      <c r="BI93" s="53" t="str">
        <f aca="false">IF(AND(BJ$3&gt;=$J93, BJ$3&lt;$M93), $A93, "")</f>
        <v/>
      </c>
      <c r="BJ93" s="53" t="str">
        <f aca="false">IF(AND(BK$3&gt;=$J93, BK$3&lt;$M93), $A93, "")</f>
        <v/>
      </c>
      <c r="BK93" s="53" t="str">
        <f aca="false">IF(AND(BL$3&gt;=$J93, BL$3&lt;$M93), $A93, "")</f>
        <v/>
      </c>
      <c r="BL93" s="53" t="str">
        <f aca="false">IF(AND(BM$3&gt;=$J93, BM$3&lt;$M93), $A93, "")</f>
        <v/>
      </c>
      <c r="BM93" s="53" t="str">
        <f aca="false">IF(AND(BN$3&gt;=$J93, BN$3&lt;$M93), $A93, "")</f>
        <v/>
      </c>
      <c r="BN93" s="1" t="str">
        <f aca="false">IF(AND(BO$3&gt;=$J93, BO$3&lt;$M93), $A93, "")</f>
        <v/>
      </c>
      <c r="BO93" s="1" t="str">
        <f aca="false">IF(AND(BP$3&gt;=$J93, BP$3&lt;$M93), $A93, "")</f>
        <v/>
      </c>
      <c r="BP93" s="1" t="str">
        <f aca="false">IF(AND(BQ$3&gt;=$J93, BQ$3&lt;$M93), $A93, "")</f>
        <v/>
      </c>
    </row>
    <row r="94" customFormat="false" ht="15" hidden="false" customHeight="true" outlineLevel="0" collapsed="false">
      <c r="A94" s="46" t="str">
        <f aca="false">IF(Job_Master!A94="","",Job_Master!A94)</f>
        <v/>
      </c>
      <c r="B94" s="4" t="str">
        <f aca="false">IF($A94="","",Job_Master!B94)</f>
        <v/>
      </c>
      <c r="C94" s="4" t="str">
        <f aca="false">IF($A94="","",Job_Master!C94)</f>
        <v/>
      </c>
      <c r="D94" s="4" t="str">
        <f aca="false">IF($A94="","",Job_Master!D94)</f>
        <v/>
      </c>
      <c r="E94" s="48" t="str">
        <f aca="false">IF($A94="","",IFERROR(INDEX(Machine_List!$B$82:$B$86,MATCH("*"&amp;$B94&amp;"*",Machine_List!$J$82:$J$86,0)),"NO COMPATIBLE MACHINE"))</f>
        <v/>
      </c>
      <c r="F94" s="4" t="str">
        <f aca="false">IF($E94="","",IFERROR(VLOOKUP($E94,Machine_List!$B:$G,6,0),""))</f>
        <v/>
      </c>
      <c r="G94" s="55" t="str">
        <f aca="false">IF($E94="","",IFERROR(VLOOKUP($E94,Machine_List!$B:$C,2,0),""))</f>
        <v/>
      </c>
      <c r="H94" s="4" t="str">
        <f aca="false">IF($E94="","",IFERROR(VLOOKUP($E94,Machine_List!$B:$D,3,0),""))</f>
        <v/>
      </c>
      <c r="I94" s="56"/>
      <c r="J94" s="57" t="str">
        <f aca="true">IF($A94="","",IF($I94&lt;&gt;"",$I94,MAX(FID_Plan!$M94,IFERROR(LOOKUP(2,1/($E$3:INDIRECT("E"&amp;(ROW()-1))=$E94),$M$3:INDIRECT("M"&amp;(ROW()-1))),FID_Plan!$M94))))</f>
        <v/>
      </c>
      <c r="K94" s="4" t="str">
        <f aca="false">IF($A94="","",IFERROR(VLOOKUP(B94,CHOOSE(MATCH(C94,Settings!$L$4:$L$10,0),OPR_2P!$A$4:$I$18,SEG_6P!$A$4:$I$18,SOL_4P!$A$4:$I$18,RW_2P!$A$4:$I$18,RW2_4P!$A$4:$I$18,FLAP_4P!$A$4:$I$18,TUBE_4P!$A$4:$I$18),8,0),0))</f>
        <v/>
      </c>
      <c r="L94" s="4" t="str">
        <f aca="false">IF($A94="","",K94*D94)</f>
        <v/>
      </c>
      <c r="M94" s="57" t="str">
        <f aca="false">IF($A94="","",$J94+($L94/(IF(F94="Contract Workman",Settings!$K$5,Settings!$K$4))))</f>
        <v/>
      </c>
      <c r="N94" s="4" t="str">
        <f aca="false">IF($A94="","",IF(F94="Contract Workman",IF(AND(MOD(M94,1)&gt;=8/24,MOD(M94,1)&lt;20/24),"Shift S1","Shift S2"),IF(AND(MOD(M94,1)&gt;=7/24,MOD(M94,1)&lt;15/24),"Shift A",IF(AND(MOD(M94,1)&gt;=15/24,MOD(M94,1)&lt;23/24),"Shift B","Shift C"))))</f>
        <v/>
      </c>
      <c r="O94" s="52" t="str">
        <f aca="false"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3" t="str">
        <f aca="false">IF(AND(Q$3&gt;=$J94, Q$3&lt;$M94), $A94, "")</f>
        <v/>
      </c>
      <c r="Q94" s="53" t="str">
        <f aca="false">IF(AND(R$3&gt;=$J94, R$3&lt;$M94), $A94, "")</f>
        <v/>
      </c>
      <c r="R94" s="53" t="str">
        <f aca="false">IF(AND(S$3&gt;=$J94, S$3&lt;$M94), $A94, "")</f>
        <v/>
      </c>
      <c r="S94" s="53" t="str">
        <f aca="false">IF(AND(T$3&gt;=$J94, T$3&lt;$M94), $A94, "")</f>
        <v/>
      </c>
      <c r="T94" s="53" t="str">
        <f aca="false">IF(AND(U$3&gt;=$J94, U$3&lt;$M94), $A94, "")</f>
        <v/>
      </c>
      <c r="U94" s="53" t="str">
        <f aca="false">IF(AND(V$3&gt;=$J94, V$3&lt;$M94), $A94, "")</f>
        <v/>
      </c>
      <c r="V94" s="53" t="str">
        <f aca="false">IF(AND(W$3&gt;=$J94, W$3&lt;$M94), $A94, "")</f>
        <v/>
      </c>
      <c r="W94" s="53" t="str">
        <f aca="false">IF(AND(X$3&gt;=$J94, X$3&lt;$M94), $A94, "")</f>
        <v/>
      </c>
      <c r="X94" s="53" t="str">
        <f aca="false">IF(AND(Y$3&gt;=$J94, Y$3&lt;$M94), $A94, "")</f>
        <v/>
      </c>
      <c r="Y94" s="53" t="str">
        <f aca="false">IF(AND(Z$3&gt;=$J94, Z$3&lt;$M94), $A94, "")</f>
        <v/>
      </c>
      <c r="Z94" s="53" t="str">
        <f aca="false">IF(AND(AA$3&gt;=$J94, AA$3&lt;$M94), $A94, "")</f>
        <v/>
      </c>
      <c r="AA94" s="53" t="str">
        <f aca="false">IF(AND(AB$3&gt;=$J94, AB$3&lt;$M94), $A94, "")</f>
        <v/>
      </c>
      <c r="AB94" s="53" t="str">
        <f aca="false">IF(AND(AC$3&gt;=$J94, AC$3&lt;$M94), $A94, "")</f>
        <v/>
      </c>
      <c r="AC94" s="53" t="str">
        <f aca="false">IF(AND(AD$3&gt;=$J94, AD$3&lt;$M94), $A94, "")</f>
        <v/>
      </c>
      <c r="AD94" s="53" t="str">
        <f aca="false">IF(AND(AE$3&gt;=$J94, AE$3&lt;$M94), $A94, "")</f>
        <v/>
      </c>
      <c r="AE94" s="53" t="str">
        <f aca="false">IF(AND(AF$3&gt;=$J94, AF$3&lt;$M94), $A94, "")</f>
        <v/>
      </c>
      <c r="AF94" s="53" t="str">
        <f aca="false">IF(AND(AG$3&gt;=$J94, AG$3&lt;$M94), $A94, "")</f>
        <v/>
      </c>
      <c r="AG94" s="53" t="str">
        <f aca="false">IF(AND(AH$3&gt;=$J94, AH$3&lt;$M94), $A94, "")</f>
        <v/>
      </c>
      <c r="AH94" s="53" t="str">
        <f aca="false">IF(AND(AI$3&gt;=$J94, AI$3&lt;$M94), $A94, "")</f>
        <v/>
      </c>
      <c r="AI94" s="53" t="str">
        <f aca="false">IF(AND(AJ$3&gt;=$J94, AJ$3&lt;$M94), $A94, "")</f>
        <v/>
      </c>
      <c r="AJ94" s="53" t="str">
        <f aca="false">IF(AND(AK$3&gt;=$J94, AK$3&lt;$M94), $A94, "")</f>
        <v/>
      </c>
      <c r="AK94" s="53" t="str">
        <f aca="false">IF(AND(AL$3&gt;=$J94, AL$3&lt;$M94), $A94, "")</f>
        <v/>
      </c>
      <c r="AL94" s="53" t="str">
        <f aca="false">IF(AND(AM$3&gt;=$J94, AM$3&lt;$M94), $A94, "")</f>
        <v/>
      </c>
      <c r="AM94" s="53" t="str">
        <f aca="false">IF(AND(AN$3&gt;=$J94, AN$3&lt;$M94), $A94, "")</f>
        <v/>
      </c>
      <c r="AN94" s="53" t="str">
        <f aca="false">IF(AND(AO$3&gt;=$J94, AO$3&lt;$M94), $A94, "")</f>
        <v/>
      </c>
      <c r="AO94" s="53" t="str">
        <f aca="false">IF(AND(AP$3&gt;=$J94, AP$3&lt;$M94), $A94, "")</f>
        <v/>
      </c>
      <c r="AP94" s="53" t="str">
        <f aca="false">IF(AND(AQ$3&gt;=$J94, AQ$3&lt;$M94), $A94, "")</f>
        <v/>
      </c>
      <c r="AQ94" s="53" t="str">
        <f aca="false">IF(AND(AR$3&gt;=$J94, AR$3&lt;$M94), $A94, "")</f>
        <v/>
      </c>
      <c r="AR94" s="53" t="str">
        <f aca="false">IF(AND(AS$3&gt;=$J94, AS$3&lt;$M94), $A94, "")</f>
        <v/>
      </c>
      <c r="AS94" s="53" t="str">
        <f aca="false">IF(AND(AT$3&gt;=$J94, AT$3&lt;$M94), $A94, "")</f>
        <v/>
      </c>
      <c r="AT94" s="53" t="str">
        <f aca="false">IF(AND(AU$3&gt;=$J94, AU$3&lt;$M94), $A94, "")</f>
        <v/>
      </c>
      <c r="AU94" s="53" t="str">
        <f aca="false">IF(AND(AV$3&gt;=$J94, AV$3&lt;$M94), $A94, "")</f>
        <v/>
      </c>
      <c r="AV94" s="53" t="str">
        <f aca="false">IF(AND(AW$3&gt;=$J94, AW$3&lt;$M94), $A94, "")</f>
        <v/>
      </c>
      <c r="AW94" s="53" t="str">
        <f aca="false">IF(AND(AX$3&gt;=$J94, AX$3&lt;$M94), $A94, "")</f>
        <v/>
      </c>
      <c r="AX94" s="53" t="str">
        <f aca="false">IF(AND(AY$3&gt;=$J94, AY$3&lt;$M94), $A94, "")</f>
        <v/>
      </c>
      <c r="AY94" s="53" t="str">
        <f aca="false">IF(AND(AZ$3&gt;=$J94, AZ$3&lt;$M94), $A94, "")</f>
        <v/>
      </c>
      <c r="AZ94" s="53" t="str">
        <f aca="false">IF(AND(BA$3&gt;=$J94, BA$3&lt;$M94), $A94, "")</f>
        <v/>
      </c>
      <c r="BA94" s="53" t="str">
        <f aca="false">IF(AND(BB$3&gt;=$J94, BB$3&lt;$M94), $A94, "")</f>
        <v/>
      </c>
      <c r="BB94" s="53" t="str">
        <f aca="false">IF(AND(BC$3&gt;=$J94, BC$3&lt;$M94), $A94, "")</f>
        <v/>
      </c>
      <c r="BC94" s="53" t="str">
        <f aca="false">IF(AND(BD$3&gt;=$J94, BD$3&lt;$M94), $A94, "")</f>
        <v/>
      </c>
      <c r="BD94" s="53" t="str">
        <f aca="false">IF(AND(BE$3&gt;=$J94, BE$3&lt;$M94), $A94, "")</f>
        <v/>
      </c>
      <c r="BE94" s="53" t="str">
        <f aca="false">IF(AND(BF$3&gt;=$J94, BF$3&lt;$M94), $A94, "")</f>
        <v/>
      </c>
      <c r="BF94" s="53" t="str">
        <f aca="false">IF(AND(BG$3&gt;=$J94, BG$3&lt;$M94), $A94, "")</f>
        <v/>
      </c>
      <c r="BG94" s="53" t="str">
        <f aca="false">IF(AND(BH$3&gt;=$J94, BH$3&lt;$M94), $A94, "")</f>
        <v/>
      </c>
      <c r="BH94" s="53" t="str">
        <f aca="false">IF(AND(BI$3&gt;=$J94, BI$3&lt;$M94), $A94, "")</f>
        <v/>
      </c>
      <c r="BI94" s="53" t="str">
        <f aca="false">IF(AND(BJ$3&gt;=$J94, BJ$3&lt;$M94), $A94, "")</f>
        <v/>
      </c>
      <c r="BJ94" s="53" t="str">
        <f aca="false">IF(AND(BK$3&gt;=$J94, BK$3&lt;$M94), $A94, "")</f>
        <v/>
      </c>
      <c r="BK94" s="53" t="str">
        <f aca="false">IF(AND(BL$3&gt;=$J94, BL$3&lt;$M94), $A94, "")</f>
        <v/>
      </c>
      <c r="BL94" s="53" t="str">
        <f aca="false">IF(AND(BM$3&gt;=$J94, BM$3&lt;$M94), $A94, "")</f>
        <v/>
      </c>
      <c r="BM94" s="53" t="str">
        <f aca="false">IF(AND(BN$3&gt;=$J94, BN$3&lt;$M94), $A94, "")</f>
        <v/>
      </c>
      <c r="BN94" s="1" t="str">
        <f aca="false">IF(AND(BO$3&gt;=$J94, BO$3&lt;$M94), $A94, "")</f>
        <v/>
      </c>
      <c r="BO94" s="1" t="str">
        <f aca="false">IF(AND(BP$3&gt;=$J94, BP$3&lt;$M94), $A94, "")</f>
        <v/>
      </c>
      <c r="BP94" s="1" t="str">
        <f aca="false">IF(AND(BQ$3&gt;=$J94, BQ$3&lt;$M94), $A94, "")</f>
        <v/>
      </c>
    </row>
    <row r="95" customFormat="false" ht="15" hidden="false" customHeight="true" outlineLevel="0" collapsed="false">
      <c r="A95" s="46" t="str">
        <f aca="false">IF(Job_Master!A95="","",Job_Master!A95)</f>
        <v/>
      </c>
      <c r="B95" s="4" t="str">
        <f aca="false">IF($A95="","",Job_Master!B95)</f>
        <v/>
      </c>
      <c r="C95" s="4" t="str">
        <f aca="false">IF($A95="","",Job_Master!C95)</f>
        <v/>
      </c>
      <c r="D95" s="4" t="str">
        <f aca="false">IF($A95="","",Job_Master!D95)</f>
        <v/>
      </c>
      <c r="E95" s="48" t="str">
        <f aca="false">IF($A95="","",IFERROR(INDEX(Machine_List!$B$82:$B$86,MATCH("*"&amp;$B95&amp;"*",Machine_List!$J$82:$J$86,0)),"NO COMPATIBLE MACHINE"))</f>
        <v/>
      </c>
      <c r="F95" s="4" t="str">
        <f aca="false">IF($E95="","",IFERROR(VLOOKUP($E95,Machine_List!$B:$G,6,0),""))</f>
        <v/>
      </c>
      <c r="G95" s="55" t="str">
        <f aca="false">IF($E95="","",IFERROR(VLOOKUP($E95,Machine_List!$B:$C,2,0),""))</f>
        <v/>
      </c>
      <c r="H95" s="4" t="str">
        <f aca="false">IF($E95="","",IFERROR(VLOOKUP($E95,Machine_List!$B:$D,3,0),""))</f>
        <v/>
      </c>
      <c r="I95" s="56"/>
      <c r="J95" s="57" t="str">
        <f aca="true">IF($A95="","",IF($I95&lt;&gt;"",$I95,MAX(FID_Plan!$M95,IFERROR(LOOKUP(2,1/($E$3:INDIRECT("E"&amp;(ROW()-1))=$E95),$M$3:INDIRECT("M"&amp;(ROW()-1))),FID_Plan!$M95))))</f>
        <v/>
      </c>
      <c r="K95" s="4" t="str">
        <f aca="false">IF($A95="","",IFERROR(VLOOKUP(B95,CHOOSE(MATCH(C95,Settings!$L$4:$L$10,0),OPR_2P!$A$4:$I$18,SEG_6P!$A$4:$I$18,SOL_4P!$A$4:$I$18,RW_2P!$A$4:$I$18,RW2_4P!$A$4:$I$18,FLAP_4P!$A$4:$I$18,TUBE_4P!$A$4:$I$18),8,0),0))</f>
        <v/>
      </c>
      <c r="L95" s="4" t="str">
        <f aca="false">IF($A95="","",K95*D95)</f>
        <v/>
      </c>
      <c r="M95" s="57" t="str">
        <f aca="false">IF($A95="","",$J95+($L95/(IF(F95="Contract Workman",Settings!$K$5,Settings!$K$4))))</f>
        <v/>
      </c>
      <c r="N95" s="4" t="str">
        <f aca="false">IF($A95="","",IF(F95="Contract Workman",IF(AND(MOD(M95,1)&gt;=8/24,MOD(M95,1)&lt;20/24),"Shift S1","Shift S2"),IF(AND(MOD(M95,1)&gt;=7/24,MOD(M95,1)&lt;15/24),"Shift A",IF(AND(MOD(M95,1)&gt;=15/24,MOD(M95,1)&lt;23/24),"Shift B","Shift C"))))</f>
        <v/>
      </c>
      <c r="O95" s="52" t="str">
        <f aca="false"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3" t="str">
        <f aca="false">IF(AND(Q$3&gt;=$J95, Q$3&lt;$M95), $A95, "")</f>
        <v/>
      </c>
      <c r="Q95" s="53" t="str">
        <f aca="false">IF(AND(R$3&gt;=$J95, R$3&lt;$M95), $A95, "")</f>
        <v/>
      </c>
      <c r="R95" s="53" t="str">
        <f aca="false">IF(AND(S$3&gt;=$J95, S$3&lt;$M95), $A95, "")</f>
        <v/>
      </c>
      <c r="S95" s="53" t="str">
        <f aca="false">IF(AND(T$3&gt;=$J95, T$3&lt;$M95), $A95, "")</f>
        <v/>
      </c>
      <c r="T95" s="53" t="str">
        <f aca="false">IF(AND(U$3&gt;=$J95, U$3&lt;$M95), $A95, "")</f>
        <v/>
      </c>
      <c r="U95" s="53" t="str">
        <f aca="false">IF(AND(V$3&gt;=$J95, V$3&lt;$M95), $A95, "")</f>
        <v/>
      </c>
      <c r="V95" s="53" t="str">
        <f aca="false">IF(AND(W$3&gt;=$J95, W$3&lt;$M95), $A95, "")</f>
        <v/>
      </c>
      <c r="W95" s="53" t="str">
        <f aca="false">IF(AND(X$3&gt;=$J95, X$3&lt;$M95), $A95, "")</f>
        <v/>
      </c>
      <c r="X95" s="53" t="str">
        <f aca="false">IF(AND(Y$3&gt;=$J95, Y$3&lt;$M95), $A95, "")</f>
        <v/>
      </c>
      <c r="Y95" s="53" t="str">
        <f aca="false">IF(AND(Z$3&gt;=$J95, Z$3&lt;$M95), $A95, "")</f>
        <v/>
      </c>
      <c r="Z95" s="53" t="str">
        <f aca="false">IF(AND(AA$3&gt;=$J95, AA$3&lt;$M95), $A95, "")</f>
        <v/>
      </c>
      <c r="AA95" s="53" t="str">
        <f aca="false">IF(AND(AB$3&gt;=$J95, AB$3&lt;$M95), $A95, "")</f>
        <v/>
      </c>
      <c r="AB95" s="53" t="str">
        <f aca="false">IF(AND(AC$3&gt;=$J95, AC$3&lt;$M95), $A95, "")</f>
        <v/>
      </c>
      <c r="AC95" s="53" t="str">
        <f aca="false">IF(AND(AD$3&gt;=$J95, AD$3&lt;$M95), $A95, "")</f>
        <v/>
      </c>
      <c r="AD95" s="53" t="str">
        <f aca="false">IF(AND(AE$3&gt;=$J95, AE$3&lt;$M95), $A95, "")</f>
        <v/>
      </c>
      <c r="AE95" s="53" t="str">
        <f aca="false">IF(AND(AF$3&gt;=$J95, AF$3&lt;$M95), $A95, "")</f>
        <v/>
      </c>
      <c r="AF95" s="53" t="str">
        <f aca="false">IF(AND(AG$3&gt;=$J95, AG$3&lt;$M95), $A95, "")</f>
        <v/>
      </c>
      <c r="AG95" s="53" t="str">
        <f aca="false">IF(AND(AH$3&gt;=$J95, AH$3&lt;$M95), $A95, "")</f>
        <v/>
      </c>
      <c r="AH95" s="53" t="str">
        <f aca="false">IF(AND(AI$3&gt;=$J95, AI$3&lt;$M95), $A95, "")</f>
        <v/>
      </c>
      <c r="AI95" s="53" t="str">
        <f aca="false">IF(AND(AJ$3&gt;=$J95, AJ$3&lt;$M95), $A95, "")</f>
        <v/>
      </c>
      <c r="AJ95" s="53" t="str">
        <f aca="false">IF(AND(AK$3&gt;=$J95, AK$3&lt;$M95), $A95, "")</f>
        <v/>
      </c>
      <c r="AK95" s="53" t="str">
        <f aca="false">IF(AND(AL$3&gt;=$J95, AL$3&lt;$M95), $A95, "")</f>
        <v/>
      </c>
      <c r="AL95" s="53" t="str">
        <f aca="false">IF(AND(AM$3&gt;=$J95, AM$3&lt;$M95), $A95, "")</f>
        <v/>
      </c>
      <c r="AM95" s="53" t="str">
        <f aca="false">IF(AND(AN$3&gt;=$J95, AN$3&lt;$M95), $A95, "")</f>
        <v/>
      </c>
      <c r="AN95" s="53" t="str">
        <f aca="false">IF(AND(AO$3&gt;=$J95, AO$3&lt;$M95), $A95, "")</f>
        <v/>
      </c>
      <c r="AO95" s="53" t="str">
        <f aca="false">IF(AND(AP$3&gt;=$J95, AP$3&lt;$M95), $A95, "")</f>
        <v/>
      </c>
      <c r="AP95" s="53" t="str">
        <f aca="false">IF(AND(AQ$3&gt;=$J95, AQ$3&lt;$M95), $A95, "")</f>
        <v/>
      </c>
      <c r="AQ95" s="53" t="str">
        <f aca="false">IF(AND(AR$3&gt;=$J95, AR$3&lt;$M95), $A95, "")</f>
        <v/>
      </c>
      <c r="AR95" s="53" t="str">
        <f aca="false">IF(AND(AS$3&gt;=$J95, AS$3&lt;$M95), $A95, "")</f>
        <v/>
      </c>
      <c r="AS95" s="53" t="str">
        <f aca="false">IF(AND(AT$3&gt;=$J95, AT$3&lt;$M95), $A95, "")</f>
        <v/>
      </c>
      <c r="AT95" s="53" t="str">
        <f aca="false">IF(AND(AU$3&gt;=$J95, AU$3&lt;$M95), $A95, "")</f>
        <v/>
      </c>
      <c r="AU95" s="53" t="str">
        <f aca="false">IF(AND(AV$3&gt;=$J95, AV$3&lt;$M95), $A95, "")</f>
        <v/>
      </c>
      <c r="AV95" s="53" t="str">
        <f aca="false">IF(AND(AW$3&gt;=$J95, AW$3&lt;$M95), $A95, "")</f>
        <v/>
      </c>
      <c r="AW95" s="53" t="str">
        <f aca="false">IF(AND(AX$3&gt;=$J95, AX$3&lt;$M95), $A95, "")</f>
        <v/>
      </c>
      <c r="AX95" s="53" t="str">
        <f aca="false">IF(AND(AY$3&gt;=$J95, AY$3&lt;$M95), $A95, "")</f>
        <v/>
      </c>
      <c r="AY95" s="53" t="str">
        <f aca="false">IF(AND(AZ$3&gt;=$J95, AZ$3&lt;$M95), $A95, "")</f>
        <v/>
      </c>
      <c r="AZ95" s="53" t="str">
        <f aca="false">IF(AND(BA$3&gt;=$J95, BA$3&lt;$M95), $A95, "")</f>
        <v/>
      </c>
      <c r="BA95" s="53" t="str">
        <f aca="false">IF(AND(BB$3&gt;=$J95, BB$3&lt;$M95), $A95, "")</f>
        <v/>
      </c>
      <c r="BB95" s="53" t="str">
        <f aca="false">IF(AND(BC$3&gt;=$J95, BC$3&lt;$M95), $A95, "")</f>
        <v/>
      </c>
      <c r="BC95" s="53" t="str">
        <f aca="false">IF(AND(BD$3&gt;=$J95, BD$3&lt;$M95), $A95, "")</f>
        <v/>
      </c>
      <c r="BD95" s="53" t="str">
        <f aca="false">IF(AND(BE$3&gt;=$J95, BE$3&lt;$M95), $A95, "")</f>
        <v/>
      </c>
      <c r="BE95" s="53" t="str">
        <f aca="false">IF(AND(BF$3&gt;=$J95, BF$3&lt;$M95), $A95, "")</f>
        <v/>
      </c>
      <c r="BF95" s="53" t="str">
        <f aca="false">IF(AND(BG$3&gt;=$J95, BG$3&lt;$M95), $A95, "")</f>
        <v/>
      </c>
      <c r="BG95" s="53" t="str">
        <f aca="false">IF(AND(BH$3&gt;=$J95, BH$3&lt;$M95), $A95, "")</f>
        <v/>
      </c>
      <c r="BH95" s="53" t="str">
        <f aca="false">IF(AND(BI$3&gt;=$J95, BI$3&lt;$M95), $A95, "")</f>
        <v/>
      </c>
      <c r="BI95" s="53" t="str">
        <f aca="false">IF(AND(BJ$3&gt;=$J95, BJ$3&lt;$M95), $A95, "")</f>
        <v/>
      </c>
      <c r="BJ95" s="53" t="str">
        <f aca="false">IF(AND(BK$3&gt;=$J95, BK$3&lt;$M95), $A95, "")</f>
        <v/>
      </c>
      <c r="BK95" s="53" t="str">
        <f aca="false">IF(AND(BL$3&gt;=$J95, BL$3&lt;$M95), $A95, "")</f>
        <v/>
      </c>
      <c r="BL95" s="53" t="str">
        <f aca="false">IF(AND(BM$3&gt;=$J95, BM$3&lt;$M95), $A95, "")</f>
        <v/>
      </c>
      <c r="BM95" s="53" t="str">
        <f aca="false">IF(AND(BN$3&gt;=$J95, BN$3&lt;$M95), $A95, "")</f>
        <v/>
      </c>
      <c r="BN95" s="1" t="str">
        <f aca="false">IF(AND(BO$3&gt;=$J95, BO$3&lt;$M95), $A95, "")</f>
        <v/>
      </c>
      <c r="BO95" s="1" t="str">
        <f aca="false">IF(AND(BP$3&gt;=$J95, BP$3&lt;$M95), $A95, "")</f>
        <v/>
      </c>
      <c r="BP95" s="1" t="str">
        <f aca="false">IF(AND(BQ$3&gt;=$J95, BQ$3&lt;$M95), $A95, "")</f>
        <v/>
      </c>
    </row>
    <row r="96" customFormat="false" ht="15" hidden="false" customHeight="true" outlineLevel="0" collapsed="false">
      <c r="A96" s="46" t="str">
        <f aca="false">IF(Job_Master!A96="","",Job_Master!A96)</f>
        <v/>
      </c>
      <c r="B96" s="4" t="str">
        <f aca="false">IF($A96="","",Job_Master!B96)</f>
        <v/>
      </c>
      <c r="C96" s="4" t="str">
        <f aca="false">IF($A96="","",Job_Master!C96)</f>
        <v/>
      </c>
      <c r="D96" s="4" t="str">
        <f aca="false">IF($A96="","",Job_Master!D96)</f>
        <v/>
      </c>
      <c r="E96" s="48" t="str">
        <f aca="false">IF($A96="","",IFERROR(INDEX(Machine_List!$B$82:$B$86,MATCH("*"&amp;$B96&amp;"*",Machine_List!$J$82:$J$86,0)),"NO COMPATIBLE MACHINE"))</f>
        <v/>
      </c>
      <c r="F96" s="4" t="str">
        <f aca="false">IF($E96="","",IFERROR(VLOOKUP($E96,Machine_List!$B:$G,6,0),""))</f>
        <v/>
      </c>
      <c r="G96" s="55" t="str">
        <f aca="false">IF($E96="","",IFERROR(VLOOKUP($E96,Machine_List!$B:$C,2,0),""))</f>
        <v/>
      </c>
      <c r="H96" s="4" t="str">
        <f aca="false">IF($E96="","",IFERROR(VLOOKUP($E96,Machine_List!$B:$D,3,0),""))</f>
        <v/>
      </c>
      <c r="I96" s="56"/>
      <c r="J96" s="57" t="str">
        <f aca="true">IF($A96="","",IF($I96&lt;&gt;"",$I96,MAX(FID_Plan!$M96,IFERROR(LOOKUP(2,1/($E$3:INDIRECT("E"&amp;(ROW()-1))=$E96),$M$3:INDIRECT("M"&amp;(ROW()-1))),FID_Plan!$M96))))</f>
        <v/>
      </c>
      <c r="K96" s="4" t="str">
        <f aca="false">IF($A96="","",IFERROR(VLOOKUP(B96,CHOOSE(MATCH(C96,Settings!$L$4:$L$10,0),OPR_2P!$A$4:$I$18,SEG_6P!$A$4:$I$18,SOL_4P!$A$4:$I$18,RW_2P!$A$4:$I$18,RW2_4P!$A$4:$I$18,FLAP_4P!$A$4:$I$18,TUBE_4P!$A$4:$I$18),8,0),0))</f>
        <v/>
      </c>
      <c r="L96" s="4" t="str">
        <f aca="false">IF($A96="","",K96*D96)</f>
        <v/>
      </c>
      <c r="M96" s="57" t="str">
        <f aca="false">IF($A96="","",$J96+($L96/(IF(F96="Contract Workman",Settings!$K$5,Settings!$K$4))))</f>
        <v/>
      </c>
      <c r="N96" s="4" t="str">
        <f aca="false">IF($A96="","",IF(F96="Contract Workman",IF(AND(MOD(M96,1)&gt;=8/24,MOD(M96,1)&lt;20/24),"Shift S1","Shift S2"),IF(AND(MOD(M96,1)&gt;=7/24,MOD(M96,1)&lt;15/24),"Shift A",IF(AND(MOD(M96,1)&gt;=15/24,MOD(M96,1)&lt;23/24),"Shift B","Shift C"))))</f>
        <v/>
      </c>
      <c r="O96" s="52" t="str">
        <f aca="false"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3" t="str">
        <f aca="false">IF(AND(Q$3&gt;=$J96, Q$3&lt;$M96), $A96, "")</f>
        <v/>
      </c>
      <c r="Q96" s="53" t="str">
        <f aca="false">IF(AND(R$3&gt;=$J96, R$3&lt;$M96), $A96, "")</f>
        <v/>
      </c>
      <c r="R96" s="53" t="str">
        <f aca="false">IF(AND(S$3&gt;=$J96, S$3&lt;$M96), $A96, "")</f>
        <v/>
      </c>
      <c r="S96" s="53" t="str">
        <f aca="false">IF(AND(T$3&gt;=$J96, T$3&lt;$M96), $A96, "")</f>
        <v/>
      </c>
      <c r="T96" s="53" t="str">
        <f aca="false">IF(AND(U$3&gt;=$J96, U$3&lt;$M96), $A96, "")</f>
        <v/>
      </c>
      <c r="U96" s="53" t="str">
        <f aca="false">IF(AND(V$3&gt;=$J96, V$3&lt;$M96), $A96, "")</f>
        <v/>
      </c>
      <c r="V96" s="53" t="str">
        <f aca="false">IF(AND(W$3&gt;=$J96, W$3&lt;$M96), $A96, "")</f>
        <v/>
      </c>
      <c r="W96" s="53" t="str">
        <f aca="false">IF(AND(X$3&gt;=$J96, X$3&lt;$M96), $A96, "")</f>
        <v/>
      </c>
      <c r="X96" s="53" t="str">
        <f aca="false">IF(AND(Y$3&gt;=$J96, Y$3&lt;$M96), $A96, "")</f>
        <v/>
      </c>
      <c r="Y96" s="53" t="str">
        <f aca="false">IF(AND(Z$3&gt;=$J96, Z$3&lt;$M96), $A96, "")</f>
        <v/>
      </c>
      <c r="Z96" s="53" t="str">
        <f aca="false">IF(AND(AA$3&gt;=$J96, AA$3&lt;$M96), $A96, "")</f>
        <v/>
      </c>
      <c r="AA96" s="53" t="str">
        <f aca="false">IF(AND(AB$3&gt;=$J96, AB$3&lt;$M96), $A96, "")</f>
        <v/>
      </c>
      <c r="AB96" s="53" t="str">
        <f aca="false">IF(AND(AC$3&gt;=$J96, AC$3&lt;$M96), $A96, "")</f>
        <v/>
      </c>
      <c r="AC96" s="53" t="str">
        <f aca="false">IF(AND(AD$3&gt;=$J96, AD$3&lt;$M96), $A96, "")</f>
        <v/>
      </c>
      <c r="AD96" s="53" t="str">
        <f aca="false">IF(AND(AE$3&gt;=$J96, AE$3&lt;$M96), $A96, "")</f>
        <v/>
      </c>
      <c r="AE96" s="53" t="str">
        <f aca="false">IF(AND(AF$3&gt;=$J96, AF$3&lt;$M96), $A96, "")</f>
        <v/>
      </c>
      <c r="AF96" s="53" t="str">
        <f aca="false">IF(AND(AG$3&gt;=$J96, AG$3&lt;$M96), $A96, "")</f>
        <v/>
      </c>
      <c r="AG96" s="53" t="str">
        <f aca="false">IF(AND(AH$3&gt;=$J96, AH$3&lt;$M96), $A96, "")</f>
        <v/>
      </c>
      <c r="AH96" s="53" t="str">
        <f aca="false">IF(AND(AI$3&gt;=$J96, AI$3&lt;$M96), $A96, "")</f>
        <v/>
      </c>
      <c r="AI96" s="53" t="str">
        <f aca="false">IF(AND(AJ$3&gt;=$J96, AJ$3&lt;$M96), $A96, "")</f>
        <v/>
      </c>
      <c r="AJ96" s="53" t="str">
        <f aca="false">IF(AND(AK$3&gt;=$J96, AK$3&lt;$M96), $A96, "")</f>
        <v/>
      </c>
      <c r="AK96" s="53" t="str">
        <f aca="false">IF(AND(AL$3&gt;=$J96, AL$3&lt;$M96), $A96, "")</f>
        <v/>
      </c>
      <c r="AL96" s="53" t="str">
        <f aca="false">IF(AND(AM$3&gt;=$J96, AM$3&lt;$M96), $A96, "")</f>
        <v/>
      </c>
      <c r="AM96" s="53" t="str">
        <f aca="false">IF(AND(AN$3&gt;=$J96, AN$3&lt;$M96), $A96, "")</f>
        <v/>
      </c>
      <c r="AN96" s="53" t="str">
        <f aca="false">IF(AND(AO$3&gt;=$J96, AO$3&lt;$M96), $A96, "")</f>
        <v/>
      </c>
      <c r="AO96" s="53" t="str">
        <f aca="false">IF(AND(AP$3&gt;=$J96, AP$3&lt;$M96), $A96, "")</f>
        <v/>
      </c>
      <c r="AP96" s="53" t="str">
        <f aca="false">IF(AND(AQ$3&gt;=$J96, AQ$3&lt;$M96), $A96, "")</f>
        <v/>
      </c>
      <c r="AQ96" s="53" t="str">
        <f aca="false">IF(AND(AR$3&gt;=$J96, AR$3&lt;$M96), $A96, "")</f>
        <v/>
      </c>
      <c r="AR96" s="53" t="str">
        <f aca="false">IF(AND(AS$3&gt;=$J96, AS$3&lt;$M96), $A96, "")</f>
        <v/>
      </c>
      <c r="AS96" s="53" t="str">
        <f aca="false">IF(AND(AT$3&gt;=$J96, AT$3&lt;$M96), $A96, "")</f>
        <v/>
      </c>
      <c r="AT96" s="53" t="str">
        <f aca="false">IF(AND(AU$3&gt;=$J96, AU$3&lt;$M96), $A96, "")</f>
        <v/>
      </c>
      <c r="AU96" s="53" t="str">
        <f aca="false">IF(AND(AV$3&gt;=$J96, AV$3&lt;$M96), $A96, "")</f>
        <v/>
      </c>
      <c r="AV96" s="53" t="str">
        <f aca="false">IF(AND(AW$3&gt;=$J96, AW$3&lt;$M96), $A96, "")</f>
        <v/>
      </c>
      <c r="AW96" s="53" t="str">
        <f aca="false">IF(AND(AX$3&gt;=$J96, AX$3&lt;$M96), $A96, "")</f>
        <v/>
      </c>
      <c r="AX96" s="53" t="str">
        <f aca="false">IF(AND(AY$3&gt;=$J96, AY$3&lt;$M96), $A96, "")</f>
        <v/>
      </c>
      <c r="AY96" s="53" t="str">
        <f aca="false">IF(AND(AZ$3&gt;=$J96, AZ$3&lt;$M96), $A96, "")</f>
        <v/>
      </c>
      <c r="AZ96" s="53" t="str">
        <f aca="false">IF(AND(BA$3&gt;=$J96, BA$3&lt;$M96), $A96, "")</f>
        <v/>
      </c>
      <c r="BA96" s="53" t="str">
        <f aca="false">IF(AND(BB$3&gt;=$J96, BB$3&lt;$M96), $A96, "")</f>
        <v/>
      </c>
      <c r="BB96" s="53" t="str">
        <f aca="false">IF(AND(BC$3&gt;=$J96, BC$3&lt;$M96), $A96, "")</f>
        <v/>
      </c>
      <c r="BC96" s="53" t="str">
        <f aca="false">IF(AND(BD$3&gt;=$J96, BD$3&lt;$M96), $A96, "")</f>
        <v/>
      </c>
      <c r="BD96" s="53" t="str">
        <f aca="false">IF(AND(BE$3&gt;=$J96, BE$3&lt;$M96), $A96, "")</f>
        <v/>
      </c>
      <c r="BE96" s="53" t="str">
        <f aca="false">IF(AND(BF$3&gt;=$J96, BF$3&lt;$M96), $A96, "")</f>
        <v/>
      </c>
      <c r="BF96" s="53" t="str">
        <f aca="false">IF(AND(BG$3&gt;=$J96, BG$3&lt;$M96), $A96, "")</f>
        <v/>
      </c>
      <c r="BG96" s="53" t="str">
        <f aca="false">IF(AND(BH$3&gt;=$J96, BH$3&lt;$M96), $A96, "")</f>
        <v/>
      </c>
      <c r="BH96" s="53" t="str">
        <f aca="false">IF(AND(BI$3&gt;=$J96, BI$3&lt;$M96), $A96, "")</f>
        <v/>
      </c>
      <c r="BI96" s="53" t="str">
        <f aca="false">IF(AND(BJ$3&gt;=$J96, BJ$3&lt;$M96), $A96, "")</f>
        <v/>
      </c>
      <c r="BJ96" s="53" t="str">
        <f aca="false">IF(AND(BK$3&gt;=$J96, BK$3&lt;$M96), $A96, "")</f>
        <v/>
      </c>
      <c r="BK96" s="53" t="str">
        <f aca="false">IF(AND(BL$3&gt;=$J96, BL$3&lt;$M96), $A96, "")</f>
        <v/>
      </c>
      <c r="BL96" s="53" t="str">
        <f aca="false">IF(AND(BM$3&gt;=$J96, BM$3&lt;$M96), $A96, "")</f>
        <v/>
      </c>
      <c r="BM96" s="53" t="str">
        <f aca="false">IF(AND(BN$3&gt;=$J96, BN$3&lt;$M96), $A96, "")</f>
        <v/>
      </c>
      <c r="BN96" s="1" t="str">
        <f aca="false">IF(AND(BO$3&gt;=$J96, BO$3&lt;$M96), $A96, "")</f>
        <v/>
      </c>
      <c r="BO96" s="1" t="str">
        <f aca="false">IF(AND(BP$3&gt;=$J96, BP$3&lt;$M96), $A96, "")</f>
        <v/>
      </c>
      <c r="BP96" s="1" t="str">
        <f aca="false">IF(AND(BQ$3&gt;=$J96, BQ$3&lt;$M96), $A96, "")</f>
        <v/>
      </c>
    </row>
    <row r="97" customFormat="false" ht="15" hidden="false" customHeight="true" outlineLevel="0" collapsed="false">
      <c r="A97" s="46" t="str">
        <f aca="false">IF(Job_Master!A97="","",Job_Master!A97)</f>
        <v/>
      </c>
      <c r="B97" s="4" t="str">
        <f aca="false">IF($A97="","",Job_Master!B97)</f>
        <v/>
      </c>
      <c r="C97" s="4" t="str">
        <f aca="false">IF($A97="","",Job_Master!C97)</f>
        <v/>
      </c>
      <c r="D97" s="4" t="str">
        <f aca="false">IF($A97="","",Job_Master!D97)</f>
        <v/>
      </c>
      <c r="E97" s="48" t="str">
        <f aca="false">IF($A97="","",IFERROR(INDEX(Machine_List!$B$82:$B$86,MATCH("*"&amp;$B97&amp;"*",Machine_List!$J$82:$J$86,0)),"NO COMPATIBLE MACHINE"))</f>
        <v/>
      </c>
      <c r="F97" s="4" t="str">
        <f aca="false">IF($E97="","",IFERROR(VLOOKUP($E97,Machine_List!$B:$G,6,0),""))</f>
        <v/>
      </c>
      <c r="G97" s="55" t="str">
        <f aca="false">IF($E97="","",IFERROR(VLOOKUP($E97,Machine_List!$B:$C,2,0),""))</f>
        <v/>
      </c>
      <c r="H97" s="4" t="str">
        <f aca="false">IF($E97="","",IFERROR(VLOOKUP($E97,Machine_List!$B:$D,3,0),""))</f>
        <v/>
      </c>
      <c r="I97" s="56"/>
      <c r="J97" s="57" t="str">
        <f aca="true">IF($A97="","",IF($I97&lt;&gt;"",$I97,MAX(FID_Plan!$M97,IFERROR(LOOKUP(2,1/($E$3:INDIRECT("E"&amp;(ROW()-1))=$E97),$M$3:INDIRECT("M"&amp;(ROW()-1))),FID_Plan!$M97))))</f>
        <v/>
      </c>
      <c r="K97" s="4" t="str">
        <f aca="false">IF($A97="","",IFERROR(VLOOKUP(B97,CHOOSE(MATCH(C97,Settings!$L$4:$L$10,0),OPR_2P!$A$4:$I$18,SEG_6P!$A$4:$I$18,SOL_4P!$A$4:$I$18,RW_2P!$A$4:$I$18,RW2_4P!$A$4:$I$18,FLAP_4P!$A$4:$I$18,TUBE_4P!$A$4:$I$18),8,0),0))</f>
        <v/>
      </c>
      <c r="L97" s="4" t="str">
        <f aca="false">IF($A97="","",K97*D97)</f>
        <v/>
      </c>
      <c r="M97" s="57" t="str">
        <f aca="false">IF($A97="","",$J97+($L97/(IF(F97="Contract Workman",Settings!$K$5,Settings!$K$4))))</f>
        <v/>
      </c>
      <c r="N97" s="4" t="str">
        <f aca="false">IF($A97="","",IF(F97="Contract Workman",IF(AND(MOD(M97,1)&gt;=8/24,MOD(M97,1)&lt;20/24),"Shift S1","Shift S2"),IF(AND(MOD(M97,1)&gt;=7/24,MOD(M97,1)&lt;15/24),"Shift A",IF(AND(MOD(M97,1)&gt;=15/24,MOD(M97,1)&lt;23/24),"Shift B","Shift C"))))</f>
        <v/>
      </c>
      <c r="O97" s="52" t="str">
        <f aca="false"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3" t="str">
        <f aca="false">IF(AND(Q$3&gt;=$J97, Q$3&lt;$M97), $A97, "")</f>
        <v/>
      </c>
      <c r="Q97" s="53" t="str">
        <f aca="false">IF(AND(R$3&gt;=$J97, R$3&lt;$M97), $A97, "")</f>
        <v/>
      </c>
      <c r="R97" s="53" t="str">
        <f aca="false">IF(AND(S$3&gt;=$J97, S$3&lt;$M97), $A97, "")</f>
        <v/>
      </c>
      <c r="S97" s="53" t="str">
        <f aca="false">IF(AND(T$3&gt;=$J97, T$3&lt;$M97), $A97, "")</f>
        <v/>
      </c>
      <c r="T97" s="53" t="str">
        <f aca="false">IF(AND(U$3&gt;=$J97, U$3&lt;$M97), $A97, "")</f>
        <v/>
      </c>
      <c r="U97" s="53" t="str">
        <f aca="false">IF(AND(V$3&gt;=$J97, V$3&lt;$M97), $A97, "")</f>
        <v/>
      </c>
      <c r="V97" s="53" t="str">
        <f aca="false">IF(AND(W$3&gt;=$J97, W$3&lt;$M97), $A97, "")</f>
        <v/>
      </c>
      <c r="W97" s="53" t="str">
        <f aca="false">IF(AND(X$3&gt;=$J97, X$3&lt;$M97), $A97, "")</f>
        <v/>
      </c>
      <c r="X97" s="53" t="str">
        <f aca="false">IF(AND(Y$3&gt;=$J97, Y$3&lt;$M97), $A97, "")</f>
        <v/>
      </c>
      <c r="Y97" s="53" t="str">
        <f aca="false">IF(AND(Z$3&gt;=$J97, Z$3&lt;$M97), $A97, "")</f>
        <v/>
      </c>
      <c r="Z97" s="53" t="str">
        <f aca="false">IF(AND(AA$3&gt;=$J97, AA$3&lt;$M97), $A97, "")</f>
        <v/>
      </c>
      <c r="AA97" s="53" t="str">
        <f aca="false">IF(AND(AB$3&gt;=$J97, AB$3&lt;$M97), $A97, "")</f>
        <v/>
      </c>
      <c r="AB97" s="53" t="str">
        <f aca="false">IF(AND(AC$3&gt;=$J97, AC$3&lt;$M97), $A97, "")</f>
        <v/>
      </c>
      <c r="AC97" s="53" t="str">
        <f aca="false">IF(AND(AD$3&gt;=$J97, AD$3&lt;$M97), $A97, "")</f>
        <v/>
      </c>
      <c r="AD97" s="53" t="str">
        <f aca="false">IF(AND(AE$3&gt;=$J97, AE$3&lt;$M97), $A97, "")</f>
        <v/>
      </c>
      <c r="AE97" s="53" t="str">
        <f aca="false">IF(AND(AF$3&gt;=$J97, AF$3&lt;$M97), $A97, "")</f>
        <v/>
      </c>
      <c r="AF97" s="53" t="str">
        <f aca="false">IF(AND(AG$3&gt;=$J97, AG$3&lt;$M97), $A97, "")</f>
        <v/>
      </c>
      <c r="AG97" s="53" t="str">
        <f aca="false">IF(AND(AH$3&gt;=$J97, AH$3&lt;$M97), $A97, "")</f>
        <v/>
      </c>
      <c r="AH97" s="53" t="str">
        <f aca="false">IF(AND(AI$3&gt;=$J97, AI$3&lt;$M97), $A97, "")</f>
        <v/>
      </c>
      <c r="AI97" s="53" t="str">
        <f aca="false">IF(AND(AJ$3&gt;=$J97, AJ$3&lt;$M97), $A97, "")</f>
        <v/>
      </c>
      <c r="AJ97" s="53" t="str">
        <f aca="false">IF(AND(AK$3&gt;=$J97, AK$3&lt;$M97), $A97, "")</f>
        <v/>
      </c>
      <c r="AK97" s="53" t="str">
        <f aca="false">IF(AND(AL$3&gt;=$J97, AL$3&lt;$M97), $A97, "")</f>
        <v/>
      </c>
      <c r="AL97" s="53" t="str">
        <f aca="false">IF(AND(AM$3&gt;=$J97, AM$3&lt;$M97), $A97, "")</f>
        <v/>
      </c>
      <c r="AM97" s="53" t="str">
        <f aca="false">IF(AND(AN$3&gt;=$J97, AN$3&lt;$M97), $A97, "")</f>
        <v/>
      </c>
      <c r="AN97" s="53" t="str">
        <f aca="false">IF(AND(AO$3&gt;=$J97, AO$3&lt;$M97), $A97, "")</f>
        <v/>
      </c>
      <c r="AO97" s="53" t="str">
        <f aca="false">IF(AND(AP$3&gt;=$J97, AP$3&lt;$M97), $A97, "")</f>
        <v/>
      </c>
      <c r="AP97" s="53" t="str">
        <f aca="false">IF(AND(AQ$3&gt;=$J97, AQ$3&lt;$M97), $A97, "")</f>
        <v/>
      </c>
      <c r="AQ97" s="53" t="str">
        <f aca="false">IF(AND(AR$3&gt;=$J97, AR$3&lt;$M97), $A97, "")</f>
        <v/>
      </c>
      <c r="AR97" s="53" t="str">
        <f aca="false">IF(AND(AS$3&gt;=$J97, AS$3&lt;$M97), $A97, "")</f>
        <v/>
      </c>
      <c r="AS97" s="53" t="str">
        <f aca="false">IF(AND(AT$3&gt;=$J97, AT$3&lt;$M97), $A97, "")</f>
        <v/>
      </c>
      <c r="AT97" s="53" t="str">
        <f aca="false">IF(AND(AU$3&gt;=$J97, AU$3&lt;$M97), $A97, "")</f>
        <v/>
      </c>
      <c r="AU97" s="53" t="str">
        <f aca="false">IF(AND(AV$3&gt;=$J97, AV$3&lt;$M97), $A97, "")</f>
        <v/>
      </c>
      <c r="AV97" s="53" t="str">
        <f aca="false">IF(AND(AW$3&gt;=$J97, AW$3&lt;$M97), $A97, "")</f>
        <v/>
      </c>
      <c r="AW97" s="53" t="str">
        <f aca="false">IF(AND(AX$3&gt;=$J97, AX$3&lt;$M97), $A97, "")</f>
        <v/>
      </c>
      <c r="AX97" s="53" t="str">
        <f aca="false">IF(AND(AY$3&gt;=$J97, AY$3&lt;$M97), $A97, "")</f>
        <v/>
      </c>
      <c r="AY97" s="53" t="str">
        <f aca="false">IF(AND(AZ$3&gt;=$J97, AZ$3&lt;$M97), $A97, "")</f>
        <v/>
      </c>
      <c r="AZ97" s="53" t="str">
        <f aca="false">IF(AND(BA$3&gt;=$J97, BA$3&lt;$M97), $A97, "")</f>
        <v/>
      </c>
      <c r="BA97" s="53" t="str">
        <f aca="false">IF(AND(BB$3&gt;=$J97, BB$3&lt;$M97), $A97, "")</f>
        <v/>
      </c>
      <c r="BB97" s="53" t="str">
        <f aca="false">IF(AND(BC$3&gt;=$J97, BC$3&lt;$M97), $A97, "")</f>
        <v/>
      </c>
      <c r="BC97" s="53" t="str">
        <f aca="false">IF(AND(BD$3&gt;=$J97, BD$3&lt;$M97), $A97, "")</f>
        <v/>
      </c>
      <c r="BD97" s="53" t="str">
        <f aca="false">IF(AND(BE$3&gt;=$J97, BE$3&lt;$M97), $A97, "")</f>
        <v/>
      </c>
      <c r="BE97" s="53" t="str">
        <f aca="false">IF(AND(BF$3&gt;=$J97, BF$3&lt;$M97), $A97, "")</f>
        <v/>
      </c>
      <c r="BF97" s="53" t="str">
        <f aca="false">IF(AND(BG$3&gt;=$J97, BG$3&lt;$M97), $A97, "")</f>
        <v/>
      </c>
      <c r="BG97" s="53" t="str">
        <f aca="false">IF(AND(BH$3&gt;=$J97, BH$3&lt;$M97), $A97, "")</f>
        <v/>
      </c>
      <c r="BH97" s="53" t="str">
        <f aca="false">IF(AND(BI$3&gt;=$J97, BI$3&lt;$M97), $A97, "")</f>
        <v/>
      </c>
      <c r="BI97" s="53" t="str">
        <f aca="false">IF(AND(BJ$3&gt;=$J97, BJ$3&lt;$M97), $A97, "")</f>
        <v/>
      </c>
      <c r="BJ97" s="53" t="str">
        <f aca="false">IF(AND(BK$3&gt;=$J97, BK$3&lt;$M97), $A97, "")</f>
        <v/>
      </c>
      <c r="BK97" s="53" t="str">
        <f aca="false">IF(AND(BL$3&gt;=$J97, BL$3&lt;$M97), $A97, "")</f>
        <v/>
      </c>
      <c r="BL97" s="53" t="str">
        <f aca="false">IF(AND(BM$3&gt;=$J97, BM$3&lt;$M97), $A97, "")</f>
        <v/>
      </c>
      <c r="BM97" s="53" t="str">
        <f aca="false">IF(AND(BN$3&gt;=$J97, BN$3&lt;$M97), $A97, "")</f>
        <v/>
      </c>
      <c r="BN97" s="1" t="str">
        <f aca="false">IF(AND(BO$3&gt;=$J97, BO$3&lt;$M97), $A97, "")</f>
        <v/>
      </c>
      <c r="BO97" s="1" t="str">
        <f aca="false">IF(AND(BP$3&gt;=$J97, BP$3&lt;$M97), $A97, "")</f>
        <v/>
      </c>
      <c r="BP97" s="1" t="str">
        <f aca="false">IF(AND(BQ$3&gt;=$J97, BQ$3&lt;$M97), $A97, "")</f>
        <v/>
      </c>
    </row>
    <row r="98" customFormat="false" ht="15" hidden="false" customHeight="true" outlineLevel="0" collapsed="false">
      <c r="A98" s="46" t="str">
        <f aca="false">IF(Job_Master!A98="","",Job_Master!A98)</f>
        <v/>
      </c>
      <c r="B98" s="4" t="str">
        <f aca="false">IF($A98="","",Job_Master!B98)</f>
        <v/>
      </c>
      <c r="C98" s="4" t="str">
        <f aca="false">IF($A98="","",Job_Master!C98)</f>
        <v/>
      </c>
      <c r="D98" s="4" t="str">
        <f aca="false">IF($A98="","",Job_Master!D98)</f>
        <v/>
      </c>
      <c r="E98" s="48" t="str">
        <f aca="false">IF($A98="","",IFERROR(INDEX(Machine_List!$B$82:$B$86,MATCH("*"&amp;$B98&amp;"*",Machine_List!$J$82:$J$86,0)),"NO COMPATIBLE MACHINE"))</f>
        <v/>
      </c>
      <c r="F98" s="4" t="str">
        <f aca="false">IF($E98="","",IFERROR(VLOOKUP($E98,Machine_List!$B:$G,6,0),""))</f>
        <v/>
      </c>
      <c r="G98" s="55" t="str">
        <f aca="false">IF($E98="","",IFERROR(VLOOKUP($E98,Machine_List!$B:$C,2,0),""))</f>
        <v/>
      </c>
      <c r="H98" s="4" t="str">
        <f aca="false">IF($E98="","",IFERROR(VLOOKUP($E98,Machine_List!$B:$D,3,0),""))</f>
        <v/>
      </c>
      <c r="I98" s="56"/>
      <c r="J98" s="57" t="str">
        <f aca="true">IF($A98="","",IF($I98&lt;&gt;"",$I98,MAX(FID_Plan!$M98,IFERROR(LOOKUP(2,1/($E$3:INDIRECT("E"&amp;(ROW()-1))=$E98),$M$3:INDIRECT("M"&amp;(ROW()-1))),FID_Plan!$M98))))</f>
        <v/>
      </c>
      <c r="K98" s="4" t="str">
        <f aca="false">IF($A98="","",IFERROR(VLOOKUP(B98,CHOOSE(MATCH(C98,Settings!$L$4:$L$10,0),OPR_2P!$A$4:$I$18,SEG_6P!$A$4:$I$18,SOL_4P!$A$4:$I$18,RW_2P!$A$4:$I$18,RW2_4P!$A$4:$I$18,FLAP_4P!$A$4:$I$18,TUBE_4P!$A$4:$I$18),8,0),0))</f>
        <v/>
      </c>
      <c r="L98" s="4" t="str">
        <f aca="false">IF($A98="","",K98*D98)</f>
        <v/>
      </c>
      <c r="M98" s="57" t="str">
        <f aca="false">IF($A98="","",$J98+($L98/(IF(F98="Contract Workman",Settings!$K$5,Settings!$K$4))))</f>
        <v/>
      </c>
      <c r="N98" s="4" t="str">
        <f aca="false">IF($A98="","",IF(F98="Contract Workman",IF(AND(MOD(M98,1)&gt;=8/24,MOD(M98,1)&lt;20/24),"Shift S1","Shift S2"),IF(AND(MOD(M98,1)&gt;=7/24,MOD(M98,1)&lt;15/24),"Shift A",IF(AND(MOD(M98,1)&gt;=15/24,MOD(M98,1)&lt;23/24),"Shift B","Shift C"))))</f>
        <v/>
      </c>
      <c r="O98" s="52" t="str">
        <f aca="false"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3" t="str">
        <f aca="false">IF(AND(Q$3&gt;=$J98, Q$3&lt;$M98), $A98, "")</f>
        <v/>
      </c>
      <c r="Q98" s="53" t="str">
        <f aca="false">IF(AND(R$3&gt;=$J98, R$3&lt;$M98), $A98, "")</f>
        <v/>
      </c>
      <c r="R98" s="53" t="str">
        <f aca="false">IF(AND(S$3&gt;=$J98, S$3&lt;$M98), $A98, "")</f>
        <v/>
      </c>
      <c r="S98" s="53" t="str">
        <f aca="false">IF(AND(T$3&gt;=$J98, T$3&lt;$M98), $A98, "")</f>
        <v/>
      </c>
      <c r="T98" s="53" t="str">
        <f aca="false">IF(AND(U$3&gt;=$J98, U$3&lt;$M98), $A98, "")</f>
        <v/>
      </c>
      <c r="U98" s="53" t="str">
        <f aca="false">IF(AND(V$3&gt;=$J98, V$3&lt;$M98), $A98, "")</f>
        <v/>
      </c>
      <c r="V98" s="53" t="str">
        <f aca="false">IF(AND(W$3&gt;=$J98, W$3&lt;$M98), $A98, "")</f>
        <v/>
      </c>
      <c r="W98" s="53" t="str">
        <f aca="false">IF(AND(X$3&gt;=$J98, X$3&lt;$M98), $A98, "")</f>
        <v/>
      </c>
      <c r="X98" s="53" t="str">
        <f aca="false">IF(AND(Y$3&gt;=$J98, Y$3&lt;$M98), $A98, "")</f>
        <v/>
      </c>
      <c r="Y98" s="53" t="str">
        <f aca="false">IF(AND(Z$3&gt;=$J98, Z$3&lt;$M98), $A98, "")</f>
        <v/>
      </c>
      <c r="Z98" s="53" t="str">
        <f aca="false">IF(AND(AA$3&gt;=$J98, AA$3&lt;$M98), $A98, "")</f>
        <v/>
      </c>
      <c r="AA98" s="53" t="str">
        <f aca="false">IF(AND(AB$3&gt;=$J98, AB$3&lt;$M98), $A98, "")</f>
        <v/>
      </c>
      <c r="AB98" s="53" t="str">
        <f aca="false">IF(AND(AC$3&gt;=$J98, AC$3&lt;$M98), $A98, "")</f>
        <v/>
      </c>
      <c r="AC98" s="53" t="str">
        <f aca="false">IF(AND(AD$3&gt;=$J98, AD$3&lt;$M98), $A98, "")</f>
        <v/>
      </c>
      <c r="AD98" s="53" t="str">
        <f aca="false">IF(AND(AE$3&gt;=$J98, AE$3&lt;$M98), $A98, "")</f>
        <v/>
      </c>
      <c r="AE98" s="53" t="str">
        <f aca="false">IF(AND(AF$3&gt;=$J98, AF$3&lt;$M98), $A98, "")</f>
        <v/>
      </c>
      <c r="AF98" s="53" t="str">
        <f aca="false">IF(AND(AG$3&gt;=$J98, AG$3&lt;$M98), $A98, "")</f>
        <v/>
      </c>
      <c r="AG98" s="53" t="str">
        <f aca="false">IF(AND(AH$3&gt;=$J98, AH$3&lt;$M98), $A98, "")</f>
        <v/>
      </c>
      <c r="AH98" s="53" t="str">
        <f aca="false">IF(AND(AI$3&gt;=$J98, AI$3&lt;$M98), $A98, "")</f>
        <v/>
      </c>
      <c r="AI98" s="53" t="str">
        <f aca="false">IF(AND(AJ$3&gt;=$J98, AJ$3&lt;$M98), $A98, "")</f>
        <v/>
      </c>
      <c r="AJ98" s="53" t="str">
        <f aca="false">IF(AND(AK$3&gt;=$J98, AK$3&lt;$M98), $A98, "")</f>
        <v/>
      </c>
      <c r="AK98" s="53" t="str">
        <f aca="false">IF(AND(AL$3&gt;=$J98, AL$3&lt;$M98), $A98, "")</f>
        <v/>
      </c>
      <c r="AL98" s="53" t="str">
        <f aca="false">IF(AND(AM$3&gt;=$J98, AM$3&lt;$M98), $A98, "")</f>
        <v/>
      </c>
      <c r="AM98" s="53" t="str">
        <f aca="false">IF(AND(AN$3&gt;=$J98, AN$3&lt;$M98), $A98, "")</f>
        <v/>
      </c>
      <c r="AN98" s="53" t="str">
        <f aca="false">IF(AND(AO$3&gt;=$J98, AO$3&lt;$M98), $A98, "")</f>
        <v/>
      </c>
      <c r="AO98" s="53" t="str">
        <f aca="false">IF(AND(AP$3&gt;=$J98, AP$3&lt;$M98), $A98, "")</f>
        <v/>
      </c>
      <c r="AP98" s="53" t="str">
        <f aca="false">IF(AND(AQ$3&gt;=$J98, AQ$3&lt;$M98), $A98, "")</f>
        <v/>
      </c>
      <c r="AQ98" s="53" t="str">
        <f aca="false">IF(AND(AR$3&gt;=$J98, AR$3&lt;$M98), $A98, "")</f>
        <v/>
      </c>
      <c r="AR98" s="53" t="str">
        <f aca="false">IF(AND(AS$3&gt;=$J98, AS$3&lt;$M98), $A98, "")</f>
        <v/>
      </c>
      <c r="AS98" s="53" t="str">
        <f aca="false">IF(AND(AT$3&gt;=$J98, AT$3&lt;$M98), $A98, "")</f>
        <v/>
      </c>
      <c r="AT98" s="53" t="str">
        <f aca="false">IF(AND(AU$3&gt;=$J98, AU$3&lt;$M98), $A98, "")</f>
        <v/>
      </c>
      <c r="AU98" s="53" t="str">
        <f aca="false">IF(AND(AV$3&gt;=$J98, AV$3&lt;$M98), $A98, "")</f>
        <v/>
      </c>
      <c r="AV98" s="53" t="str">
        <f aca="false">IF(AND(AW$3&gt;=$J98, AW$3&lt;$M98), $A98, "")</f>
        <v/>
      </c>
      <c r="AW98" s="53" t="str">
        <f aca="false">IF(AND(AX$3&gt;=$J98, AX$3&lt;$M98), $A98, "")</f>
        <v/>
      </c>
      <c r="AX98" s="53" t="str">
        <f aca="false">IF(AND(AY$3&gt;=$J98, AY$3&lt;$M98), $A98, "")</f>
        <v/>
      </c>
      <c r="AY98" s="53" t="str">
        <f aca="false">IF(AND(AZ$3&gt;=$J98, AZ$3&lt;$M98), $A98, "")</f>
        <v/>
      </c>
      <c r="AZ98" s="53" t="str">
        <f aca="false">IF(AND(BA$3&gt;=$J98, BA$3&lt;$M98), $A98, "")</f>
        <v/>
      </c>
      <c r="BA98" s="53" t="str">
        <f aca="false">IF(AND(BB$3&gt;=$J98, BB$3&lt;$M98), $A98, "")</f>
        <v/>
      </c>
      <c r="BB98" s="53" t="str">
        <f aca="false">IF(AND(BC$3&gt;=$J98, BC$3&lt;$M98), $A98, "")</f>
        <v/>
      </c>
      <c r="BC98" s="53" t="str">
        <f aca="false">IF(AND(BD$3&gt;=$J98, BD$3&lt;$M98), $A98, "")</f>
        <v/>
      </c>
      <c r="BD98" s="53" t="str">
        <f aca="false">IF(AND(BE$3&gt;=$J98, BE$3&lt;$M98), $A98, "")</f>
        <v/>
      </c>
      <c r="BE98" s="53" t="str">
        <f aca="false">IF(AND(BF$3&gt;=$J98, BF$3&lt;$M98), $A98, "")</f>
        <v/>
      </c>
      <c r="BF98" s="53" t="str">
        <f aca="false">IF(AND(BG$3&gt;=$J98, BG$3&lt;$M98), $A98, "")</f>
        <v/>
      </c>
      <c r="BG98" s="53" t="str">
        <f aca="false">IF(AND(BH$3&gt;=$J98, BH$3&lt;$M98), $A98, "")</f>
        <v/>
      </c>
      <c r="BH98" s="53" t="str">
        <f aca="false">IF(AND(BI$3&gt;=$J98, BI$3&lt;$M98), $A98, "")</f>
        <v/>
      </c>
      <c r="BI98" s="53" t="str">
        <f aca="false">IF(AND(BJ$3&gt;=$J98, BJ$3&lt;$M98), $A98, "")</f>
        <v/>
      </c>
      <c r="BJ98" s="53" t="str">
        <f aca="false">IF(AND(BK$3&gt;=$J98, BK$3&lt;$M98), $A98, "")</f>
        <v/>
      </c>
      <c r="BK98" s="53" t="str">
        <f aca="false">IF(AND(BL$3&gt;=$J98, BL$3&lt;$M98), $A98, "")</f>
        <v/>
      </c>
      <c r="BL98" s="53" t="str">
        <f aca="false">IF(AND(BM$3&gt;=$J98, BM$3&lt;$M98), $A98, "")</f>
        <v/>
      </c>
      <c r="BM98" s="53" t="str">
        <f aca="false">IF(AND(BN$3&gt;=$J98, BN$3&lt;$M98), $A98, "")</f>
        <v/>
      </c>
      <c r="BN98" s="1" t="str">
        <f aca="false">IF(AND(BO$3&gt;=$J98, BO$3&lt;$M98), $A98, "")</f>
        <v/>
      </c>
      <c r="BO98" s="1" t="str">
        <f aca="false">IF(AND(BP$3&gt;=$J98, BP$3&lt;$M98), $A98, "")</f>
        <v/>
      </c>
      <c r="BP98" s="1" t="str">
        <f aca="false">IF(AND(BQ$3&gt;=$J98, BQ$3&lt;$M98), $A98, "")</f>
        <v/>
      </c>
    </row>
    <row r="99" customFormat="false" ht="15" hidden="false" customHeight="true" outlineLevel="0" collapsed="false">
      <c r="A99" s="46" t="str">
        <f aca="false">IF(Job_Master!A99="","",Job_Master!A99)</f>
        <v/>
      </c>
      <c r="B99" s="4" t="str">
        <f aca="false">IF($A99="","",Job_Master!B99)</f>
        <v/>
      </c>
      <c r="C99" s="4" t="str">
        <f aca="false">IF($A99="","",Job_Master!C99)</f>
        <v/>
      </c>
      <c r="D99" s="4" t="str">
        <f aca="false">IF($A99="","",Job_Master!D99)</f>
        <v/>
      </c>
      <c r="E99" s="48" t="str">
        <f aca="false">IF($A99="","",IFERROR(INDEX(Machine_List!$B$82:$B$86,MATCH("*"&amp;$B99&amp;"*",Machine_List!$J$82:$J$86,0)),"NO COMPATIBLE MACHINE"))</f>
        <v/>
      </c>
      <c r="F99" s="4" t="str">
        <f aca="false">IF($E99="","",IFERROR(VLOOKUP($E99,Machine_List!$B:$G,6,0),""))</f>
        <v/>
      </c>
      <c r="G99" s="55" t="str">
        <f aca="false">IF($E99="","",IFERROR(VLOOKUP($E99,Machine_List!$B:$C,2,0),""))</f>
        <v/>
      </c>
      <c r="H99" s="4" t="str">
        <f aca="false">IF($E99="","",IFERROR(VLOOKUP($E99,Machine_List!$B:$D,3,0),""))</f>
        <v/>
      </c>
      <c r="I99" s="56"/>
      <c r="J99" s="57" t="str">
        <f aca="true">IF($A99="","",IF($I99&lt;&gt;"",$I99,MAX(FID_Plan!$M99,IFERROR(LOOKUP(2,1/($E$3:INDIRECT("E"&amp;(ROW()-1))=$E99),$M$3:INDIRECT("M"&amp;(ROW()-1))),FID_Plan!$M99))))</f>
        <v/>
      </c>
      <c r="K99" s="4" t="str">
        <f aca="false">IF($A99="","",IFERROR(VLOOKUP(B99,CHOOSE(MATCH(C99,Settings!$L$4:$L$10,0),OPR_2P!$A$4:$I$18,SEG_6P!$A$4:$I$18,SOL_4P!$A$4:$I$18,RW_2P!$A$4:$I$18,RW2_4P!$A$4:$I$18,FLAP_4P!$A$4:$I$18,TUBE_4P!$A$4:$I$18),8,0),0))</f>
        <v/>
      </c>
      <c r="L99" s="4" t="str">
        <f aca="false">IF($A99="","",K99*D99)</f>
        <v/>
      </c>
      <c r="M99" s="57" t="str">
        <f aca="false">IF($A99="","",$J99+($L99/(IF(F99="Contract Workman",Settings!$K$5,Settings!$K$4))))</f>
        <v/>
      </c>
      <c r="N99" s="4" t="str">
        <f aca="false">IF($A99="","",IF(F99="Contract Workman",IF(AND(MOD(M99,1)&gt;=8/24,MOD(M99,1)&lt;20/24),"Shift S1","Shift S2"),IF(AND(MOD(M99,1)&gt;=7/24,MOD(M99,1)&lt;15/24),"Shift A",IF(AND(MOD(M99,1)&gt;=15/24,MOD(M99,1)&lt;23/24),"Shift B","Shift C"))))</f>
        <v/>
      </c>
      <c r="O99" s="52" t="str">
        <f aca="false"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3" t="str">
        <f aca="false">IF(AND(Q$3&gt;=$J99, Q$3&lt;$M99), $A99, "")</f>
        <v/>
      </c>
      <c r="Q99" s="53" t="str">
        <f aca="false">IF(AND(R$3&gt;=$J99, R$3&lt;$M99), $A99, "")</f>
        <v/>
      </c>
      <c r="R99" s="53" t="str">
        <f aca="false">IF(AND(S$3&gt;=$J99, S$3&lt;$M99), $A99, "")</f>
        <v/>
      </c>
      <c r="S99" s="53" t="str">
        <f aca="false">IF(AND(T$3&gt;=$J99, T$3&lt;$M99), $A99, "")</f>
        <v/>
      </c>
      <c r="T99" s="53" t="str">
        <f aca="false">IF(AND(U$3&gt;=$J99, U$3&lt;$M99), $A99, "")</f>
        <v/>
      </c>
      <c r="U99" s="53" t="str">
        <f aca="false">IF(AND(V$3&gt;=$J99, V$3&lt;$M99), $A99, "")</f>
        <v/>
      </c>
      <c r="V99" s="53" t="str">
        <f aca="false">IF(AND(W$3&gt;=$J99, W$3&lt;$M99), $A99, "")</f>
        <v/>
      </c>
      <c r="W99" s="53" t="str">
        <f aca="false">IF(AND(X$3&gt;=$J99, X$3&lt;$M99), $A99, "")</f>
        <v/>
      </c>
      <c r="X99" s="53" t="str">
        <f aca="false">IF(AND(Y$3&gt;=$J99, Y$3&lt;$M99), $A99, "")</f>
        <v/>
      </c>
      <c r="Y99" s="53" t="str">
        <f aca="false">IF(AND(Z$3&gt;=$J99, Z$3&lt;$M99), $A99, "")</f>
        <v/>
      </c>
      <c r="Z99" s="53" t="str">
        <f aca="false">IF(AND(AA$3&gt;=$J99, AA$3&lt;$M99), $A99, "")</f>
        <v/>
      </c>
      <c r="AA99" s="53" t="str">
        <f aca="false">IF(AND(AB$3&gt;=$J99, AB$3&lt;$M99), $A99, "")</f>
        <v/>
      </c>
      <c r="AB99" s="53" t="str">
        <f aca="false">IF(AND(AC$3&gt;=$J99, AC$3&lt;$M99), $A99, "")</f>
        <v/>
      </c>
      <c r="AC99" s="53" t="str">
        <f aca="false">IF(AND(AD$3&gt;=$J99, AD$3&lt;$M99), $A99, "")</f>
        <v/>
      </c>
      <c r="AD99" s="53" t="str">
        <f aca="false">IF(AND(AE$3&gt;=$J99, AE$3&lt;$M99), $A99, "")</f>
        <v/>
      </c>
      <c r="AE99" s="53" t="str">
        <f aca="false">IF(AND(AF$3&gt;=$J99, AF$3&lt;$M99), $A99, "")</f>
        <v/>
      </c>
      <c r="AF99" s="53" t="str">
        <f aca="false">IF(AND(AG$3&gt;=$J99, AG$3&lt;$M99), $A99, "")</f>
        <v/>
      </c>
      <c r="AG99" s="53" t="str">
        <f aca="false">IF(AND(AH$3&gt;=$J99, AH$3&lt;$M99), $A99, "")</f>
        <v/>
      </c>
      <c r="AH99" s="53" t="str">
        <f aca="false">IF(AND(AI$3&gt;=$J99, AI$3&lt;$M99), $A99, "")</f>
        <v/>
      </c>
      <c r="AI99" s="53" t="str">
        <f aca="false">IF(AND(AJ$3&gt;=$J99, AJ$3&lt;$M99), $A99, "")</f>
        <v/>
      </c>
      <c r="AJ99" s="53" t="str">
        <f aca="false">IF(AND(AK$3&gt;=$J99, AK$3&lt;$M99), $A99, "")</f>
        <v/>
      </c>
      <c r="AK99" s="53" t="str">
        <f aca="false">IF(AND(AL$3&gt;=$J99, AL$3&lt;$M99), $A99, "")</f>
        <v/>
      </c>
      <c r="AL99" s="53" t="str">
        <f aca="false">IF(AND(AM$3&gt;=$J99, AM$3&lt;$M99), $A99, "")</f>
        <v/>
      </c>
      <c r="AM99" s="53" t="str">
        <f aca="false">IF(AND(AN$3&gt;=$J99, AN$3&lt;$M99), $A99, "")</f>
        <v/>
      </c>
      <c r="AN99" s="53" t="str">
        <f aca="false">IF(AND(AO$3&gt;=$J99, AO$3&lt;$M99), $A99, "")</f>
        <v/>
      </c>
      <c r="AO99" s="53" t="str">
        <f aca="false">IF(AND(AP$3&gt;=$J99, AP$3&lt;$M99), $A99, "")</f>
        <v/>
      </c>
      <c r="AP99" s="53" t="str">
        <f aca="false">IF(AND(AQ$3&gt;=$J99, AQ$3&lt;$M99), $A99, "")</f>
        <v/>
      </c>
      <c r="AQ99" s="53" t="str">
        <f aca="false">IF(AND(AR$3&gt;=$J99, AR$3&lt;$M99), $A99, "")</f>
        <v/>
      </c>
      <c r="AR99" s="53" t="str">
        <f aca="false">IF(AND(AS$3&gt;=$J99, AS$3&lt;$M99), $A99, "")</f>
        <v/>
      </c>
      <c r="AS99" s="53" t="str">
        <f aca="false">IF(AND(AT$3&gt;=$J99, AT$3&lt;$M99), $A99, "")</f>
        <v/>
      </c>
      <c r="AT99" s="53" t="str">
        <f aca="false">IF(AND(AU$3&gt;=$J99, AU$3&lt;$M99), $A99, "")</f>
        <v/>
      </c>
      <c r="AU99" s="53" t="str">
        <f aca="false">IF(AND(AV$3&gt;=$J99, AV$3&lt;$M99), $A99, "")</f>
        <v/>
      </c>
      <c r="AV99" s="53" t="str">
        <f aca="false">IF(AND(AW$3&gt;=$J99, AW$3&lt;$M99), $A99, "")</f>
        <v/>
      </c>
      <c r="AW99" s="53" t="str">
        <f aca="false">IF(AND(AX$3&gt;=$J99, AX$3&lt;$M99), $A99, "")</f>
        <v/>
      </c>
      <c r="AX99" s="53" t="str">
        <f aca="false">IF(AND(AY$3&gt;=$J99, AY$3&lt;$M99), $A99, "")</f>
        <v/>
      </c>
      <c r="AY99" s="53" t="str">
        <f aca="false">IF(AND(AZ$3&gt;=$J99, AZ$3&lt;$M99), $A99, "")</f>
        <v/>
      </c>
      <c r="AZ99" s="53" t="str">
        <f aca="false">IF(AND(BA$3&gt;=$J99, BA$3&lt;$M99), $A99, "")</f>
        <v/>
      </c>
      <c r="BA99" s="53" t="str">
        <f aca="false">IF(AND(BB$3&gt;=$J99, BB$3&lt;$M99), $A99, "")</f>
        <v/>
      </c>
      <c r="BB99" s="53" t="str">
        <f aca="false">IF(AND(BC$3&gt;=$J99, BC$3&lt;$M99), $A99, "")</f>
        <v/>
      </c>
      <c r="BC99" s="53" t="str">
        <f aca="false">IF(AND(BD$3&gt;=$J99, BD$3&lt;$M99), $A99, "")</f>
        <v/>
      </c>
      <c r="BD99" s="53" t="str">
        <f aca="false">IF(AND(BE$3&gt;=$J99, BE$3&lt;$M99), $A99, "")</f>
        <v/>
      </c>
      <c r="BE99" s="53" t="str">
        <f aca="false">IF(AND(BF$3&gt;=$J99, BF$3&lt;$M99), $A99, "")</f>
        <v/>
      </c>
      <c r="BF99" s="53" t="str">
        <f aca="false">IF(AND(BG$3&gt;=$J99, BG$3&lt;$M99), $A99, "")</f>
        <v/>
      </c>
      <c r="BG99" s="53" t="str">
        <f aca="false">IF(AND(BH$3&gt;=$J99, BH$3&lt;$M99), $A99, "")</f>
        <v/>
      </c>
      <c r="BH99" s="53" t="str">
        <f aca="false">IF(AND(BI$3&gt;=$J99, BI$3&lt;$M99), $A99, "")</f>
        <v/>
      </c>
      <c r="BI99" s="53" t="str">
        <f aca="false">IF(AND(BJ$3&gt;=$J99, BJ$3&lt;$M99), $A99, "")</f>
        <v/>
      </c>
      <c r="BJ99" s="53" t="str">
        <f aca="false">IF(AND(BK$3&gt;=$J99, BK$3&lt;$M99), $A99, "")</f>
        <v/>
      </c>
      <c r="BK99" s="53" t="str">
        <f aca="false">IF(AND(BL$3&gt;=$J99, BL$3&lt;$M99), $A99, "")</f>
        <v/>
      </c>
      <c r="BL99" s="53" t="str">
        <f aca="false">IF(AND(BM$3&gt;=$J99, BM$3&lt;$M99), $A99, "")</f>
        <v/>
      </c>
      <c r="BM99" s="53" t="str">
        <f aca="false">IF(AND(BN$3&gt;=$J99, BN$3&lt;$M99), $A99, "")</f>
        <v/>
      </c>
      <c r="BN99" s="1" t="str">
        <f aca="false">IF(AND(BO$3&gt;=$J99, BO$3&lt;$M99), $A99, "")</f>
        <v/>
      </c>
      <c r="BO99" s="1" t="str">
        <f aca="false">IF(AND(BP$3&gt;=$J99, BP$3&lt;$M99), $A99, "")</f>
        <v/>
      </c>
      <c r="BP99" s="1" t="str">
        <f aca="false">IF(AND(BQ$3&gt;=$J99, BQ$3&lt;$M99), $A99, "")</f>
        <v/>
      </c>
    </row>
    <row r="100" customFormat="false" ht="15" hidden="false" customHeight="true" outlineLevel="0" collapsed="false">
      <c r="A100" s="46" t="str">
        <f aca="false">IF(Job_Master!A100="","",Job_Master!A100)</f>
        <v/>
      </c>
      <c r="B100" s="4" t="str">
        <f aca="false">IF($A100="","",Job_Master!B100)</f>
        <v/>
      </c>
      <c r="C100" s="4" t="str">
        <f aca="false">IF($A100="","",Job_Master!C100)</f>
        <v/>
      </c>
      <c r="D100" s="4" t="str">
        <f aca="false">IF($A100="","",Job_Master!D100)</f>
        <v/>
      </c>
      <c r="E100" s="48" t="str">
        <f aca="false">IF($A100="","",IFERROR(INDEX(Machine_List!$B$82:$B$86,MATCH("*"&amp;$B100&amp;"*",Machine_List!$J$82:$J$86,0)),"NO COMPATIBLE MACHINE"))</f>
        <v/>
      </c>
      <c r="F100" s="4" t="str">
        <f aca="false">IF($E100="","",IFERROR(VLOOKUP($E100,Machine_List!$B:$G,6,0),""))</f>
        <v/>
      </c>
      <c r="G100" s="55" t="str">
        <f aca="false">IF($E100="","",IFERROR(VLOOKUP($E100,Machine_List!$B:$C,2,0),""))</f>
        <v/>
      </c>
      <c r="H100" s="4" t="str">
        <f aca="false">IF($E100="","",IFERROR(VLOOKUP($E100,Machine_List!$B:$D,3,0),""))</f>
        <v/>
      </c>
      <c r="I100" s="60"/>
      <c r="J100" s="57" t="str">
        <f aca="true">IF($A100="","",IF($I100&lt;&gt;"",$I100,MAX(FID_Plan!$M100,IFERROR(LOOKUP(2,1/($E$3:INDIRECT("E"&amp;(ROW()-1))=$E100),$M$3:INDIRECT("M"&amp;(ROW()-1))),FID_Plan!$M100))))</f>
        <v/>
      </c>
      <c r="K100" s="4" t="str">
        <f aca="false">IF($A100="","",IFERROR(VLOOKUP(B100,CHOOSE(MATCH(C100,Settings!$L$4:$L$10,0),OPR_2P!$A$4:$I$18,SEG_6P!$A$4:$I$18,SOL_4P!$A$4:$I$18,RW_2P!$A$4:$I$18,RW2_4P!$A$4:$I$18,FLAP_4P!$A$4:$I$18,TUBE_4P!$A$4:$I$18),8,0),0))</f>
        <v/>
      </c>
      <c r="L100" s="4" t="str">
        <f aca="false">IF($A100="","",K100*D100)</f>
        <v/>
      </c>
      <c r="M100" s="57" t="str">
        <f aca="false">IF($A100="","",$J100+($L100/(IF(F100="Contract Workman",Settings!$K$5,Settings!$K$4))))</f>
        <v/>
      </c>
      <c r="N100" s="4" t="str">
        <f aca="false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2" t="str">
        <f aca="false"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  <c r="P100" s="1" t="str">
        <f aca="false">IF(AND(Q$3&gt;=$J100, Q$3&lt;$M100), $A100, "")</f>
        <v/>
      </c>
      <c r="Q100" s="1" t="str">
        <f aca="false">IF(AND(R$3&gt;=$J100, R$3&lt;$M100), $A100, "")</f>
        <v/>
      </c>
      <c r="R100" s="1" t="str">
        <f aca="false">IF(AND(S$3&gt;=$J100, S$3&lt;$M100), $A100, "")</f>
        <v/>
      </c>
      <c r="S100" s="1" t="str">
        <f aca="false">IF(AND(T$3&gt;=$J100, T$3&lt;$M100), $A100, "")</f>
        <v/>
      </c>
      <c r="T100" s="1" t="str">
        <f aca="false">IF(AND(U$3&gt;=$J100, U$3&lt;$M100), $A100, "")</f>
        <v/>
      </c>
      <c r="U100" s="1" t="str">
        <f aca="false">IF(AND(V$3&gt;=$J100, V$3&lt;$M100), $A100, "")</f>
        <v/>
      </c>
      <c r="V100" s="1" t="str">
        <f aca="false">IF(AND(W$3&gt;=$J100, W$3&lt;$M100), $A100, "")</f>
        <v/>
      </c>
      <c r="W100" s="1" t="str">
        <f aca="false">IF(AND(X$3&gt;=$J100, X$3&lt;$M100), $A100, "")</f>
        <v/>
      </c>
      <c r="X100" s="1" t="str">
        <f aca="false">IF(AND(Y$3&gt;=$J100, Y$3&lt;$M100), $A100, "")</f>
        <v/>
      </c>
      <c r="Y100" s="1" t="str">
        <f aca="false">IF(AND(Z$3&gt;=$J100, Z$3&lt;$M100), $A100, "")</f>
        <v/>
      </c>
      <c r="Z100" s="1" t="str">
        <f aca="false">IF(AND(AA$3&gt;=$J100, AA$3&lt;$M100), $A100, "")</f>
        <v/>
      </c>
      <c r="AA100" s="1" t="str">
        <f aca="false">IF(AND(AB$3&gt;=$J100, AB$3&lt;$M100), $A100, "")</f>
        <v/>
      </c>
      <c r="AB100" s="1" t="str">
        <f aca="false">IF(AND(AC$3&gt;=$J100, AC$3&lt;$M100), $A100, "")</f>
        <v/>
      </c>
      <c r="AC100" s="1" t="str">
        <f aca="false">IF(AND(AD$3&gt;=$J100, AD$3&lt;$M100), $A100, "")</f>
        <v/>
      </c>
      <c r="AD100" s="1" t="str">
        <f aca="false">IF(AND(AE$3&gt;=$J100, AE$3&lt;$M100), $A100, "")</f>
        <v/>
      </c>
      <c r="AE100" s="1" t="str">
        <f aca="false">IF(AND(AF$3&gt;=$J100, AF$3&lt;$M100), $A100, "")</f>
        <v/>
      </c>
      <c r="AF100" s="1" t="str">
        <f aca="false">IF(AND(AG$3&gt;=$J100, AG$3&lt;$M100), $A100, "")</f>
        <v/>
      </c>
      <c r="AG100" s="1" t="str">
        <f aca="false">IF(AND(AH$3&gt;=$J100, AH$3&lt;$M100), $A100, "")</f>
        <v/>
      </c>
      <c r="AH100" s="1" t="str">
        <f aca="false">IF(AND(AI$3&gt;=$J100, AI$3&lt;$M100), $A100, "")</f>
        <v/>
      </c>
      <c r="AI100" s="1" t="str">
        <f aca="false">IF(AND(AJ$3&gt;=$J100, AJ$3&lt;$M100), $A100, "")</f>
        <v/>
      </c>
      <c r="AJ100" s="1" t="str">
        <f aca="false">IF(AND(AK$3&gt;=$J100, AK$3&lt;$M100), $A100, "")</f>
        <v/>
      </c>
      <c r="AK100" s="1" t="str">
        <f aca="false">IF(AND(AL$3&gt;=$J100, AL$3&lt;$M100), $A100, "")</f>
        <v/>
      </c>
      <c r="AL100" s="1" t="str">
        <f aca="false">IF(AND(AM$3&gt;=$J100, AM$3&lt;$M100), $A100, "")</f>
        <v/>
      </c>
      <c r="AM100" s="1" t="str">
        <f aca="false">IF(AND(AN$3&gt;=$J100, AN$3&lt;$M100), $A100, "")</f>
        <v/>
      </c>
      <c r="AN100" s="1" t="str">
        <f aca="false">IF(AND(AO$3&gt;=$J100, AO$3&lt;$M100), $A100, "")</f>
        <v/>
      </c>
      <c r="AO100" s="1" t="str">
        <f aca="false">IF(AND(AP$3&gt;=$J100, AP$3&lt;$M100), $A100, "")</f>
        <v/>
      </c>
      <c r="AP100" s="1" t="str">
        <f aca="false">IF(AND(AQ$3&gt;=$J100, AQ$3&lt;$M100), $A100, "")</f>
        <v/>
      </c>
      <c r="AQ100" s="1" t="str">
        <f aca="false">IF(AND(AR$3&gt;=$J100, AR$3&lt;$M100), $A100, "")</f>
        <v/>
      </c>
      <c r="AR100" s="1" t="str">
        <f aca="false">IF(AND(AS$3&gt;=$J100, AS$3&lt;$M100), $A100, "")</f>
        <v/>
      </c>
      <c r="AS100" s="1" t="str">
        <f aca="false">IF(AND(AT$3&gt;=$J100, AT$3&lt;$M100), $A100, "")</f>
        <v/>
      </c>
      <c r="AT100" s="1" t="str">
        <f aca="false">IF(AND(AU$3&gt;=$J100, AU$3&lt;$M100), $A100, "")</f>
        <v/>
      </c>
      <c r="AU100" s="1" t="str">
        <f aca="false">IF(AND(AV$3&gt;=$J100, AV$3&lt;$M100), $A100, "")</f>
        <v/>
      </c>
      <c r="AV100" s="1" t="str">
        <f aca="false">IF(AND(AW$3&gt;=$J100, AW$3&lt;$M100), $A100, "")</f>
        <v/>
      </c>
      <c r="AW100" s="1" t="str">
        <f aca="false">IF(AND(AX$3&gt;=$J100, AX$3&lt;$M100), $A100, "")</f>
        <v/>
      </c>
      <c r="AX100" s="1" t="str">
        <f aca="false">IF(AND(AY$3&gt;=$J100, AY$3&lt;$M100), $A100, "")</f>
        <v/>
      </c>
      <c r="AY100" s="1" t="str">
        <f aca="false">IF(AND(AZ$3&gt;=$J100, AZ$3&lt;$M100), $A100, "")</f>
        <v/>
      </c>
      <c r="AZ100" s="1" t="str">
        <f aca="false">IF(AND(BA$3&gt;=$J100, BA$3&lt;$M100), $A100, "")</f>
        <v/>
      </c>
      <c r="BA100" s="1" t="str">
        <f aca="false">IF(AND(BB$3&gt;=$J100, BB$3&lt;$M100), $A100, "")</f>
        <v/>
      </c>
      <c r="BB100" s="1" t="str">
        <f aca="false">IF(AND(BC$3&gt;=$J100, BC$3&lt;$M100), $A100, "")</f>
        <v/>
      </c>
      <c r="BC100" s="1" t="str">
        <f aca="false">IF(AND(BD$3&gt;=$J100, BD$3&lt;$M100), $A100, "")</f>
        <v/>
      </c>
      <c r="BD100" s="1" t="str">
        <f aca="false">IF(AND(BE$3&gt;=$J100, BE$3&lt;$M100), $A100, "")</f>
        <v/>
      </c>
      <c r="BE100" s="1" t="str">
        <f aca="false">IF(AND(BF$3&gt;=$J100, BF$3&lt;$M100), $A100, "")</f>
        <v/>
      </c>
      <c r="BF100" s="1" t="str">
        <f aca="false">IF(AND(BG$3&gt;=$J100, BG$3&lt;$M100), $A100, "")</f>
        <v/>
      </c>
      <c r="BG100" s="1" t="str">
        <f aca="false">IF(AND(BH$3&gt;=$J100, BH$3&lt;$M100), $A100, "")</f>
        <v/>
      </c>
      <c r="BH100" s="1" t="str">
        <f aca="false">IF(AND(BI$3&gt;=$J100, BI$3&lt;$M100), $A100, "")</f>
        <v/>
      </c>
      <c r="BI100" s="1" t="str">
        <f aca="false">IF(AND(BJ$3&gt;=$J100, BJ$3&lt;$M100), $A100, "")</f>
        <v/>
      </c>
      <c r="BJ100" s="1" t="str">
        <f aca="false">IF(AND(BK$3&gt;=$J100, BK$3&lt;$M100), $A100, "")</f>
        <v/>
      </c>
      <c r="BK100" s="1" t="str">
        <f aca="false">IF(AND(BL$3&gt;=$J100, BL$3&lt;$M100), $A100, "")</f>
        <v/>
      </c>
      <c r="BL100" s="1" t="str">
        <f aca="false">IF(AND(BM$3&gt;=$J100, BM$3&lt;$M100), $A100, "")</f>
        <v/>
      </c>
      <c r="BM100" s="1" t="str">
        <f aca="false">IF(AND(BN$3&gt;=$J100, BN$3&lt;$M100), $A100, "")</f>
        <v/>
      </c>
      <c r="BN100" s="1" t="str">
        <f aca="false">IF(AND(BO$3&gt;=$J100, BO$3&lt;$M100), $A100, "")</f>
        <v/>
      </c>
      <c r="BO100" s="1" t="str">
        <f aca="false">IF(AND(BP$3&gt;=$J100, BP$3&lt;$M100), $A100, "")</f>
        <v/>
      </c>
      <c r="BP100" s="1" t="str">
        <f aca="false">IF(AND(BQ$3&gt;=$J100, BQ$3&lt;$M100), $A100, "")</f>
        <v/>
      </c>
    </row>
    <row r="101" customFormat="false" ht="15" hidden="false" customHeight="true" outlineLevel="0" collapsed="false">
      <c r="A101" s="46" t="str">
        <f aca="false">IF(Job_Master!A101="","",Job_Master!A101)</f>
        <v/>
      </c>
      <c r="B101" s="4" t="str">
        <f aca="false">IF($A101="","",Job_Master!B101)</f>
        <v/>
      </c>
      <c r="C101" s="4" t="str">
        <f aca="false">IF($A101="","",Job_Master!C101)</f>
        <v/>
      </c>
      <c r="D101" s="4" t="str">
        <f aca="false">IF($A101="","",Job_Master!D101)</f>
        <v/>
      </c>
      <c r="E101" s="48" t="str">
        <f aca="false">IF($A101="","",IFERROR(INDEX(Machine_List!$B$82:$B$86,MATCH("*"&amp;$B101&amp;"*",Machine_List!$J$82:$J$86,0)),"NO COMPATIBLE MACHINE"))</f>
        <v/>
      </c>
      <c r="F101" s="4" t="str">
        <f aca="false">IF($E101="","",IFERROR(VLOOKUP($E101,Machine_List!$B:$G,6,0),""))</f>
        <v/>
      </c>
      <c r="G101" s="55" t="str">
        <f aca="false">IF($E101="","",IFERROR(VLOOKUP($E101,Machine_List!$B:$C,2,0),""))</f>
        <v/>
      </c>
      <c r="H101" s="4" t="str">
        <f aca="false">IF($E101="","",IFERROR(VLOOKUP($E101,Machine_List!$B:$D,3,0),""))</f>
        <v/>
      </c>
      <c r="J101" s="57" t="str">
        <f aca="true">IF($A101="","",IF($I101&lt;&gt;"",$I101,MAX(FID_Plan!$M101,IFERROR(LOOKUP(2,1/($E$3:INDIRECT("E"&amp;(ROW()-1))=$E101),$M$3:INDIRECT("M"&amp;(ROW()-1))),FID_Plan!$M101))))</f>
        <v/>
      </c>
      <c r="K101" s="4" t="str">
        <f aca="false">IF($A101="","",IFERROR(VLOOKUP(B101,CHOOSE(MATCH(C101,Settings!$L$4:$L$10,0),OPR_2P!$A$4:$I$18,SEG_6P!$A$4:$I$18,SOL_4P!$A$4:$I$18,RW_2P!$A$4:$I$18,RW2_4P!$A$4:$I$18,FLAP_4P!$A$4:$I$18,TUBE_4P!$A$4:$I$18),8,0),0))</f>
        <v/>
      </c>
      <c r="L101" s="4" t="str">
        <f aca="false">IF($A101="","",K101*D101)</f>
        <v/>
      </c>
      <c r="M101" s="57" t="str">
        <f aca="false">IF($A101="","",$J101+($L101/(IF(F101="Contract Workman",Settings!$K$5,Settings!$K$4))))</f>
        <v/>
      </c>
      <c r="N101" s="4" t="str">
        <f aca="false">IF($A101="","",IF(F101="Contract Workman",IF(AND(MOD(M101,1)&gt;=8/24,MOD(M101,1)&lt;20/24),"Shift S1","Shift S2"),IF(AND(MOD(M101,1)&gt;=7/24,MOD(M101,1)&lt;15/24),"Shift A",IF(AND(MOD(M101,1)&gt;=15/24,MOD(M101,1)&lt;23/24),"Shift B","Shift C"))))</f>
        <v/>
      </c>
      <c r="O101" s="52"/>
    </row>
    <row r="102" customFormat="false" ht="15" hidden="false" customHeight="true" outlineLevel="0" collapsed="false">
      <c r="A102" s="46" t="str">
        <f aca="false">IF(Job_Master!A102="","",Job_Master!A102)</f>
        <v/>
      </c>
      <c r="B102" s="4" t="str">
        <f aca="false">IF($A102="","",Job_Master!B102)</f>
        <v/>
      </c>
      <c r="C102" s="4" t="str">
        <f aca="false">IF($A102="","",Job_Master!C102)</f>
        <v/>
      </c>
      <c r="D102" s="4" t="str">
        <f aca="false">IF($A102="","",Job_Master!D102)</f>
        <v/>
      </c>
      <c r="E102" s="48" t="str">
        <f aca="false">IF($A102="","",IFERROR(INDEX(Machine_List!$B$82:$B$86,MATCH("*"&amp;$B102&amp;"*",Machine_List!$J$82:$J$86,0)),"NO COMPATIBLE MACHINE"))</f>
        <v/>
      </c>
      <c r="F102" s="4" t="str">
        <f aca="false">IF($E102="","",IFERROR(VLOOKUP($E102,Machine_List!$B:$G,6,0),""))</f>
        <v/>
      </c>
      <c r="G102" s="55" t="str">
        <f aca="false">IF($E102="","",IFERROR(VLOOKUP($E102,Machine_List!$B:$C,2,0),""))</f>
        <v/>
      </c>
      <c r="H102" s="4" t="str">
        <f aca="false">IF($E102="","",IFERROR(VLOOKUP($E102,Machine_List!$B:$D,3,0),""))</f>
        <v/>
      </c>
      <c r="J102" s="57" t="str">
        <f aca="true">IF($A102="","",IF($I102&lt;&gt;"",$I102,MAX(FID_Plan!$M102,IFERROR(LOOKUP(2,1/($E$3:INDIRECT("E"&amp;(ROW()-1))=$E102),$M$3:INDIRECT("M"&amp;(ROW()-1))),FID_Plan!$M102))))</f>
        <v/>
      </c>
      <c r="K102" s="4" t="str">
        <f aca="false">IF($A102="","",IFERROR(VLOOKUP(B102,CHOOSE(MATCH(C102,Settings!$L$4:$L$10,0),OPR_2P!$A$4:$I$18,SEG_6P!$A$4:$I$18,SOL_4P!$A$4:$I$18,RW_2P!$A$4:$I$18,RW2_4P!$A$4:$I$18,FLAP_4P!$A$4:$I$18,TUBE_4P!$A$4:$I$18),8,0),0))</f>
        <v/>
      </c>
      <c r="L102" s="4" t="str">
        <f aca="false">IF($A102="","",K102*D102)</f>
        <v/>
      </c>
      <c r="M102" s="57" t="str">
        <f aca="false">IF($A102="","",$J102+($L102/(IF(F102="Contract Workman",Settings!$K$5,Settings!$K$4))))</f>
        <v/>
      </c>
      <c r="N102" s="4" t="str">
        <f aca="false">IF($A102="","",IF(F102="Contract Workman",IF(AND(MOD(M102,1)&gt;=8/24,MOD(M102,1)&lt;20/24),"Shift S1","Shift S2"),IF(AND(MOD(M102,1)&gt;=7/24,MOD(M102,1)&lt;15/24),"Shift A",IF(AND(MOD(M102,1)&gt;=15/24,MOD(M102,1)&lt;23/24),"Shift B","Shift C"))))</f>
        <v/>
      </c>
      <c r="O102" s="52"/>
    </row>
    <row r="103" customFormat="false" ht="15" hidden="false" customHeight="true" outlineLevel="0" collapsed="false">
      <c r="A103" s="46" t="str">
        <f aca="false">IF(Job_Master!A103="","",Job_Master!A103)</f>
        <v/>
      </c>
      <c r="B103" s="4" t="str">
        <f aca="false">IF($A103="","",Job_Master!B103)</f>
        <v/>
      </c>
      <c r="C103" s="4" t="str">
        <f aca="false">IF($A103="","",Job_Master!C103)</f>
        <v/>
      </c>
      <c r="D103" s="4" t="str">
        <f aca="false">IF($A103="","",Job_Master!D103)</f>
        <v/>
      </c>
      <c r="E103" s="48" t="str">
        <f aca="false">IF($A103="","",IFERROR(INDEX(Machine_List!$B$82:$B$86,MATCH("*"&amp;$B103&amp;"*",Machine_List!$J$82:$J$86,0)),"NO COMPATIBLE MACHINE"))</f>
        <v/>
      </c>
      <c r="F103" s="4" t="str">
        <f aca="false">IF($E103="","",IFERROR(VLOOKUP($E103,Machine_List!$B:$G,6,0),""))</f>
        <v/>
      </c>
      <c r="G103" s="55" t="str">
        <f aca="false">IF($E103="","",IFERROR(VLOOKUP($E103,Machine_List!$B:$C,2,0),""))</f>
        <v/>
      </c>
      <c r="H103" s="4" t="str">
        <f aca="false">IF($E103="","",IFERROR(VLOOKUP($E103,Machine_List!$B:$D,3,0),""))</f>
        <v/>
      </c>
      <c r="J103" s="57" t="str">
        <f aca="true">IF($A103="","",IF($I103&lt;&gt;"",$I103,MAX(FID_Plan!$M103,IFERROR(LOOKUP(2,1/($E$3:INDIRECT("E"&amp;(ROW()-1))=$E103),$M$3:INDIRECT("M"&amp;(ROW()-1))),FID_Plan!$M103))))</f>
        <v/>
      </c>
      <c r="K103" s="4" t="str">
        <f aca="false">IF($A103="","",IFERROR(VLOOKUP(B103,CHOOSE(MATCH(C103,Settings!$L$4:$L$10,0),OPR_2P!$A$4:$I$18,SEG_6P!$A$4:$I$18,SOL_4P!$A$4:$I$18,RW_2P!$A$4:$I$18,RW2_4P!$A$4:$I$18,FLAP_4P!$A$4:$I$18,TUBE_4P!$A$4:$I$18),8,0),0))</f>
        <v/>
      </c>
      <c r="L103" s="4" t="str">
        <f aca="false">IF($A103="","",K103*D103)</f>
        <v/>
      </c>
      <c r="M103" s="57" t="str">
        <f aca="false">IF($A103="","",$J103+($L103/(IF(F103="Contract Workman",Settings!$K$5,Settings!$K$4))))</f>
        <v/>
      </c>
      <c r="N103" s="4" t="str">
        <f aca="false">IF($A103="","",IF(F103="Contract Workman",IF(AND(MOD(M103,1)&gt;=8/24,MOD(M103,1)&lt;20/24),"Shift S1","Shift S2"),IF(AND(MOD(M103,1)&gt;=7/24,MOD(M103,1)&lt;15/24),"Shift A",IF(AND(MOD(M103,1)&gt;=15/24,MOD(M103,1)&lt;23/24),"Shift B","Shift C"))))</f>
        <v/>
      </c>
      <c r="O103" s="52"/>
    </row>
    <row r="104" customFormat="false" ht="15" hidden="false" customHeight="true" outlineLevel="0" collapsed="false">
      <c r="L104" s="1" t="str">
        <f aca="false">IF($A104="","",K104*D104)</f>
        <v/>
      </c>
      <c r="O104" s="52"/>
    </row>
    <row r="105" customFormat="false" ht="15" hidden="false" customHeight="true" outlineLevel="0" collapsed="false">
      <c r="L105" s="1" t="str">
        <f aca="false">IF($A105="","",K105*D105)</f>
        <v/>
      </c>
      <c r="O105" s="52"/>
    </row>
    <row r="106" customFormat="false" ht="15" hidden="false" customHeight="true" outlineLevel="0" collapsed="false">
      <c r="L106" s="1" t="str">
        <f aca="false">IF($A106="","",K106*D106)</f>
        <v/>
      </c>
      <c r="O106" s="52"/>
    </row>
    <row r="107" customFormat="false" ht="15" hidden="false" customHeight="true" outlineLevel="0" collapsed="false">
      <c r="L107" s="1" t="str">
        <f aca="false">IF($A107="","",K107*D107)</f>
        <v/>
      </c>
      <c r="O107" s="52"/>
    </row>
    <row r="108" customFormat="false" ht="15" hidden="false" customHeight="true" outlineLevel="0" collapsed="false">
      <c r="L108" s="1" t="str">
        <f aca="false">IF($A108="","",K108*D108)</f>
        <v/>
      </c>
      <c r="O108" s="52"/>
    </row>
    <row r="109" customFormat="false" ht="15" hidden="false" customHeight="true" outlineLevel="0" collapsed="false">
      <c r="L109" s="1" t="str">
        <f aca="false">IF($A109="","",K109*D109)</f>
        <v/>
      </c>
      <c r="O109" s="52"/>
    </row>
    <row r="110" customFormat="false" ht="15" hidden="false" customHeight="true" outlineLevel="0" collapsed="false">
      <c r="L110" s="1" t="str">
        <f aca="false">IF($A110="","",K110*D110)</f>
        <v/>
      </c>
      <c r="O110" s="52"/>
    </row>
    <row r="111" customFormat="false" ht="15" hidden="false" customHeight="true" outlineLevel="0" collapsed="false">
      <c r="L111" s="1" t="str">
        <f aca="false">IF($A111="","",K111*D111)</f>
        <v/>
      </c>
      <c r="O111" s="52"/>
    </row>
    <row r="112" customFormat="false" ht="15" hidden="false" customHeight="true" outlineLevel="0" collapsed="false">
      <c r="L112" s="1" t="str">
        <f aca="false">IF($A112="","",K112*D112)</f>
        <v/>
      </c>
      <c r="O112" s="52"/>
    </row>
    <row r="113" customFormat="false" ht="15" hidden="false" customHeight="true" outlineLevel="0" collapsed="false">
      <c r="L113" s="1" t="str">
        <f aca="false">IF($A113="","",K113*D113)</f>
        <v/>
      </c>
      <c r="O113" s="52"/>
    </row>
    <row r="114" customFormat="false" ht="15" hidden="false" customHeight="true" outlineLevel="0" collapsed="false">
      <c r="L114" s="1" t="str">
        <f aca="false">IF($A114="","",K114*D114)</f>
        <v/>
      </c>
      <c r="O114" s="52"/>
    </row>
    <row r="115" customFormat="false" ht="15" hidden="false" customHeight="true" outlineLevel="0" collapsed="false">
      <c r="L115" s="1" t="str">
        <f aca="false">IF($A115="","",K115*D115)</f>
        <v/>
      </c>
      <c r="O115" s="52"/>
    </row>
    <row r="116" customFormat="false" ht="15" hidden="false" customHeight="true" outlineLevel="0" collapsed="false">
      <c r="L116" s="1" t="str">
        <f aca="false">IF($A116="","",K116*D116)</f>
        <v/>
      </c>
      <c r="O116" s="52"/>
    </row>
    <row r="117" customFormat="false" ht="15" hidden="false" customHeight="true" outlineLevel="0" collapsed="false">
      <c r="L117" s="1" t="str">
        <f aca="false">IF($A117="","",K117*D117)</f>
        <v/>
      </c>
      <c r="O117" s="52"/>
    </row>
    <row r="118" customFormat="false" ht="15" hidden="false" customHeight="true" outlineLevel="0" collapsed="false">
      <c r="L118" s="1" t="str">
        <f aca="false">IF($A118="","",K118*D118)</f>
        <v/>
      </c>
      <c r="O118" s="52"/>
    </row>
    <row r="119" customFormat="false" ht="15" hidden="false" customHeight="true" outlineLevel="0" collapsed="false">
      <c r="L119" s="1" t="str">
        <f aca="false">IF($A119="","",K119*D119)</f>
        <v/>
      </c>
      <c r="O119" s="52"/>
    </row>
    <row r="120" customFormat="false" ht="15" hidden="false" customHeight="true" outlineLevel="0" collapsed="false">
      <c r="L120" s="1" t="str">
        <f aca="false">IF($A120="","",K120*D120)</f>
        <v/>
      </c>
      <c r="O120" s="52"/>
    </row>
    <row r="121" customFormat="false" ht="15" hidden="false" customHeight="true" outlineLevel="0" collapsed="false">
      <c r="L121" s="1" t="str">
        <f aca="false">IF($A121="","",K121*D121)</f>
        <v/>
      </c>
      <c r="O121" s="52"/>
    </row>
    <row r="122" customFormat="false" ht="15" hidden="false" customHeight="true" outlineLevel="0" collapsed="false">
      <c r="L122" s="1" t="str">
        <f aca="false">IF($A122="","",K122*D122)</f>
        <v/>
      </c>
      <c r="O122" s="52"/>
    </row>
    <row r="123" customFormat="false" ht="15" hidden="false" customHeight="true" outlineLevel="0" collapsed="false">
      <c r="L123" s="1" t="str">
        <f aca="false">IF($A123="","",K123*D123)</f>
        <v/>
      </c>
      <c r="O123" s="52"/>
    </row>
    <row r="124" customFormat="false" ht="15" hidden="false" customHeight="true" outlineLevel="0" collapsed="false">
      <c r="L124" s="1" t="str">
        <f aca="false">IF($A124="","",K124*D124)</f>
        <v/>
      </c>
      <c r="O124" s="52"/>
    </row>
    <row r="125" customFormat="false" ht="15" hidden="false" customHeight="true" outlineLevel="0" collapsed="false">
      <c r="L125" s="1" t="str">
        <f aca="false">IF($A125="","",K125*D125)</f>
        <v/>
      </c>
      <c r="O125" s="52"/>
    </row>
    <row r="126" customFormat="false" ht="15" hidden="false" customHeight="true" outlineLevel="0" collapsed="false">
      <c r="L126" s="1" t="str">
        <f aca="false">IF($A126="","",K126*D126)</f>
        <v/>
      </c>
      <c r="O126" s="52"/>
    </row>
    <row r="127" customFormat="false" ht="15" hidden="false" customHeight="true" outlineLevel="0" collapsed="false">
      <c r="L127" s="1" t="str">
        <f aca="false">IF($A127="","",K127*D127)</f>
        <v/>
      </c>
      <c r="O127" s="52"/>
    </row>
    <row r="128" customFormat="false" ht="15" hidden="false" customHeight="true" outlineLevel="0" collapsed="false">
      <c r="L128" s="1" t="str">
        <f aca="false">IF($A128="","",K128*D128)</f>
        <v/>
      </c>
      <c r="O128" s="52"/>
    </row>
    <row r="129" customFormat="false" ht="15" hidden="false" customHeight="true" outlineLevel="0" collapsed="false">
      <c r="L129" s="1" t="str">
        <f aca="false">IF($A129="","",K129*D129)</f>
        <v/>
      </c>
      <c r="O129" s="52"/>
    </row>
    <row r="130" customFormat="false" ht="15" hidden="false" customHeight="true" outlineLevel="0" collapsed="false">
      <c r="L130" s="1" t="str">
        <f aca="false">IF($A130="","",K130*D130)</f>
        <v/>
      </c>
      <c r="O130" s="52"/>
    </row>
    <row r="131" customFormat="false" ht="15" hidden="false" customHeight="true" outlineLevel="0" collapsed="false">
      <c r="L131" s="1" t="str">
        <f aca="false">IF($A131="","",K131*D131)</f>
        <v/>
      </c>
      <c r="O131" s="52"/>
    </row>
    <row r="132" customFormat="false" ht="15" hidden="false" customHeight="true" outlineLevel="0" collapsed="false">
      <c r="L132" s="1" t="str">
        <f aca="false">IF($A132="","",K132*D132)</f>
        <v/>
      </c>
      <c r="O132" s="52"/>
    </row>
    <row r="133" customFormat="false" ht="15" hidden="false" customHeight="true" outlineLevel="0" collapsed="false">
      <c r="L133" s="1" t="str">
        <f aca="false">IF($A133="","",K133*D133)</f>
        <v/>
      </c>
      <c r="O133" s="52"/>
    </row>
    <row r="134" customFormat="false" ht="15" hidden="false" customHeight="true" outlineLevel="0" collapsed="false">
      <c r="L134" s="1" t="str">
        <f aca="false">IF($A134="","",K134*D134)</f>
        <v/>
      </c>
      <c r="O134" s="52"/>
    </row>
    <row r="135" customFormat="false" ht="15" hidden="false" customHeight="true" outlineLevel="0" collapsed="false">
      <c r="L135" s="1" t="str">
        <f aca="false">IF($A135="","",K135*D135)</f>
        <v/>
      </c>
      <c r="O135" s="52"/>
    </row>
    <row r="136" customFormat="false" ht="15" hidden="false" customHeight="true" outlineLevel="0" collapsed="false">
      <c r="L136" s="1" t="str">
        <f aca="false">IF($A136="","",K136*D136)</f>
        <v/>
      </c>
      <c r="O136" s="52"/>
    </row>
    <row r="137" customFormat="false" ht="15" hidden="false" customHeight="true" outlineLevel="0" collapsed="false">
      <c r="L137" s="1" t="str">
        <f aca="false">IF($A137="","",K137*D137)</f>
        <v/>
      </c>
      <c r="O137" s="52"/>
    </row>
    <row r="138" customFormat="false" ht="15" hidden="false" customHeight="true" outlineLevel="0" collapsed="false">
      <c r="L138" s="1" t="str">
        <f aca="false">IF($A138="","",K138*D138)</f>
        <v/>
      </c>
      <c r="O138" s="52"/>
    </row>
    <row r="139" customFormat="false" ht="15" hidden="false" customHeight="true" outlineLevel="0" collapsed="false">
      <c r="L139" s="1" t="str">
        <f aca="false">IF($A139="","",K139*D139)</f>
        <v/>
      </c>
      <c r="O139" s="52"/>
    </row>
    <row r="140" customFormat="false" ht="15" hidden="false" customHeight="true" outlineLevel="0" collapsed="false">
      <c r="L140" s="1" t="str">
        <f aca="false">IF($A140="","",K140*D140)</f>
        <v/>
      </c>
      <c r="O140" s="52"/>
    </row>
    <row r="141" customFormat="false" ht="15" hidden="false" customHeight="true" outlineLevel="0" collapsed="false">
      <c r="L141" s="1" t="str">
        <f aca="false">IF($A141="","",K141*D141)</f>
        <v/>
      </c>
      <c r="O141" s="52"/>
    </row>
    <row r="142" customFormat="false" ht="15" hidden="false" customHeight="true" outlineLevel="0" collapsed="false">
      <c r="L142" s="1" t="str">
        <f aca="false">IF($A142="","",K142*D142)</f>
        <v/>
      </c>
      <c r="O142" s="52"/>
    </row>
    <row r="143" customFormat="false" ht="15" hidden="false" customHeight="true" outlineLevel="0" collapsed="false">
      <c r="L143" s="1" t="str">
        <f aca="false">IF($A143="","",K143*D143)</f>
        <v/>
      </c>
      <c r="O143" s="52"/>
    </row>
    <row r="144" customFormat="false" ht="15" hidden="false" customHeight="true" outlineLevel="0" collapsed="false">
      <c r="L144" s="1" t="str">
        <f aca="false">IF($A144="","",K144*D144)</f>
        <v/>
      </c>
      <c r="O144" s="52"/>
    </row>
    <row r="145" customFormat="false" ht="15" hidden="false" customHeight="true" outlineLevel="0" collapsed="false">
      <c r="L145" s="1" t="str">
        <f aca="false">IF($A145="","",K145*D145)</f>
        <v/>
      </c>
      <c r="O145" s="52"/>
    </row>
    <row r="146" customFormat="false" ht="15" hidden="false" customHeight="true" outlineLevel="0" collapsed="false">
      <c r="L146" s="1" t="str">
        <f aca="false">IF($A146="","",K146*D146)</f>
        <v/>
      </c>
      <c r="O146" s="52"/>
    </row>
    <row r="147" customFormat="false" ht="15" hidden="false" customHeight="true" outlineLevel="0" collapsed="false">
      <c r="L147" s="1" t="str">
        <f aca="false">IF($A147="","",K147*D147)</f>
        <v/>
      </c>
      <c r="O147" s="52"/>
    </row>
    <row r="148" customFormat="false" ht="15" hidden="false" customHeight="true" outlineLevel="0" collapsed="false">
      <c r="L148" s="1" t="str">
        <f aca="false">IF($A148="","",K148*D148)</f>
        <v/>
      </c>
      <c r="O148" s="52"/>
    </row>
    <row r="149" customFormat="false" ht="15" hidden="false" customHeight="true" outlineLevel="0" collapsed="false">
      <c r="L149" s="1" t="str">
        <f aca="false">IF($A149="","",K149*D149)</f>
        <v/>
      </c>
      <c r="O149" s="52"/>
    </row>
    <row r="150" customFormat="false" ht="15" hidden="false" customHeight="true" outlineLevel="0" collapsed="false">
      <c r="L150" s="1" t="str">
        <f aca="false">IF($A150="","",K150*D150)</f>
        <v/>
      </c>
      <c r="O150" s="52"/>
    </row>
    <row r="151" customFormat="false" ht="15" hidden="false" customHeight="true" outlineLevel="0" collapsed="false">
      <c r="L151" s="1" t="str">
        <f aca="false">IF($A151="","",K151*D151)</f>
        <v/>
      </c>
      <c r="O151" s="52"/>
    </row>
    <row r="152" customFormat="false" ht="15" hidden="false" customHeight="true" outlineLevel="0" collapsed="false">
      <c r="L152" s="1" t="str">
        <f aca="false">IF($A152="","",K152*D152)</f>
        <v/>
      </c>
      <c r="O152" s="52"/>
    </row>
    <row r="153" customFormat="false" ht="15" hidden="false" customHeight="true" outlineLevel="0" collapsed="false">
      <c r="L153" s="1" t="str">
        <f aca="false">IF($A153="","",K153*D153)</f>
        <v/>
      </c>
      <c r="O153" s="52"/>
    </row>
    <row r="154" customFormat="false" ht="15" hidden="false" customHeight="true" outlineLevel="0" collapsed="false">
      <c r="L154" s="1" t="str">
        <f aca="false">IF($A154="","",K154*D154)</f>
        <v/>
      </c>
      <c r="O154" s="52"/>
    </row>
    <row r="155" customFormat="false" ht="15" hidden="false" customHeight="true" outlineLevel="0" collapsed="false">
      <c r="L155" s="1" t="str">
        <f aca="false">IF($A155="","",K155*D155)</f>
        <v/>
      </c>
      <c r="O155" s="52"/>
    </row>
    <row r="156" customFormat="false" ht="15" hidden="false" customHeight="true" outlineLevel="0" collapsed="false">
      <c r="L156" s="1" t="str">
        <f aca="false">IF($A156="","",K156*D156)</f>
        <v/>
      </c>
      <c r="O156" s="52"/>
    </row>
    <row r="157" customFormat="false" ht="15" hidden="false" customHeight="true" outlineLevel="0" collapsed="false">
      <c r="L157" s="1" t="str">
        <f aca="false">IF($A157="","",K157*D157)</f>
        <v/>
      </c>
      <c r="O157" s="52"/>
    </row>
    <row r="158" customFormat="false" ht="15" hidden="false" customHeight="true" outlineLevel="0" collapsed="false">
      <c r="L158" s="1" t="str">
        <f aca="false">IF($A158="","",K158*D158)</f>
        <v/>
      </c>
      <c r="O158" s="52"/>
    </row>
    <row r="159" customFormat="false" ht="15" hidden="false" customHeight="true" outlineLevel="0" collapsed="false">
      <c r="L159" s="1" t="str">
        <f aca="false">IF($A159="","",K159*D159)</f>
        <v/>
      </c>
      <c r="O159" s="52"/>
    </row>
    <row r="160" customFormat="false" ht="15" hidden="false" customHeight="true" outlineLevel="0" collapsed="false">
      <c r="L160" s="1" t="str">
        <f aca="false">IF($A160="","",K160*D160)</f>
        <v/>
      </c>
      <c r="O160" s="52"/>
    </row>
    <row r="161" customFormat="false" ht="15" hidden="false" customHeight="true" outlineLevel="0" collapsed="false">
      <c r="L161" s="1" t="str">
        <f aca="false">IF($A161="","",K161*D161)</f>
        <v/>
      </c>
      <c r="O161" s="52"/>
    </row>
    <row r="162" customFormat="false" ht="15" hidden="false" customHeight="true" outlineLevel="0" collapsed="false">
      <c r="L162" s="1" t="str">
        <f aca="false">IF($A162="","",K162*D162)</f>
        <v/>
      </c>
      <c r="O162" s="52"/>
    </row>
    <row r="163" customFormat="false" ht="15" hidden="false" customHeight="true" outlineLevel="0" collapsed="false">
      <c r="L163" s="1" t="str">
        <f aca="false">IF($A163="","",K163*D163)</f>
        <v/>
      </c>
      <c r="O163" s="52"/>
    </row>
    <row r="164" customFormat="false" ht="15" hidden="false" customHeight="true" outlineLevel="0" collapsed="false">
      <c r="L164" s="1" t="str">
        <f aca="false">IF($A164="","",K164*D164)</f>
        <v/>
      </c>
      <c r="O164" s="52"/>
    </row>
    <row r="165" customFormat="false" ht="15" hidden="false" customHeight="true" outlineLevel="0" collapsed="false">
      <c r="L165" s="1" t="str">
        <f aca="false">IF($A165="","",K165*D165)</f>
        <v/>
      </c>
      <c r="O165" s="52"/>
    </row>
    <row r="166" customFormat="false" ht="15" hidden="false" customHeight="true" outlineLevel="0" collapsed="false">
      <c r="L166" s="1" t="str">
        <f aca="false">IF($A166="","",K166*D166)</f>
        <v/>
      </c>
      <c r="O166" s="52"/>
    </row>
    <row r="167" customFormat="false" ht="15" hidden="false" customHeight="true" outlineLevel="0" collapsed="false">
      <c r="L167" s="1" t="str">
        <f aca="false">IF($A167="","",K167*D167)</f>
        <v/>
      </c>
      <c r="O167" s="52"/>
    </row>
    <row r="168" customFormat="false" ht="15" hidden="false" customHeight="true" outlineLevel="0" collapsed="false">
      <c r="L168" s="1" t="str">
        <f aca="false">IF($A168="","",K168*D168)</f>
        <v/>
      </c>
      <c r="O168" s="52"/>
    </row>
    <row r="169" customFormat="false" ht="15" hidden="false" customHeight="true" outlineLevel="0" collapsed="false">
      <c r="L169" s="1" t="str">
        <f aca="false">IF($A169="","",K169*D169)</f>
        <v/>
      </c>
      <c r="O169" s="52"/>
    </row>
    <row r="170" customFormat="false" ht="15" hidden="false" customHeight="true" outlineLevel="0" collapsed="false">
      <c r="L170" s="1" t="str">
        <f aca="false">IF($A170="","",K170*D170)</f>
        <v/>
      </c>
      <c r="O170" s="52"/>
    </row>
    <row r="171" customFormat="false" ht="15" hidden="false" customHeight="true" outlineLevel="0" collapsed="false">
      <c r="L171" s="1" t="str">
        <f aca="false">IF($A171="","",K171*D171)</f>
        <v/>
      </c>
      <c r="O171" s="52"/>
    </row>
    <row r="172" customFormat="false" ht="15" hidden="false" customHeight="true" outlineLevel="0" collapsed="false">
      <c r="L172" s="1" t="str">
        <f aca="false">IF($A172="","",K172*D172)</f>
        <v/>
      </c>
      <c r="O172" s="52"/>
    </row>
    <row r="173" customFormat="false" ht="15" hidden="false" customHeight="true" outlineLevel="0" collapsed="false">
      <c r="L173" s="1" t="str">
        <f aca="false">IF($A173="","",K173*D173)</f>
        <v/>
      </c>
      <c r="O173" s="52"/>
    </row>
    <row r="174" customFormat="false" ht="15" hidden="false" customHeight="true" outlineLevel="0" collapsed="false">
      <c r="L174" s="1" t="str">
        <f aca="false">IF($A174="","",K174*D174)</f>
        <v/>
      </c>
      <c r="O174" s="52"/>
    </row>
    <row r="175" customFormat="false" ht="15" hidden="false" customHeight="true" outlineLevel="0" collapsed="false">
      <c r="L175" s="1" t="str">
        <f aca="false">IF($A175="","",K175*D175)</f>
        <v/>
      </c>
      <c r="O175" s="52"/>
    </row>
    <row r="176" customFormat="false" ht="15" hidden="false" customHeight="true" outlineLevel="0" collapsed="false">
      <c r="L176" s="1" t="str">
        <f aca="false">IF($A176="","",K176*D176)</f>
        <v/>
      </c>
      <c r="O176" s="52"/>
    </row>
    <row r="177" customFormat="false" ht="15" hidden="false" customHeight="true" outlineLevel="0" collapsed="false">
      <c r="L177" s="1" t="str">
        <f aca="false">IF($A177="","",K177*D177)</f>
        <v/>
      </c>
      <c r="O177" s="52"/>
    </row>
    <row r="178" customFormat="false" ht="15" hidden="false" customHeight="true" outlineLevel="0" collapsed="false">
      <c r="L178" s="1" t="str">
        <f aca="false">IF($A178="","",K178*D178)</f>
        <v/>
      </c>
      <c r="O178" s="52"/>
    </row>
    <row r="179" customFormat="false" ht="15" hidden="false" customHeight="true" outlineLevel="0" collapsed="false">
      <c r="L179" s="1" t="str">
        <f aca="false">IF($A179="","",K179*D179)</f>
        <v/>
      </c>
      <c r="O179" s="52"/>
    </row>
    <row r="180" customFormat="false" ht="15" hidden="false" customHeight="true" outlineLevel="0" collapsed="false">
      <c r="L180" s="1" t="str">
        <f aca="false">IF($A180="","",K180*D180)</f>
        <v/>
      </c>
      <c r="O180" s="52"/>
    </row>
    <row r="181" customFormat="false" ht="15" hidden="false" customHeight="true" outlineLevel="0" collapsed="false">
      <c r="L181" s="1" t="str">
        <f aca="false">IF($A181="","",K181*D181)</f>
        <v/>
      </c>
      <c r="O181" s="52"/>
    </row>
    <row r="182" customFormat="false" ht="15" hidden="false" customHeight="true" outlineLevel="0" collapsed="false">
      <c r="L182" s="1" t="str">
        <f aca="false">IF($A182="","",K182*D182)</f>
        <v/>
      </c>
      <c r="O182" s="52"/>
    </row>
    <row r="183" customFormat="false" ht="15" hidden="false" customHeight="true" outlineLevel="0" collapsed="false">
      <c r="L183" s="1" t="str">
        <f aca="false">IF($A183="","",K183*D183)</f>
        <v/>
      </c>
      <c r="O183" s="52"/>
    </row>
    <row r="184" customFormat="false" ht="15" hidden="false" customHeight="true" outlineLevel="0" collapsed="false">
      <c r="L184" s="1" t="str">
        <f aca="false">IF($A184="","",K184*D184)</f>
        <v/>
      </c>
      <c r="O184" s="52"/>
    </row>
    <row r="185" customFormat="false" ht="15" hidden="false" customHeight="true" outlineLevel="0" collapsed="false">
      <c r="L185" s="1" t="str">
        <f aca="false">IF($A185="","",K185*D185)</f>
        <v/>
      </c>
      <c r="O185" s="52"/>
    </row>
    <row r="186" customFormat="false" ht="15" hidden="false" customHeight="true" outlineLevel="0" collapsed="false">
      <c r="L186" s="1" t="str">
        <f aca="false">IF($A186="","",K186*D186)</f>
        <v/>
      </c>
      <c r="O186" s="52"/>
    </row>
    <row r="187" customFormat="false" ht="15" hidden="false" customHeight="true" outlineLevel="0" collapsed="false">
      <c r="L187" s="1" t="str">
        <f aca="false">IF($A187="","",K187*D187)</f>
        <v/>
      </c>
      <c r="O187" s="52"/>
    </row>
    <row r="188" customFormat="false" ht="15" hidden="false" customHeight="true" outlineLevel="0" collapsed="false">
      <c r="L188" s="1" t="str">
        <f aca="false">IF($A188="","",K188*D188)</f>
        <v/>
      </c>
      <c r="O188" s="52"/>
    </row>
    <row r="189" customFormat="false" ht="15" hidden="false" customHeight="true" outlineLevel="0" collapsed="false">
      <c r="L189" s="1" t="str">
        <f aca="false">IF($A189="","",K189*D189)</f>
        <v/>
      </c>
      <c r="O189" s="52"/>
    </row>
    <row r="190" customFormat="false" ht="15" hidden="false" customHeight="true" outlineLevel="0" collapsed="false">
      <c r="L190" s="1" t="str">
        <f aca="false">IF($A190="","",K190*D190)</f>
        <v/>
      </c>
      <c r="O190" s="52"/>
    </row>
    <row r="191" customFormat="false" ht="15" hidden="false" customHeight="true" outlineLevel="0" collapsed="false">
      <c r="L191" s="1" t="str">
        <f aca="false">IF($A191="","",K191*D191)</f>
        <v/>
      </c>
      <c r="O191" s="52"/>
    </row>
    <row r="192" customFormat="false" ht="15" hidden="false" customHeight="true" outlineLevel="0" collapsed="false">
      <c r="L192" s="1" t="str">
        <f aca="false">IF($A192="","",K192*D192)</f>
        <v/>
      </c>
      <c r="O192" s="52"/>
    </row>
    <row r="193" customFormat="false" ht="15" hidden="false" customHeight="true" outlineLevel="0" collapsed="false">
      <c r="L193" s="1" t="str">
        <f aca="false">IF($A193="","",K193*D193)</f>
        <v/>
      </c>
      <c r="O193" s="52"/>
    </row>
    <row r="194" customFormat="false" ht="15" hidden="false" customHeight="true" outlineLevel="0" collapsed="false">
      <c r="L194" s="1" t="str">
        <f aca="false">IF($A194="","",K194*D194)</f>
        <v/>
      </c>
      <c r="O194" s="52"/>
    </row>
    <row r="195" customFormat="false" ht="15" hidden="false" customHeight="true" outlineLevel="0" collapsed="false">
      <c r="L195" s="1" t="str">
        <f aca="false">IF($A195="","",K195*D195)</f>
        <v/>
      </c>
      <c r="O195" s="52"/>
    </row>
    <row r="196" customFormat="false" ht="15" hidden="false" customHeight="true" outlineLevel="0" collapsed="false">
      <c r="L196" s="1" t="str">
        <f aca="false">IF($A196="","",K196*D196)</f>
        <v/>
      </c>
      <c r="O196" s="52"/>
    </row>
    <row r="197" customFormat="false" ht="15" hidden="false" customHeight="true" outlineLevel="0" collapsed="false">
      <c r="L197" s="1" t="str">
        <f aca="false">IF($A197="","",K197*D197)</f>
        <v/>
      </c>
      <c r="O197" s="52"/>
    </row>
    <row r="198" customFormat="false" ht="15" hidden="false" customHeight="true" outlineLevel="0" collapsed="false">
      <c r="L198" s="1" t="str">
        <f aca="false">IF($A198="","",K198*D198)</f>
        <v/>
      </c>
      <c r="O198" s="52"/>
    </row>
    <row r="199" customFormat="false" ht="15" hidden="false" customHeight="true" outlineLevel="0" collapsed="false">
      <c r="L199" s="1" t="str">
        <f aca="false">IF($A199="","",K199*D199)</f>
        <v/>
      </c>
      <c r="O199" s="52"/>
    </row>
    <row r="200" customFormat="false" ht="15" hidden="false" customHeight="true" outlineLevel="0" collapsed="false">
      <c r="L200" s="1" t="str">
        <f aca="false">IF($A200="","",K200*D200)</f>
        <v/>
      </c>
      <c r="O200" s="52"/>
    </row>
    <row r="201" customFormat="false" ht="15" hidden="false" customHeight="true" outlineLevel="0" collapsed="false">
      <c r="L201" s="1" t="str">
        <f aca="false">IF($A201="","",K201*D201)</f>
        <v/>
      </c>
      <c r="O201" s="52"/>
    </row>
    <row r="202" customFormat="false" ht="15" hidden="false" customHeight="true" outlineLevel="0" collapsed="false">
      <c r="L202" s="1" t="str">
        <f aca="false">IF($A202="","",K202*D202)</f>
        <v/>
      </c>
      <c r="O202" s="52"/>
    </row>
    <row r="203" customFormat="false" ht="15" hidden="false" customHeight="true" outlineLevel="0" collapsed="false">
      <c r="L203" s="1" t="str">
        <f aca="false">IF($A203="","",K203*D203)</f>
        <v/>
      </c>
      <c r="O203" s="52"/>
    </row>
    <row r="204" customFormat="false" ht="15" hidden="false" customHeight="true" outlineLevel="0" collapsed="false">
      <c r="L204" s="1" t="str">
        <f aca="false">IF($A204="","",K204*D204)</f>
        <v/>
      </c>
      <c r="O204" s="52"/>
    </row>
    <row r="205" customFormat="false" ht="15" hidden="false" customHeight="true" outlineLevel="0" collapsed="false">
      <c r="L205" s="1" t="str">
        <f aca="false">IF($A205="","",K205*D205)</f>
        <v/>
      </c>
      <c r="O205" s="52"/>
    </row>
    <row r="206" customFormat="false" ht="15" hidden="false" customHeight="true" outlineLevel="0" collapsed="false">
      <c r="L206" s="1" t="str">
        <f aca="false">IF($A206="","",K206*D206)</f>
        <v/>
      </c>
      <c r="O206" s="52"/>
    </row>
    <row r="207" customFormat="false" ht="15" hidden="false" customHeight="true" outlineLevel="0" collapsed="false">
      <c r="L207" s="1" t="str">
        <f aca="false">IF($A207="","",K207*D207)</f>
        <v/>
      </c>
      <c r="O207" s="52"/>
    </row>
    <row r="208" customFormat="false" ht="15" hidden="false" customHeight="true" outlineLevel="0" collapsed="false">
      <c r="L208" s="1" t="str">
        <f aca="false">IF($A208="","",K208*D208)</f>
        <v/>
      </c>
      <c r="O208" s="52"/>
    </row>
    <row r="209" customFormat="false" ht="15" hidden="false" customHeight="true" outlineLevel="0" collapsed="false">
      <c r="L209" s="1" t="str">
        <f aca="false">IF($A209="","",K209*D209)</f>
        <v/>
      </c>
      <c r="O209" s="52"/>
    </row>
    <row r="210" customFormat="false" ht="15" hidden="false" customHeight="true" outlineLevel="0" collapsed="false">
      <c r="L210" s="1" t="str">
        <f aca="false">IF($A210="","",K210*D210)</f>
        <v/>
      </c>
      <c r="O210" s="52"/>
    </row>
    <row r="211" customFormat="false" ht="15" hidden="false" customHeight="true" outlineLevel="0" collapsed="false">
      <c r="L211" s="1" t="str">
        <f aca="false">IF($A211="","",K211*D211)</f>
        <v/>
      </c>
      <c r="O211" s="52"/>
    </row>
    <row r="212" customFormat="false" ht="15" hidden="false" customHeight="true" outlineLevel="0" collapsed="false">
      <c r="L212" s="1" t="str">
        <f aca="false">IF($A212="","",K212*D212)</f>
        <v/>
      </c>
      <c r="O212" s="52"/>
    </row>
    <row r="213" customFormat="false" ht="15" hidden="false" customHeight="true" outlineLevel="0" collapsed="false">
      <c r="L213" s="1" t="str">
        <f aca="false">IF($A213="","",K213*D213)</f>
        <v/>
      </c>
      <c r="O213" s="52"/>
    </row>
    <row r="214" customFormat="false" ht="15" hidden="false" customHeight="true" outlineLevel="0" collapsed="false">
      <c r="L214" s="1" t="str">
        <f aca="false">IF($A214="","",K214*D214)</f>
        <v/>
      </c>
      <c r="O214" s="52"/>
    </row>
    <row r="215" customFormat="false" ht="15" hidden="false" customHeight="true" outlineLevel="0" collapsed="false">
      <c r="L215" s="1" t="str">
        <f aca="false">IF($A215="","",K215*D215)</f>
        <v/>
      </c>
      <c r="O215" s="52"/>
    </row>
    <row r="216" customFormat="false" ht="15" hidden="false" customHeight="true" outlineLevel="0" collapsed="false">
      <c r="L216" s="1" t="str">
        <f aca="false">IF($A216="","",K216*D216)</f>
        <v/>
      </c>
      <c r="O216" s="52"/>
    </row>
    <row r="217" customFormat="false" ht="15" hidden="false" customHeight="true" outlineLevel="0" collapsed="false">
      <c r="L217" s="1" t="str">
        <f aca="false">IF($A217="","",K217*D217)</f>
        <v/>
      </c>
      <c r="O217" s="52"/>
    </row>
    <row r="218" customFormat="false" ht="15" hidden="false" customHeight="true" outlineLevel="0" collapsed="false">
      <c r="L218" s="1" t="str">
        <f aca="false">IF($A218="","",K218*D218)</f>
        <v/>
      </c>
      <c r="O218" s="52"/>
    </row>
    <row r="219" customFormat="false" ht="15" hidden="false" customHeight="true" outlineLevel="0" collapsed="false">
      <c r="L219" s="1" t="str">
        <f aca="false">IF($A219="","",K219*D219)</f>
        <v/>
      </c>
      <c r="O219" s="52"/>
    </row>
    <row r="220" customFormat="false" ht="15" hidden="false" customHeight="true" outlineLevel="0" collapsed="false">
      <c r="L220" s="1" t="str">
        <f aca="false">IF($A220="","",K220*D220)</f>
        <v/>
      </c>
      <c r="O220" s="52"/>
    </row>
    <row r="221" customFormat="false" ht="15" hidden="false" customHeight="true" outlineLevel="0" collapsed="false">
      <c r="L221" s="1" t="str">
        <f aca="false">IF($A221="","",K221*D221)</f>
        <v/>
      </c>
      <c r="O221" s="52"/>
    </row>
    <row r="222" customFormat="false" ht="15" hidden="false" customHeight="true" outlineLevel="0" collapsed="false">
      <c r="L222" s="1" t="str">
        <f aca="false">IF($A222="","",K222*D222)</f>
        <v/>
      </c>
      <c r="O222" s="52"/>
    </row>
    <row r="223" customFormat="false" ht="15" hidden="false" customHeight="true" outlineLevel="0" collapsed="false">
      <c r="L223" s="1" t="str">
        <f aca="false">IF($A223="","",K223*D223)</f>
        <v/>
      </c>
      <c r="O223" s="52"/>
    </row>
    <row r="224" customFormat="false" ht="15" hidden="false" customHeight="true" outlineLevel="0" collapsed="false">
      <c r="L224" s="1" t="str">
        <f aca="false">IF($A224="","",K224*D224)</f>
        <v/>
      </c>
      <c r="O224" s="52"/>
    </row>
    <row r="225" customFormat="false" ht="15" hidden="false" customHeight="true" outlineLevel="0" collapsed="false">
      <c r="L225" s="1" t="str">
        <f aca="false">IF($A225="","",K225*D225)</f>
        <v/>
      </c>
      <c r="O225" s="52"/>
    </row>
    <row r="226" customFormat="false" ht="15" hidden="false" customHeight="true" outlineLevel="0" collapsed="false">
      <c r="L226" s="1" t="str">
        <f aca="false">IF($A226="","",K226*D226)</f>
        <v/>
      </c>
      <c r="O226" s="52"/>
    </row>
    <row r="227" customFormat="false" ht="15" hidden="false" customHeight="true" outlineLevel="0" collapsed="false">
      <c r="L227" s="1" t="str">
        <f aca="false">IF($A227="","",K227*D227)</f>
        <v/>
      </c>
      <c r="O227" s="52"/>
    </row>
    <row r="228" customFormat="false" ht="15" hidden="false" customHeight="true" outlineLevel="0" collapsed="false">
      <c r="L228" s="1" t="str">
        <f aca="false">IF($A228="","",K228*D228)</f>
        <v/>
      </c>
      <c r="O228" s="52"/>
    </row>
    <row r="229" customFormat="false" ht="15" hidden="false" customHeight="true" outlineLevel="0" collapsed="false">
      <c r="L229" s="1" t="str">
        <f aca="false">IF($A229="","",K229*D229)</f>
        <v/>
      </c>
      <c r="O229" s="52"/>
    </row>
    <row r="230" customFormat="false" ht="15" hidden="false" customHeight="true" outlineLevel="0" collapsed="false">
      <c r="L230" s="1" t="str">
        <f aca="false">IF($A230="","",K230*D230)</f>
        <v/>
      </c>
      <c r="O230" s="52"/>
    </row>
    <row r="231" customFormat="false" ht="15" hidden="false" customHeight="true" outlineLevel="0" collapsed="false">
      <c r="L231" s="1" t="str">
        <f aca="false">IF($A231="","",K231*D231)</f>
        <v/>
      </c>
      <c r="O231" s="52"/>
    </row>
    <row r="232" customFormat="false" ht="15" hidden="false" customHeight="true" outlineLevel="0" collapsed="false">
      <c r="L232" s="1" t="str">
        <f aca="false">IF($A232="","",K232*D232)</f>
        <v/>
      </c>
      <c r="O232" s="52"/>
    </row>
    <row r="233" customFormat="false" ht="15" hidden="false" customHeight="true" outlineLevel="0" collapsed="false">
      <c r="L233" s="1" t="str">
        <f aca="false">IF($A233="","",K233*D233)</f>
        <v/>
      </c>
      <c r="O233" s="52"/>
    </row>
    <row r="234" customFormat="false" ht="15" hidden="false" customHeight="true" outlineLevel="0" collapsed="false">
      <c r="L234" s="1" t="str">
        <f aca="false">IF($A234="","",K234*D234)</f>
        <v/>
      </c>
      <c r="O234" s="52"/>
    </row>
    <row r="235" customFormat="false" ht="15" hidden="false" customHeight="true" outlineLevel="0" collapsed="false">
      <c r="L235" s="1" t="str">
        <f aca="false">IF($A235="","",K235*D235)</f>
        <v/>
      </c>
      <c r="O235" s="52"/>
    </row>
    <row r="236" customFormat="false" ht="15" hidden="false" customHeight="true" outlineLevel="0" collapsed="false">
      <c r="L236" s="1" t="str">
        <f aca="false">IF($A236="","",K236*D236)</f>
        <v/>
      </c>
      <c r="O236" s="52"/>
    </row>
    <row r="237" customFormat="false" ht="15" hidden="false" customHeight="true" outlineLevel="0" collapsed="false">
      <c r="L237" s="1" t="str">
        <f aca="false">IF($A237="","",K237*D237)</f>
        <v/>
      </c>
      <c r="O237" s="52"/>
    </row>
    <row r="238" customFormat="false" ht="15" hidden="false" customHeight="true" outlineLevel="0" collapsed="false">
      <c r="L238" s="1" t="str">
        <f aca="false">IF($A238="","",K238*D238)</f>
        <v/>
      </c>
      <c r="O238" s="52"/>
    </row>
    <row r="239" customFormat="false" ht="15" hidden="false" customHeight="true" outlineLevel="0" collapsed="false">
      <c r="L239" s="1" t="str">
        <f aca="false">IF($A239="","",K239*D239)</f>
        <v/>
      </c>
      <c r="O239" s="52"/>
    </row>
    <row r="240" customFormat="false" ht="15" hidden="false" customHeight="true" outlineLevel="0" collapsed="false">
      <c r="L240" s="1" t="str">
        <f aca="false">IF($A240="","",K240*D240)</f>
        <v/>
      </c>
      <c r="O240" s="52"/>
    </row>
    <row r="241" customFormat="false" ht="15" hidden="false" customHeight="true" outlineLevel="0" collapsed="false">
      <c r="L241" s="1" t="str">
        <f aca="false">IF($A241="","",K241*D241)</f>
        <v/>
      </c>
      <c r="O241" s="52"/>
    </row>
    <row r="242" customFormat="false" ht="15" hidden="false" customHeight="true" outlineLevel="0" collapsed="false">
      <c r="L242" s="1" t="str">
        <f aca="false">IF($A242="","",K242*D242)</f>
        <v/>
      </c>
      <c r="O242" s="52"/>
    </row>
    <row r="243" customFormat="false" ht="15" hidden="false" customHeight="true" outlineLevel="0" collapsed="false">
      <c r="L243" s="1" t="str">
        <f aca="false">IF($A243="","",K243*D243)</f>
        <v/>
      </c>
      <c r="O243" s="52"/>
    </row>
    <row r="244" customFormat="false" ht="15" hidden="false" customHeight="true" outlineLevel="0" collapsed="false">
      <c r="L244" s="1" t="str">
        <f aca="false">IF($A244="","",K244*D244)</f>
        <v/>
      </c>
      <c r="O244" s="52"/>
    </row>
    <row r="245" customFormat="false" ht="15" hidden="false" customHeight="true" outlineLevel="0" collapsed="false">
      <c r="L245" s="1" t="str">
        <f aca="false">IF($A245="","",K245*D245)</f>
        <v/>
      </c>
      <c r="O245" s="52"/>
    </row>
    <row r="246" customFormat="false" ht="15" hidden="false" customHeight="true" outlineLevel="0" collapsed="false">
      <c r="L246" s="1" t="str">
        <f aca="false">IF($A246="","",K246*D246)</f>
        <v/>
      </c>
      <c r="O246" s="52"/>
    </row>
    <row r="247" customFormat="false" ht="15" hidden="false" customHeight="true" outlineLevel="0" collapsed="false">
      <c r="L247" s="1" t="str">
        <f aca="false">IF($A247="","",K247*D247)</f>
        <v/>
      </c>
      <c r="O247" s="52"/>
    </row>
    <row r="248" customFormat="false" ht="15" hidden="false" customHeight="true" outlineLevel="0" collapsed="false">
      <c r="L248" s="1" t="str">
        <f aca="false">IF($A248="","",K248*D248)</f>
        <v/>
      </c>
      <c r="O248" s="52"/>
    </row>
    <row r="249" customFormat="false" ht="15" hidden="false" customHeight="true" outlineLevel="0" collapsed="false">
      <c r="L249" s="1" t="str">
        <f aca="false">IF($A249="","",K249*D249)</f>
        <v/>
      </c>
      <c r="O249" s="52"/>
    </row>
    <row r="250" customFormat="false" ht="15" hidden="false" customHeight="true" outlineLevel="0" collapsed="false">
      <c r="L250" s="1" t="str">
        <f aca="false">IF($A250="","",K250*D250)</f>
        <v/>
      </c>
      <c r="O250" s="52"/>
    </row>
    <row r="251" customFormat="false" ht="15" hidden="false" customHeight="true" outlineLevel="0" collapsed="false">
      <c r="L251" s="1" t="str">
        <f aca="false">IF($A251="","",K251*D251)</f>
        <v/>
      </c>
      <c r="O251" s="52"/>
    </row>
    <row r="252" customFormat="false" ht="15" hidden="false" customHeight="true" outlineLevel="0" collapsed="false">
      <c r="L252" s="1" t="str">
        <f aca="false">IF($A252="","",K252*D252)</f>
        <v/>
      </c>
      <c r="O252" s="52"/>
    </row>
    <row r="253" customFormat="false" ht="15" hidden="false" customHeight="true" outlineLevel="0" collapsed="false">
      <c r="L253" s="1" t="str">
        <f aca="false">IF($A253="","",K253*D253)</f>
        <v/>
      </c>
      <c r="O253" s="52"/>
    </row>
    <row r="254" customFormat="false" ht="15" hidden="false" customHeight="true" outlineLevel="0" collapsed="false">
      <c r="L254" s="1" t="str">
        <f aca="false">IF($A254="","",K254*D254)</f>
        <v/>
      </c>
      <c r="O254" s="52"/>
    </row>
    <row r="255" customFormat="false" ht="15" hidden="false" customHeight="true" outlineLevel="0" collapsed="false">
      <c r="L255" s="1" t="str">
        <f aca="false">IF($A255="","",K255*D255)</f>
        <v/>
      </c>
      <c r="O255" s="52"/>
    </row>
    <row r="256" customFormat="false" ht="15" hidden="false" customHeight="true" outlineLevel="0" collapsed="false">
      <c r="L256" s="1" t="str">
        <f aca="false">IF($A256="","",K256*D256)</f>
        <v/>
      </c>
      <c r="O256" s="52"/>
    </row>
    <row r="257" customFormat="false" ht="15" hidden="false" customHeight="true" outlineLevel="0" collapsed="false">
      <c r="L257" s="1" t="str">
        <f aca="false">IF($A257="","",K257*D257)</f>
        <v/>
      </c>
      <c r="O257" s="52"/>
    </row>
    <row r="258" customFormat="false" ht="15" hidden="false" customHeight="true" outlineLevel="0" collapsed="false">
      <c r="L258" s="1" t="str">
        <f aca="false">IF($A258="","",K258*D258)</f>
        <v/>
      </c>
      <c r="O258" s="52"/>
    </row>
    <row r="259" customFormat="false" ht="15" hidden="false" customHeight="true" outlineLevel="0" collapsed="false">
      <c r="L259" s="1" t="str">
        <f aca="false">IF($A259="","",K259*D259)</f>
        <v/>
      </c>
      <c r="O259" s="52"/>
    </row>
    <row r="260" customFormat="false" ht="15" hidden="false" customHeight="true" outlineLevel="0" collapsed="false">
      <c r="L260" s="1" t="str">
        <f aca="false">IF($A260="","",K260*D260)</f>
        <v/>
      </c>
      <c r="O260" s="52"/>
    </row>
    <row r="261" customFormat="false" ht="15" hidden="false" customHeight="true" outlineLevel="0" collapsed="false">
      <c r="L261" s="1" t="str">
        <f aca="false">IF($A261="","",K261*D261)</f>
        <v/>
      </c>
      <c r="O261" s="52"/>
    </row>
    <row r="262" customFormat="false" ht="15" hidden="false" customHeight="true" outlineLevel="0" collapsed="false">
      <c r="L262" s="1" t="str">
        <f aca="false">IF($A262="","",K262*D262)</f>
        <v/>
      </c>
      <c r="O262" s="52"/>
    </row>
    <row r="263" customFormat="false" ht="15" hidden="false" customHeight="true" outlineLevel="0" collapsed="false">
      <c r="L263" s="1" t="str">
        <f aca="false">IF($A263="","",K263*D263)</f>
        <v/>
      </c>
      <c r="O263" s="52"/>
    </row>
    <row r="264" customFormat="false" ht="15" hidden="false" customHeight="true" outlineLevel="0" collapsed="false">
      <c r="L264" s="1" t="str">
        <f aca="false">IF($A264="","",K264*D264)</f>
        <v/>
      </c>
      <c r="O264" s="52"/>
    </row>
    <row r="265" customFormat="false" ht="15" hidden="false" customHeight="true" outlineLevel="0" collapsed="false">
      <c r="L265" s="1" t="str">
        <f aca="false">IF($A265="","",K265*D265)</f>
        <v/>
      </c>
      <c r="O265" s="52"/>
    </row>
    <row r="266" customFormat="false" ht="15" hidden="false" customHeight="true" outlineLevel="0" collapsed="false">
      <c r="L266" s="1" t="str">
        <f aca="false">IF($A266="","",K266*D266)</f>
        <v/>
      </c>
      <c r="O266" s="52"/>
    </row>
    <row r="267" customFormat="false" ht="15" hidden="false" customHeight="true" outlineLevel="0" collapsed="false">
      <c r="L267" s="1" t="str">
        <f aca="false">IF($A267="","",K267*D267)</f>
        <v/>
      </c>
      <c r="O267" s="52"/>
    </row>
    <row r="268" customFormat="false" ht="15" hidden="false" customHeight="true" outlineLevel="0" collapsed="false">
      <c r="L268" s="1" t="str">
        <f aca="false">IF($A268="","",K268*D268)</f>
        <v/>
      </c>
      <c r="O268" s="52"/>
    </row>
    <row r="269" customFormat="false" ht="15" hidden="false" customHeight="true" outlineLevel="0" collapsed="false">
      <c r="L269" s="1" t="str">
        <f aca="false">IF($A269="","",K269*D269)</f>
        <v/>
      </c>
      <c r="O269" s="52"/>
    </row>
    <row r="270" customFormat="false" ht="15" hidden="false" customHeight="true" outlineLevel="0" collapsed="false">
      <c r="L270" s="1" t="str">
        <f aca="false">IF($A270="","",K270*D270)</f>
        <v/>
      </c>
      <c r="O270" s="52"/>
    </row>
    <row r="271" customFormat="false" ht="15" hidden="false" customHeight="true" outlineLevel="0" collapsed="false">
      <c r="L271" s="1" t="str">
        <f aca="false">IF($A271="","",K271*D271)</f>
        <v/>
      </c>
      <c r="O271" s="52"/>
    </row>
    <row r="272" customFormat="false" ht="15" hidden="false" customHeight="true" outlineLevel="0" collapsed="false">
      <c r="L272" s="1" t="str">
        <f aca="false">IF($A272="","",K272*D272)</f>
        <v/>
      </c>
      <c r="O272" s="52"/>
    </row>
    <row r="273" customFormat="false" ht="15" hidden="false" customHeight="true" outlineLevel="0" collapsed="false">
      <c r="L273" s="1" t="str">
        <f aca="false">IF($A273="","",K273*D273)</f>
        <v/>
      </c>
      <c r="O273" s="52"/>
    </row>
    <row r="274" customFormat="false" ht="15" hidden="false" customHeight="true" outlineLevel="0" collapsed="false">
      <c r="L274" s="1" t="str">
        <f aca="false">IF($A274="","",K274*D274)</f>
        <v/>
      </c>
      <c r="O274" s="52"/>
    </row>
    <row r="275" customFormat="false" ht="15" hidden="false" customHeight="true" outlineLevel="0" collapsed="false">
      <c r="L275" s="1" t="str">
        <f aca="false">IF($A275="","",K275*D275)</f>
        <v/>
      </c>
      <c r="O275" s="52"/>
    </row>
    <row r="276" customFormat="false" ht="15" hidden="false" customHeight="true" outlineLevel="0" collapsed="false">
      <c r="L276" s="1" t="str">
        <f aca="false">IF($A276="","",K276*D276)</f>
        <v/>
      </c>
      <c r="O276" s="52"/>
    </row>
    <row r="277" customFormat="false" ht="15" hidden="false" customHeight="true" outlineLevel="0" collapsed="false">
      <c r="L277" s="1" t="str">
        <f aca="false">IF($A277="","",K277*D277)</f>
        <v/>
      </c>
      <c r="O277" s="52"/>
    </row>
    <row r="278" customFormat="false" ht="15" hidden="false" customHeight="true" outlineLevel="0" collapsed="false">
      <c r="L278" s="1" t="str">
        <f aca="false">IF($A278="","",K278*D278)</f>
        <v/>
      </c>
      <c r="O278" s="52"/>
    </row>
    <row r="279" customFormat="false" ht="15" hidden="false" customHeight="true" outlineLevel="0" collapsed="false">
      <c r="L279" s="1" t="str">
        <f aca="false">IF($A279="","",K279*D279)</f>
        <v/>
      </c>
      <c r="O279" s="52"/>
    </row>
    <row r="280" customFormat="false" ht="15" hidden="false" customHeight="true" outlineLevel="0" collapsed="false">
      <c r="L280" s="1" t="str">
        <f aca="false">IF($A280="","",K280*D280)</f>
        <v/>
      </c>
      <c r="O280" s="52"/>
    </row>
    <row r="281" customFormat="false" ht="15" hidden="false" customHeight="true" outlineLevel="0" collapsed="false">
      <c r="L281" s="1" t="str">
        <f aca="false">IF($A281="","",K281*D281)</f>
        <v/>
      </c>
      <c r="O281" s="52"/>
    </row>
    <row r="282" customFormat="false" ht="15" hidden="false" customHeight="true" outlineLevel="0" collapsed="false">
      <c r="L282" s="1" t="str">
        <f aca="false">IF($A282="","",K282*D282)</f>
        <v/>
      </c>
      <c r="O282" s="52"/>
    </row>
    <row r="283" customFormat="false" ht="15" hidden="false" customHeight="true" outlineLevel="0" collapsed="false">
      <c r="L283" s="1" t="str">
        <f aca="false">IF($A283="","",K283*D283)</f>
        <v/>
      </c>
      <c r="O283" s="52"/>
    </row>
    <row r="284" customFormat="false" ht="15" hidden="false" customHeight="true" outlineLevel="0" collapsed="false">
      <c r="L284" s="1" t="str">
        <f aca="false">IF($A284="","",K284*D284)</f>
        <v/>
      </c>
      <c r="O284" s="52"/>
    </row>
    <row r="285" customFormat="false" ht="15" hidden="false" customHeight="true" outlineLevel="0" collapsed="false">
      <c r="L285" s="1" t="str">
        <f aca="false">IF($A285="","",K285*D285)</f>
        <v/>
      </c>
      <c r="O285" s="52"/>
    </row>
    <row r="286" customFormat="false" ht="15" hidden="false" customHeight="true" outlineLevel="0" collapsed="false">
      <c r="L286" s="1" t="str">
        <f aca="false">IF($A286="","",K286*D286)</f>
        <v/>
      </c>
      <c r="O286" s="52"/>
    </row>
    <row r="287" customFormat="false" ht="15" hidden="false" customHeight="true" outlineLevel="0" collapsed="false">
      <c r="L287" s="1" t="str">
        <f aca="false">IF($A287="","",K287*D287)</f>
        <v/>
      </c>
      <c r="O287" s="52"/>
    </row>
    <row r="288" customFormat="false" ht="15" hidden="false" customHeight="true" outlineLevel="0" collapsed="false">
      <c r="L288" s="1" t="str">
        <f aca="false">IF($A288="","",K288*D288)</f>
        <v/>
      </c>
      <c r="O288" s="52"/>
    </row>
    <row r="289" customFormat="false" ht="15" hidden="false" customHeight="true" outlineLevel="0" collapsed="false">
      <c r="L289" s="1" t="str">
        <f aca="false">IF($A289="","",K289*D289)</f>
        <v/>
      </c>
      <c r="O289" s="52"/>
    </row>
    <row r="290" customFormat="false" ht="15" hidden="false" customHeight="true" outlineLevel="0" collapsed="false">
      <c r="L290" s="1" t="str">
        <f aca="false">IF($A290="","",K290*D290)</f>
        <v/>
      </c>
      <c r="O290" s="52"/>
    </row>
    <row r="291" customFormat="false" ht="15" hidden="false" customHeight="true" outlineLevel="0" collapsed="false">
      <c r="L291" s="1" t="str">
        <f aca="false">IF($A291="","",K291*D291)</f>
        <v/>
      </c>
      <c r="O291" s="52"/>
    </row>
    <row r="292" customFormat="false" ht="15" hidden="false" customHeight="true" outlineLevel="0" collapsed="false">
      <c r="L292" s="1" t="str">
        <f aca="false">IF($A292="","",K292*D292)</f>
        <v/>
      </c>
      <c r="O292" s="52"/>
    </row>
    <row r="293" customFormat="false" ht="15" hidden="false" customHeight="true" outlineLevel="0" collapsed="false">
      <c r="L293" s="1" t="str">
        <f aca="false">IF($A293="","",K293*D293)</f>
        <v/>
      </c>
      <c r="O293" s="52"/>
    </row>
    <row r="294" customFormat="false" ht="15" hidden="false" customHeight="true" outlineLevel="0" collapsed="false">
      <c r="L294" s="1" t="str">
        <f aca="false">IF($A294="","",K294*D294)</f>
        <v/>
      </c>
      <c r="O294" s="52"/>
    </row>
    <row r="295" customFormat="false" ht="15" hidden="false" customHeight="true" outlineLevel="0" collapsed="false">
      <c r="L295" s="1" t="str">
        <f aca="false">IF($A295="","",K295*D295)</f>
        <v/>
      </c>
      <c r="O295" s="52"/>
    </row>
    <row r="296" customFormat="false" ht="15" hidden="false" customHeight="true" outlineLevel="0" collapsed="false">
      <c r="L296" s="1" t="str">
        <f aca="false">IF($A296="","",K296*D296)</f>
        <v/>
      </c>
      <c r="O296" s="52"/>
    </row>
    <row r="297" customFormat="false" ht="15" hidden="false" customHeight="true" outlineLevel="0" collapsed="false">
      <c r="L297" s="1" t="str">
        <f aca="false">IF($A297="","",K297*D297)</f>
        <v/>
      </c>
      <c r="O297" s="52"/>
    </row>
    <row r="298" customFormat="false" ht="15" hidden="false" customHeight="true" outlineLevel="0" collapsed="false">
      <c r="L298" s="1" t="str">
        <f aca="false">IF($A298="","",K298*D298)</f>
        <v/>
      </c>
      <c r="O298" s="52"/>
    </row>
    <row r="299" customFormat="false" ht="15" hidden="false" customHeight="true" outlineLevel="0" collapsed="false">
      <c r="L299" s="1" t="str">
        <f aca="false">IF($A299="","",K299*D299)</f>
        <v/>
      </c>
      <c r="O299" s="52"/>
    </row>
    <row r="300" customFormat="false" ht="15" hidden="false" customHeight="true" outlineLevel="0" collapsed="false">
      <c r="L300" s="1" t="str">
        <f aca="false">IF($A300="","",K300*D300)</f>
        <v/>
      </c>
      <c r="O300" s="52"/>
    </row>
    <row r="301" customFormat="false" ht="15" hidden="false" customHeight="true" outlineLevel="0" collapsed="false">
      <c r="L301" s="1" t="str">
        <f aca="false">IF($A301="","",K301*D301)</f>
        <v/>
      </c>
      <c r="O301" s="52"/>
    </row>
    <row r="302" customFormat="false" ht="15" hidden="false" customHeight="true" outlineLevel="0" collapsed="false">
      <c r="L302" s="1" t="str">
        <f aca="false">IF($A302="","",K302*D302)</f>
        <v/>
      </c>
      <c r="O302" s="52"/>
    </row>
    <row r="303" customFormat="false" ht="15" hidden="false" customHeight="true" outlineLevel="0" collapsed="false">
      <c r="L303" s="1" t="str">
        <f aca="false">IF($A303="","",K303*D303)</f>
        <v/>
      </c>
      <c r="O303" s="52"/>
    </row>
    <row r="304" customFormat="false" ht="15" hidden="false" customHeight="true" outlineLevel="0" collapsed="false">
      <c r="L304" s="1" t="str">
        <f aca="false">IF($A304="","",K304*D304)</f>
        <v/>
      </c>
      <c r="O304" s="52"/>
    </row>
    <row r="305" customFormat="false" ht="15" hidden="false" customHeight="true" outlineLevel="0" collapsed="false">
      <c r="L305" s="1" t="str">
        <f aca="false">IF($A305="","",K305*D305)</f>
        <v/>
      </c>
      <c r="O305" s="52"/>
    </row>
    <row r="306" customFormat="false" ht="15" hidden="false" customHeight="true" outlineLevel="0" collapsed="false">
      <c r="L306" s="1" t="str">
        <f aca="false">IF($A306="","",K306*D306)</f>
        <v/>
      </c>
      <c r="O306" s="52"/>
    </row>
    <row r="307" customFormat="false" ht="15" hidden="false" customHeight="true" outlineLevel="0" collapsed="false">
      <c r="L307" s="1" t="str">
        <f aca="false">IF($A307="","",K307*D307)</f>
        <v/>
      </c>
      <c r="O307" s="52"/>
    </row>
    <row r="308" customFormat="false" ht="15" hidden="false" customHeight="true" outlineLevel="0" collapsed="false">
      <c r="L308" s="1" t="str">
        <f aca="false">IF($A308="","",K308*D308)</f>
        <v/>
      </c>
      <c r="O308" s="52"/>
    </row>
    <row r="309" customFormat="false" ht="15" hidden="false" customHeight="true" outlineLevel="0" collapsed="false">
      <c r="L309" s="1" t="str">
        <f aca="false">IF($A309="","",K309*D309)</f>
        <v/>
      </c>
      <c r="O309" s="52"/>
    </row>
    <row r="310" customFormat="false" ht="15" hidden="false" customHeight="true" outlineLevel="0" collapsed="false">
      <c r="L310" s="1" t="str">
        <f aca="false">IF($A310="","",K310*D310)</f>
        <v/>
      </c>
      <c r="O310" s="52"/>
    </row>
    <row r="311" customFormat="false" ht="15" hidden="false" customHeight="true" outlineLevel="0" collapsed="false">
      <c r="L311" s="1" t="str">
        <f aca="false">IF($A311="","",K311*D311)</f>
        <v/>
      </c>
      <c r="O311" s="52"/>
    </row>
    <row r="312" customFormat="false" ht="15" hidden="false" customHeight="true" outlineLevel="0" collapsed="false">
      <c r="L312" s="1" t="str">
        <f aca="false">IF($A312="","",K312*D312)</f>
        <v/>
      </c>
      <c r="O312" s="52"/>
    </row>
    <row r="313" customFormat="false" ht="15" hidden="false" customHeight="true" outlineLevel="0" collapsed="false">
      <c r="L313" s="1" t="str">
        <f aca="false">IF($A313="","",K313*D313)</f>
        <v/>
      </c>
      <c r="O313" s="52"/>
    </row>
    <row r="314" customFormat="false" ht="15" hidden="false" customHeight="true" outlineLevel="0" collapsed="false">
      <c r="L314" s="1" t="str">
        <f aca="false">IF($A314="","",K314*D314)</f>
        <v/>
      </c>
      <c r="O314" s="52"/>
    </row>
    <row r="315" customFormat="false" ht="15" hidden="false" customHeight="true" outlineLevel="0" collapsed="false">
      <c r="L315" s="1" t="str">
        <f aca="false">IF($A315="","",K315*D315)</f>
        <v/>
      </c>
      <c r="O315" s="52"/>
    </row>
    <row r="316" customFormat="false" ht="15" hidden="false" customHeight="true" outlineLevel="0" collapsed="false">
      <c r="L316" s="1" t="str">
        <f aca="false">IF($A316="","",K316*D316)</f>
        <v/>
      </c>
      <c r="O316" s="52"/>
    </row>
    <row r="317" customFormat="false" ht="15" hidden="false" customHeight="true" outlineLevel="0" collapsed="false">
      <c r="L317" s="1" t="str">
        <f aca="false">IF($A317="","",K317*D317)</f>
        <v/>
      </c>
      <c r="O317" s="52"/>
    </row>
    <row r="318" customFormat="false" ht="15" hidden="false" customHeight="true" outlineLevel="0" collapsed="false">
      <c r="L318" s="1" t="str">
        <f aca="false">IF($A318="","",K318*D318)</f>
        <v/>
      </c>
      <c r="O318" s="52"/>
    </row>
    <row r="319" customFormat="false" ht="15" hidden="false" customHeight="true" outlineLevel="0" collapsed="false">
      <c r="L319" s="1" t="str">
        <f aca="false">IF($A319="","",K319*D319)</f>
        <v/>
      </c>
      <c r="O319" s="52"/>
    </row>
    <row r="320" customFormat="false" ht="15" hidden="false" customHeight="true" outlineLevel="0" collapsed="false">
      <c r="L320" s="1" t="str">
        <f aca="false">IF($A320="","",K320*D320)</f>
        <v/>
      </c>
      <c r="O320" s="52"/>
    </row>
    <row r="321" customFormat="false" ht="15" hidden="false" customHeight="true" outlineLevel="0" collapsed="false">
      <c r="L321" s="1" t="str">
        <f aca="false">IF($A321="","",K321*D321)</f>
        <v/>
      </c>
      <c r="O321" s="52"/>
    </row>
    <row r="322" customFormat="false" ht="15" hidden="false" customHeight="true" outlineLevel="0" collapsed="false">
      <c r="L322" s="1" t="str">
        <f aca="false">IF($A322="","",K322*D322)</f>
        <v/>
      </c>
      <c r="O322" s="52"/>
    </row>
    <row r="323" customFormat="false" ht="15" hidden="false" customHeight="true" outlineLevel="0" collapsed="false">
      <c r="L323" s="1" t="str">
        <f aca="false">IF($A323="","",K323*D323)</f>
        <v/>
      </c>
      <c r="O323" s="52"/>
    </row>
    <row r="324" customFormat="false" ht="15" hidden="false" customHeight="true" outlineLevel="0" collapsed="false">
      <c r="L324" s="1" t="str">
        <f aca="false">IF($A324="","",K324*D324)</f>
        <v/>
      </c>
      <c r="O324" s="52"/>
    </row>
    <row r="325" customFormat="false" ht="15" hidden="false" customHeight="true" outlineLevel="0" collapsed="false">
      <c r="L325" s="1" t="str">
        <f aca="false">IF($A325="","",K325*D325)</f>
        <v/>
      </c>
      <c r="O325" s="52"/>
    </row>
    <row r="326" customFormat="false" ht="15" hidden="false" customHeight="true" outlineLevel="0" collapsed="false">
      <c r="L326" s="1" t="str">
        <f aca="false">IF($A326="","",K326*D326)</f>
        <v/>
      </c>
      <c r="O326" s="52"/>
    </row>
    <row r="327" customFormat="false" ht="15" hidden="false" customHeight="true" outlineLevel="0" collapsed="false">
      <c r="L327" s="1" t="str">
        <f aca="false">IF($A327="","",K327*D327)</f>
        <v/>
      </c>
      <c r="O327" s="52"/>
    </row>
    <row r="328" customFormat="false" ht="15" hidden="false" customHeight="true" outlineLevel="0" collapsed="false">
      <c r="L328" s="1" t="str">
        <f aca="false">IF($A328="","",K328*D328)</f>
        <v/>
      </c>
      <c r="O328" s="52"/>
    </row>
    <row r="329" customFormat="false" ht="15" hidden="false" customHeight="true" outlineLevel="0" collapsed="false">
      <c r="L329" s="1" t="str">
        <f aca="false">IF($A329="","",K329*D329)</f>
        <v/>
      </c>
      <c r="O329" s="52"/>
    </row>
    <row r="330" customFormat="false" ht="15" hidden="false" customHeight="true" outlineLevel="0" collapsed="false">
      <c r="L330" s="1" t="str">
        <f aca="false">IF($A330="","",K330*D330)</f>
        <v/>
      </c>
      <c r="O330" s="52"/>
    </row>
    <row r="331" customFormat="false" ht="15" hidden="false" customHeight="true" outlineLevel="0" collapsed="false">
      <c r="L331" s="1" t="str">
        <f aca="false">IF($A331="","",K331*D331)</f>
        <v/>
      </c>
      <c r="O331" s="52"/>
    </row>
    <row r="332" customFormat="false" ht="15" hidden="false" customHeight="true" outlineLevel="0" collapsed="false">
      <c r="L332" s="1" t="str">
        <f aca="false">IF($A332="","",K332*D332)</f>
        <v/>
      </c>
      <c r="O332" s="52"/>
    </row>
    <row r="333" customFormat="false" ht="15" hidden="false" customHeight="true" outlineLevel="0" collapsed="false">
      <c r="L333" s="1" t="str">
        <f aca="false">IF($A333="","",K333*D333)</f>
        <v/>
      </c>
      <c r="O333" s="52"/>
    </row>
    <row r="334" customFormat="false" ht="15" hidden="false" customHeight="true" outlineLevel="0" collapsed="false">
      <c r="L334" s="1" t="str">
        <f aca="false">IF($A334="","",K334*D334)</f>
        <v/>
      </c>
      <c r="O334" s="52"/>
    </row>
    <row r="335" customFormat="false" ht="15" hidden="false" customHeight="true" outlineLevel="0" collapsed="false">
      <c r="L335" s="1" t="str">
        <f aca="false">IF($A335="","",K335*D335)</f>
        <v/>
      </c>
      <c r="O335" s="52"/>
    </row>
    <row r="336" customFormat="false" ht="15" hidden="false" customHeight="true" outlineLevel="0" collapsed="false">
      <c r="L336" s="1" t="str">
        <f aca="false">IF($A336="","",K336*D336)</f>
        <v/>
      </c>
      <c r="O336" s="52"/>
    </row>
    <row r="337" customFormat="false" ht="15" hidden="false" customHeight="true" outlineLevel="0" collapsed="false">
      <c r="L337" s="1" t="str">
        <f aca="false">IF($A337="","",K337*D337)</f>
        <v/>
      </c>
      <c r="O337" s="52"/>
    </row>
    <row r="338" customFormat="false" ht="15" hidden="false" customHeight="true" outlineLevel="0" collapsed="false">
      <c r="L338" s="1" t="str">
        <f aca="false">IF($A338="","",K338*D338)</f>
        <v/>
      </c>
      <c r="O338" s="52"/>
    </row>
    <row r="339" customFormat="false" ht="15" hidden="false" customHeight="true" outlineLevel="0" collapsed="false">
      <c r="L339" s="1" t="str">
        <f aca="false">IF($A339="","",K339*D339)</f>
        <v/>
      </c>
      <c r="O339" s="52"/>
    </row>
    <row r="340" customFormat="false" ht="15" hidden="false" customHeight="true" outlineLevel="0" collapsed="false">
      <c r="L340" s="1" t="str">
        <f aca="false">IF($A340="","",K340*D340)</f>
        <v/>
      </c>
      <c r="O340" s="52"/>
    </row>
    <row r="341" customFormat="false" ht="15" hidden="false" customHeight="true" outlineLevel="0" collapsed="false">
      <c r="L341" s="1" t="str">
        <f aca="false">IF($A341="","",K341*D341)</f>
        <v/>
      </c>
      <c r="O341" s="52"/>
    </row>
    <row r="342" customFormat="false" ht="15" hidden="false" customHeight="true" outlineLevel="0" collapsed="false">
      <c r="L342" s="1" t="str">
        <f aca="false">IF($A342="","",K342*D342)</f>
        <v/>
      </c>
      <c r="O342" s="52"/>
    </row>
    <row r="343" customFormat="false" ht="15" hidden="false" customHeight="true" outlineLevel="0" collapsed="false">
      <c r="L343" s="1" t="str">
        <f aca="false">IF($A343="","",K343*D343)</f>
        <v/>
      </c>
      <c r="O343" s="52"/>
    </row>
    <row r="344" customFormat="false" ht="15" hidden="false" customHeight="true" outlineLevel="0" collapsed="false">
      <c r="L344" s="1" t="str">
        <f aca="false">IF($A344="","",K344*D344)</f>
        <v/>
      </c>
      <c r="O344" s="52"/>
    </row>
    <row r="345" customFormat="false" ht="15" hidden="false" customHeight="true" outlineLevel="0" collapsed="false">
      <c r="L345" s="1" t="str">
        <f aca="false">IF($A345="","",K345*D345)</f>
        <v/>
      </c>
      <c r="O345" s="52"/>
    </row>
    <row r="346" customFormat="false" ht="15" hidden="false" customHeight="true" outlineLevel="0" collapsed="false">
      <c r="L346" s="1" t="str">
        <f aca="false">IF($A346="","",K346*D346)</f>
        <v/>
      </c>
      <c r="O346" s="52"/>
    </row>
    <row r="347" customFormat="false" ht="15" hidden="false" customHeight="true" outlineLevel="0" collapsed="false">
      <c r="L347" s="1" t="str">
        <f aca="false">IF($A347="","",K347*D347)</f>
        <v/>
      </c>
      <c r="O347" s="52"/>
    </row>
    <row r="348" customFormat="false" ht="15" hidden="false" customHeight="true" outlineLevel="0" collapsed="false">
      <c r="L348" s="1" t="str">
        <f aca="false">IF($A348="","",K348*D348)</f>
        <v/>
      </c>
      <c r="O348" s="52"/>
    </row>
    <row r="349" customFormat="false" ht="15" hidden="false" customHeight="true" outlineLevel="0" collapsed="false">
      <c r="L349" s="1" t="str">
        <f aca="false">IF($A349="","",K349*D349)</f>
        <v/>
      </c>
      <c r="O349" s="52"/>
    </row>
    <row r="350" customFormat="false" ht="15" hidden="false" customHeight="true" outlineLevel="0" collapsed="false">
      <c r="L350" s="1" t="str">
        <f aca="false">IF($A350="","",K350*D350)</f>
        <v/>
      </c>
      <c r="O350" s="52"/>
    </row>
    <row r="351" customFormat="false" ht="15" hidden="false" customHeight="true" outlineLevel="0" collapsed="false">
      <c r="L351" s="1" t="str">
        <f aca="false">IF($A351="","",K351*D351)</f>
        <v/>
      </c>
      <c r="O351" s="52"/>
    </row>
    <row r="352" customFormat="false" ht="15" hidden="false" customHeight="true" outlineLevel="0" collapsed="false">
      <c r="L352" s="1" t="str">
        <f aca="false">IF($A352="","",K352*D352)</f>
        <v/>
      </c>
      <c r="O352" s="52"/>
    </row>
    <row r="353" customFormat="false" ht="15" hidden="false" customHeight="true" outlineLevel="0" collapsed="false">
      <c r="L353" s="1" t="str">
        <f aca="false">IF($A353="","",K353*D353)</f>
        <v/>
      </c>
      <c r="O353" s="52"/>
    </row>
    <row r="354" customFormat="false" ht="15" hidden="false" customHeight="true" outlineLevel="0" collapsed="false">
      <c r="L354" s="1" t="str">
        <f aca="false">IF($A354="","",K354*D354)</f>
        <v/>
      </c>
      <c r="O354" s="52"/>
    </row>
    <row r="355" customFormat="false" ht="15" hidden="false" customHeight="true" outlineLevel="0" collapsed="false">
      <c r="L355" s="1" t="str">
        <f aca="false">IF($A355="","",K355*D355)</f>
        <v/>
      </c>
      <c r="O355" s="52"/>
    </row>
    <row r="356" customFormat="false" ht="15" hidden="false" customHeight="true" outlineLevel="0" collapsed="false">
      <c r="L356" s="1" t="str">
        <f aca="false">IF($A356="","",K356*D356)</f>
        <v/>
      </c>
      <c r="O356" s="52"/>
    </row>
    <row r="357" customFormat="false" ht="15" hidden="false" customHeight="true" outlineLevel="0" collapsed="false">
      <c r="L357" s="1" t="str">
        <f aca="false">IF($A357="","",K357*D357)</f>
        <v/>
      </c>
      <c r="O357" s="52"/>
    </row>
    <row r="358" customFormat="false" ht="15" hidden="false" customHeight="true" outlineLevel="0" collapsed="false">
      <c r="L358" s="1" t="str">
        <f aca="false">IF($A358="","",K358*D358)</f>
        <v/>
      </c>
      <c r="O358" s="52"/>
    </row>
    <row r="359" customFormat="false" ht="15" hidden="false" customHeight="true" outlineLevel="0" collapsed="false">
      <c r="L359" s="1" t="str">
        <f aca="false">IF($A359="","",K359*D359)</f>
        <v/>
      </c>
      <c r="O359" s="52"/>
    </row>
    <row r="360" customFormat="false" ht="15" hidden="false" customHeight="true" outlineLevel="0" collapsed="false">
      <c r="L360" s="1" t="str">
        <f aca="false">IF($A360="","",K360*D360)</f>
        <v/>
      </c>
      <c r="O360" s="52"/>
    </row>
    <row r="361" customFormat="false" ht="15" hidden="false" customHeight="true" outlineLevel="0" collapsed="false">
      <c r="L361" s="1" t="str">
        <f aca="false">IF($A361="","",K361*D361)</f>
        <v/>
      </c>
      <c r="O361" s="52"/>
    </row>
    <row r="362" customFormat="false" ht="15" hidden="false" customHeight="true" outlineLevel="0" collapsed="false">
      <c r="L362" s="1" t="str">
        <f aca="false">IF($A362="","",K362*D362)</f>
        <v/>
      </c>
      <c r="O362" s="52"/>
    </row>
    <row r="363" customFormat="false" ht="15" hidden="false" customHeight="true" outlineLevel="0" collapsed="false">
      <c r="L363" s="1" t="str">
        <f aca="false">IF($A363="","",K363*D363)</f>
        <v/>
      </c>
      <c r="O363" s="52"/>
    </row>
    <row r="364" customFormat="false" ht="15" hidden="false" customHeight="true" outlineLevel="0" collapsed="false">
      <c r="L364" s="1" t="str">
        <f aca="false">IF($A364="","",K364*D364)</f>
        <v/>
      </c>
      <c r="O364" s="52"/>
    </row>
    <row r="365" customFormat="false" ht="15" hidden="false" customHeight="true" outlineLevel="0" collapsed="false">
      <c r="L365" s="1" t="str">
        <f aca="false">IF($A365="","",K365*D365)</f>
        <v/>
      </c>
      <c r="O365" s="52"/>
    </row>
    <row r="366" customFormat="false" ht="15" hidden="false" customHeight="true" outlineLevel="0" collapsed="false">
      <c r="L366" s="1" t="str">
        <f aca="false">IF($A366="","",K366*D366)</f>
        <v/>
      </c>
      <c r="O366" s="52"/>
    </row>
    <row r="367" customFormat="false" ht="15" hidden="false" customHeight="true" outlineLevel="0" collapsed="false">
      <c r="L367" s="1" t="str">
        <f aca="false">IF($A367="","",K367*D367)</f>
        <v/>
      </c>
      <c r="O367" s="52"/>
    </row>
    <row r="368" customFormat="false" ht="15" hidden="false" customHeight="true" outlineLevel="0" collapsed="false">
      <c r="L368" s="1" t="str">
        <f aca="false">IF($A368="","",K368*D368)</f>
        <v/>
      </c>
      <c r="O368" s="52"/>
    </row>
    <row r="369" customFormat="false" ht="15" hidden="false" customHeight="true" outlineLevel="0" collapsed="false">
      <c r="L369" s="1" t="str">
        <f aca="false">IF($A369="","",K369*D369)</f>
        <v/>
      </c>
      <c r="O369" s="52"/>
    </row>
    <row r="370" customFormat="false" ht="15" hidden="false" customHeight="true" outlineLevel="0" collapsed="false">
      <c r="L370" s="1" t="str">
        <f aca="false">IF($A370="","",K370*D370)</f>
        <v/>
      </c>
      <c r="O370" s="52"/>
    </row>
    <row r="371" customFormat="false" ht="15" hidden="false" customHeight="true" outlineLevel="0" collapsed="false">
      <c r="L371" s="1" t="str">
        <f aca="false">IF($A371="","",K371*D371)</f>
        <v/>
      </c>
      <c r="O371" s="52"/>
    </row>
    <row r="372" customFormat="false" ht="15" hidden="false" customHeight="true" outlineLevel="0" collapsed="false">
      <c r="L372" s="1" t="str">
        <f aca="false">IF($A372="","",K372*D372)</f>
        <v/>
      </c>
      <c r="O372" s="52"/>
    </row>
    <row r="373" customFormat="false" ht="15" hidden="false" customHeight="true" outlineLevel="0" collapsed="false">
      <c r="L373" s="1" t="str">
        <f aca="false">IF($A373="","",K373*D373)</f>
        <v/>
      </c>
      <c r="O373" s="52"/>
    </row>
    <row r="374" customFormat="false" ht="15" hidden="false" customHeight="true" outlineLevel="0" collapsed="false">
      <c r="L374" s="1" t="str">
        <f aca="false">IF($A374="","",K374*D374)</f>
        <v/>
      </c>
      <c r="O374" s="52"/>
    </row>
    <row r="375" customFormat="false" ht="15" hidden="false" customHeight="true" outlineLevel="0" collapsed="false">
      <c r="L375" s="1" t="str">
        <f aca="false">IF($A375="","",K375*D375)</f>
        <v/>
      </c>
      <c r="O375" s="52"/>
    </row>
    <row r="376" customFormat="false" ht="15" hidden="false" customHeight="true" outlineLevel="0" collapsed="false">
      <c r="L376" s="1" t="str">
        <f aca="false">IF($A376="","",K376*D376)</f>
        <v/>
      </c>
      <c r="O376" s="52"/>
    </row>
    <row r="377" customFormat="false" ht="15" hidden="false" customHeight="true" outlineLevel="0" collapsed="false">
      <c r="L377" s="1" t="str">
        <f aca="false">IF($A377="","",K377*D377)</f>
        <v/>
      </c>
      <c r="O377" s="52"/>
    </row>
    <row r="378" customFormat="false" ht="15" hidden="false" customHeight="true" outlineLevel="0" collapsed="false">
      <c r="L378" s="1" t="str">
        <f aca="false">IF($A378="","",K378*D378)</f>
        <v/>
      </c>
      <c r="O378" s="52"/>
    </row>
    <row r="379" customFormat="false" ht="15" hidden="false" customHeight="true" outlineLevel="0" collapsed="false">
      <c r="L379" s="1" t="str">
        <f aca="false">IF($A379="","",K379*D379)</f>
        <v/>
      </c>
      <c r="O379" s="52"/>
    </row>
    <row r="380" customFormat="false" ht="15" hidden="false" customHeight="true" outlineLevel="0" collapsed="false">
      <c r="L380" s="1" t="str">
        <f aca="false">IF($A380="","",K380*D380)</f>
        <v/>
      </c>
      <c r="O380" s="52"/>
    </row>
    <row r="381" customFormat="false" ht="15" hidden="false" customHeight="true" outlineLevel="0" collapsed="false">
      <c r="L381" s="1" t="str">
        <f aca="false">IF($A381="","",K381*D381)</f>
        <v/>
      </c>
      <c r="O381" s="52"/>
    </row>
    <row r="382" customFormat="false" ht="15" hidden="false" customHeight="true" outlineLevel="0" collapsed="false">
      <c r="L382" s="1" t="str">
        <f aca="false">IF($A382="","",K382*D382)</f>
        <v/>
      </c>
      <c r="O382" s="52"/>
    </row>
    <row r="383" customFormat="false" ht="15" hidden="false" customHeight="true" outlineLevel="0" collapsed="false">
      <c r="L383" s="1" t="str">
        <f aca="false">IF($A383="","",K383*D383)</f>
        <v/>
      </c>
      <c r="O383" s="52"/>
    </row>
    <row r="384" customFormat="false" ht="15" hidden="false" customHeight="true" outlineLevel="0" collapsed="false">
      <c r="L384" s="1" t="str">
        <f aca="false">IF($A384="","",K384*D384)</f>
        <v/>
      </c>
      <c r="O384" s="52"/>
    </row>
    <row r="385" customFormat="false" ht="15" hidden="false" customHeight="true" outlineLevel="0" collapsed="false">
      <c r="L385" s="1" t="str">
        <f aca="false">IF($A385="","",K385*D385)</f>
        <v/>
      </c>
      <c r="O385" s="52"/>
    </row>
    <row r="386" customFormat="false" ht="15" hidden="false" customHeight="true" outlineLevel="0" collapsed="false">
      <c r="L386" s="1" t="str">
        <f aca="false">IF($A386="","",K386*D386)</f>
        <v/>
      </c>
      <c r="O386" s="52"/>
    </row>
    <row r="387" customFormat="false" ht="15" hidden="false" customHeight="true" outlineLevel="0" collapsed="false">
      <c r="L387" s="1" t="str">
        <f aca="false">IF($A387="","",K387*D387)</f>
        <v/>
      </c>
      <c r="O387" s="52"/>
    </row>
    <row r="388" customFormat="false" ht="15" hidden="false" customHeight="true" outlineLevel="0" collapsed="false">
      <c r="L388" s="1" t="str">
        <f aca="false">IF($A388="","",K388*D388)</f>
        <v/>
      </c>
      <c r="O388" s="52"/>
    </row>
    <row r="389" customFormat="false" ht="15" hidden="false" customHeight="true" outlineLevel="0" collapsed="false">
      <c r="L389" s="1" t="str">
        <f aca="false">IF($A389="","",K389*D389)</f>
        <v/>
      </c>
      <c r="O389" s="52"/>
    </row>
    <row r="390" customFormat="false" ht="15" hidden="false" customHeight="true" outlineLevel="0" collapsed="false">
      <c r="L390" s="1" t="str">
        <f aca="false">IF($A390="","",K390*D390)</f>
        <v/>
      </c>
      <c r="O390" s="52"/>
    </row>
    <row r="391" customFormat="false" ht="15" hidden="false" customHeight="true" outlineLevel="0" collapsed="false">
      <c r="L391" s="1" t="str">
        <f aca="false">IF($A391="","",K391*D391)</f>
        <v/>
      </c>
      <c r="O391" s="52"/>
    </row>
    <row r="392" customFormat="false" ht="15" hidden="false" customHeight="true" outlineLevel="0" collapsed="false">
      <c r="L392" s="1" t="str">
        <f aca="false">IF($A392="","",K392*D392)</f>
        <v/>
      </c>
      <c r="O392" s="52"/>
    </row>
    <row r="393" customFormat="false" ht="15" hidden="false" customHeight="true" outlineLevel="0" collapsed="false">
      <c r="L393" s="1" t="str">
        <f aca="false">IF($A393="","",K393*D393)</f>
        <v/>
      </c>
      <c r="O393" s="52"/>
    </row>
    <row r="394" customFormat="false" ht="15" hidden="false" customHeight="true" outlineLevel="0" collapsed="false">
      <c r="L394" s="1" t="str">
        <f aca="false">IF($A394="","",K394*D394)</f>
        <v/>
      </c>
      <c r="O394" s="52"/>
    </row>
    <row r="395" customFormat="false" ht="15" hidden="false" customHeight="true" outlineLevel="0" collapsed="false">
      <c r="L395" s="1" t="str">
        <f aca="false">IF($A395="","",K395*D395)</f>
        <v/>
      </c>
      <c r="O395" s="52"/>
    </row>
    <row r="396" customFormat="false" ht="15" hidden="false" customHeight="true" outlineLevel="0" collapsed="false">
      <c r="L396" s="1" t="str">
        <f aca="false">IF($A396="","",K396*D396)</f>
        <v/>
      </c>
      <c r="O396" s="52"/>
    </row>
    <row r="397" customFormat="false" ht="15" hidden="false" customHeight="true" outlineLevel="0" collapsed="false">
      <c r="L397" s="1" t="str">
        <f aca="false">IF($A397="","",K397*D397)</f>
        <v/>
      </c>
      <c r="O397" s="52"/>
    </row>
    <row r="398" customFormat="false" ht="15" hidden="false" customHeight="true" outlineLevel="0" collapsed="false">
      <c r="L398" s="1" t="str">
        <f aca="false">IF($A398="","",K398*D398)</f>
        <v/>
      </c>
      <c r="O398" s="52"/>
    </row>
    <row r="399" customFormat="false" ht="15" hidden="false" customHeight="true" outlineLevel="0" collapsed="false">
      <c r="L399" s="1" t="str">
        <f aca="false">IF($A399="","",K399*D399)</f>
        <v/>
      </c>
      <c r="O399" s="52"/>
    </row>
    <row r="400" customFormat="false" ht="15" hidden="false" customHeight="true" outlineLevel="0" collapsed="false">
      <c r="L400" s="1" t="str">
        <f aca="false">IF($A400="","",K400*D400)</f>
        <v/>
      </c>
      <c r="O400" s="52"/>
    </row>
    <row r="401" customFormat="false" ht="15" hidden="false" customHeight="true" outlineLevel="0" collapsed="false">
      <c r="L401" s="1" t="str">
        <f aca="false">IF($A401="","",K401*D401)</f>
        <v/>
      </c>
      <c r="O401" s="52"/>
    </row>
    <row r="402" customFormat="false" ht="15" hidden="false" customHeight="true" outlineLevel="0" collapsed="false">
      <c r="L402" s="1" t="str">
        <f aca="false">IF($A402="","",K402*D402)</f>
        <v/>
      </c>
      <c r="O402" s="52"/>
    </row>
    <row r="403" customFormat="false" ht="15" hidden="false" customHeight="true" outlineLevel="0" collapsed="false">
      <c r="L403" s="1" t="str">
        <f aca="false">IF($A403="","",K403*D403)</f>
        <v/>
      </c>
      <c r="O403" s="52"/>
    </row>
    <row r="404" customFormat="false" ht="15" hidden="false" customHeight="true" outlineLevel="0" collapsed="false">
      <c r="L404" s="1" t="str">
        <f aca="false">IF($A404="","",K404*D404)</f>
        <v/>
      </c>
      <c r="O404" s="52"/>
    </row>
    <row r="405" customFormat="false" ht="15" hidden="false" customHeight="true" outlineLevel="0" collapsed="false">
      <c r="L405" s="1" t="str">
        <f aca="false">IF($A405="","",K405*D405)</f>
        <v/>
      </c>
      <c r="O405" s="52"/>
    </row>
    <row r="406" customFormat="false" ht="15" hidden="false" customHeight="true" outlineLevel="0" collapsed="false">
      <c r="L406" s="1" t="str">
        <f aca="false">IF($A406="","",K406*D406)</f>
        <v/>
      </c>
      <c r="O406" s="52"/>
    </row>
    <row r="407" customFormat="false" ht="15" hidden="false" customHeight="true" outlineLevel="0" collapsed="false">
      <c r="L407" s="1" t="str">
        <f aca="false">IF($A407="","",K407*D407)</f>
        <v/>
      </c>
      <c r="O407" s="52"/>
    </row>
    <row r="408" customFormat="false" ht="15" hidden="false" customHeight="true" outlineLevel="0" collapsed="false">
      <c r="L408" s="1" t="str">
        <f aca="false">IF($A408="","",K408*D408)</f>
        <v/>
      </c>
      <c r="O408" s="52"/>
    </row>
    <row r="409" customFormat="false" ht="15" hidden="false" customHeight="true" outlineLevel="0" collapsed="false">
      <c r="L409" s="1" t="str">
        <f aca="false">IF($A409="","",K409*D409)</f>
        <v/>
      </c>
      <c r="O409" s="52"/>
    </row>
    <row r="410" customFormat="false" ht="15" hidden="false" customHeight="true" outlineLevel="0" collapsed="false">
      <c r="L410" s="1" t="str">
        <f aca="false">IF($A410="","",K410*D410)</f>
        <v/>
      </c>
      <c r="O410" s="52"/>
    </row>
    <row r="411" customFormat="false" ht="15" hidden="false" customHeight="true" outlineLevel="0" collapsed="false">
      <c r="L411" s="1" t="str">
        <f aca="false">IF($A411="","",K411*D411)</f>
        <v/>
      </c>
      <c r="O411" s="52"/>
    </row>
    <row r="412" customFormat="false" ht="15" hidden="false" customHeight="true" outlineLevel="0" collapsed="false">
      <c r="L412" s="1" t="str">
        <f aca="false">IF($A412="","",K412*D412)</f>
        <v/>
      </c>
      <c r="O412" s="52"/>
    </row>
    <row r="413" customFormat="false" ht="15" hidden="false" customHeight="true" outlineLevel="0" collapsed="false">
      <c r="L413" s="1" t="str">
        <f aca="false">IF($A413="","",K413*D413)</f>
        <v/>
      </c>
      <c r="O413" s="52"/>
    </row>
    <row r="414" customFormat="false" ht="15" hidden="false" customHeight="true" outlineLevel="0" collapsed="false">
      <c r="L414" s="1" t="str">
        <f aca="false">IF($A414="","",K414*D414)</f>
        <v/>
      </c>
      <c r="O414" s="52"/>
    </row>
    <row r="415" customFormat="false" ht="15" hidden="false" customHeight="true" outlineLevel="0" collapsed="false">
      <c r="L415" s="1" t="str">
        <f aca="false">IF($A415="","",K415*D415)</f>
        <v/>
      </c>
      <c r="O415" s="52"/>
    </row>
    <row r="416" customFormat="false" ht="15" hidden="false" customHeight="true" outlineLevel="0" collapsed="false">
      <c r="L416" s="1" t="str">
        <f aca="false">IF($A416="","",K416*D416)</f>
        <v/>
      </c>
      <c r="O416" s="52"/>
    </row>
    <row r="417" customFormat="false" ht="15" hidden="false" customHeight="true" outlineLevel="0" collapsed="false">
      <c r="L417" s="1" t="str">
        <f aca="false">IF($A417="","",K417*D417)</f>
        <v/>
      </c>
      <c r="O417" s="52"/>
    </row>
    <row r="418" customFormat="false" ht="15" hidden="false" customHeight="true" outlineLevel="0" collapsed="false">
      <c r="L418" s="1" t="str">
        <f aca="false">IF($A418="","",K418*D418)</f>
        <v/>
      </c>
      <c r="O418" s="52"/>
    </row>
    <row r="419" customFormat="false" ht="15" hidden="false" customHeight="true" outlineLevel="0" collapsed="false">
      <c r="L419" s="1" t="str">
        <f aca="false">IF($A419="","",K419*D419)</f>
        <v/>
      </c>
      <c r="O419" s="52"/>
    </row>
    <row r="420" customFormat="false" ht="15" hidden="false" customHeight="true" outlineLevel="0" collapsed="false">
      <c r="L420" s="1" t="str">
        <f aca="false">IF($A420="","",K420*D420)</f>
        <v/>
      </c>
      <c r="O420" s="52"/>
    </row>
    <row r="421" customFormat="false" ht="15" hidden="false" customHeight="true" outlineLevel="0" collapsed="false">
      <c r="L421" s="1" t="str">
        <f aca="false">IF($A421="","",K421*D421)</f>
        <v/>
      </c>
      <c r="O421" s="52"/>
    </row>
    <row r="422" customFormat="false" ht="15" hidden="false" customHeight="true" outlineLevel="0" collapsed="false">
      <c r="L422" s="1" t="str">
        <f aca="false">IF($A422="","",K422*D422)</f>
        <v/>
      </c>
      <c r="O422" s="52"/>
    </row>
    <row r="423" customFormat="false" ht="15" hidden="false" customHeight="true" outlineLevel="0" collapsed="false">
      <c r="L423" s="1" t="str">
        <f aca="false">IF($A423="","",K423*D423)</f>
        <v/>
      </c>
      <c r="O423" s="52"/>
    </row>
    <row r="424" customFormat="false" ht="15" hidden="false" customHeight="true" outlineLevel="0" collapsed="false">
      <c r="L424" s="1" t="str">
        <f aca="false">IF($A424="","",K424*D424)</f>
        <v/>
      </c>
      <c r="O424" s="52"/>
    </row>
    <row r="425" customFormat="false" ht="15" hidden="false" customHeight="true" outlineLevel="0" collapsed="false">
      <c r="L425" s="1" t="str">
        <f aca="false">IF($A425="","",K425*D425)</f>
        <v/>
      </c>
      <c r="O425" s="52"/>
    </row>
    <row r="426" customFormat="false" ht="15" hidden="false" customHeight="true" outlineLevel="0" collapsed="false">
      <c r="L426" s="1" t="str">
        <f aca="false">IF($A426="","",K426*D426)</f>
        <v/>
      </c>
      <c r="O426" s="52"/>
    </row>
    <row r="427" customFormat="false" ht="15" hidden="false" customHeight="true" outlineLevel="0" collapsed="false">
      <c r="L427" s="1" t="str">
        <f aca="false">IF($A427="","",K427*D427)</f>
        <v/>
      </c>
      <c r="O427" s="52"/>
    </row>
    <row r="428" customFormat="false" ht="15" hidden="false" customHeight="true" outlineLevel="0" collapsed="false">
      <c r="L428" s="1" t="str">
        <f aca="false">IF($A428="","",K428*D428)</f>
        <v/>
      </c>
      <c r="O428" s="52"/>
    </row>
    <row r="429" customFormat="false" ht="15" hidden="false" customHeight="true" outlineLevel="0" collapsed="false">
      <c r="L429" s="1" t="str">
        <f aca="false">IF($A429="","",K429*D429)</f>
        <v/>
      </c>
      <c r="O429" s="52"/>
    </row>
    <row r="430" customFormat="false" ht="15" hidden="false" customHeight="true" outlineLevel="0" collapsed="false">
      <c r="L430" s="1" t="str">
        <f aca="false">IF($A430="","",K430*D430)</f>
        <v/>
      </c>
      <c r="O430" s="52"/>
    </row>
    <row r="431" customFormat="false" ht="15" hidden="false" customHeight="true" outlineLevel="0" collapsed="false">
      <c r="L431" s="1" t="str">
        <f aca="false">IF($A431="","",K431*D431)</f>
        <v/>
      </c>
      <c r="O431" s="52"/>
    </row>
    <row r="432" customFormat="false" ht="15" hidden="false" customHeight="true" outlineLevel="0" collapsed="false">
      <c r="L432" s="1" t="str">
        <f aca="false">IF($A432="","",K432*D432)</f>
        <v/>
      </c>
      <c r="O432" s="52"/>
    </row>
    <row r="433" customFormat="false" ht="15" hidden="false" customHeight="true" outlineLevel="0" collapsed="false">
      <c r="L433" s="1" t="str">
        <f aca="false">IF($A433="","",K433*D433)</f>
        <v/>
      </c>
      <c r="O433" s="52"/>
    </row>
    <row r="434" customFormat="false" ht="15" hidden="false" customHeight="true" outlineLevel="0" collapsed="false">
      <c r="L434" s="1" t="str">
        <f aca="false">IF($A434="","",K434*D434)</f>
        <v/>
      </c>
      <c r="O434" s="52"/>
    </row>
    <row r="435" customFormat="false" ht="15" hidden="false" customHeight="true" outlineLevel="0" collapsed="false">
      <c r="L435" s="1" t="str">
        <f aca="false">IF($A435="","",K435*D435)</f>
        <v/>
      </c>
      <c r="O435" s="52"/>
    </row>
    <row r="436" customFormat="false" ht="15" hidden="false" customHeight="true" outlineLevel="0" collapsed="false">
      <c r="L436" s="1" t="str">
        <f aca="false">IF($A436="","",K436*D436)</f>
        <v/>
      </c>
      <c r="O436" s="52"/>
    </row>
    <row r="437" customFormat="false" ht="15" hidden="false" customHeight="true" outlineLevel="0" collapsed="false">
      <c r="L437" s="1" t="str">
        <f aca="false">IF($A437="","",K437*D437)</f>
        <v/>
      </c>
      <c r="O437" s="52"/>
    </row>
    <row r="438" customFormat="false" ht="15" hidden="false" customHeight="true" outlineLevel="0" collapsed="false">
      <c r="L438" s="1" t="str">
        <f aca="false">IF($A438="","",K438*D438)</f>
        <v/>
      </c>
      <c r="O438" s="52"/>
    </row>
    <row r="439" customFormat="false" ht="15" hidden="false" customHeight="true" outlineLevel="0" collapsed="false">
      <c r="L439" s="1" t="str">
        <f aca="false">IF($A439="","",K439*D439)</f>
        <v/>
      </c>
      <c r="O439" s="52"/>
    </row>
    <row r="440" customFormat="false" ht="15" hidden="false" customHeight="true" outlineLevel="0" collapsed="false">
      <c r="L440" s="1" t="str">
        <f aca="false">IF($A440="","",K440*D440)</f>
        <v/>
      </c>
      <c r="O440" s="52"/>
    </row>
    <row r="441" customFormat="false" ht="15" hidden="false" customHeight="true" outlineLevel="0" collapsed="false">
      <c r="L441" s="1" t="str">
        <f aca="false">IF($A441="","",K441*D441)</f>
        <v/>
      </c>
      <c r="O441" s="52"/>
    </row>
    <row r="442" customFormat="false" ht="15" hidden="false" customHeight="true" outlineLevel="0" collapsed="false">
      <c r="L442" s="1" t="str">
        <f aca="false">IF($A442="","",K442*D442)</f>
        <v/>
      </c>
      <c r="O442" s="52"/>
    </row>
    <row r="443" customFormat="false" ht="15" hidden="false" customHeight="true" outlineLevel="0" collapsed="false">
      <c r="L443" s="1" t="str">
        <f aca="false">IF($A443="","",K443*D443)</f>
        <v/>
      </c>
      <c r="O443" s="52"/>
    </row>
    <row r="444" customFormat="false" ht="15" hidden="false" customHeight="true" outlineLevel="0" collapsed="false">
      <c r="L444" s="1" t="str">
        <f aca="false">IF($A444="","",K444*D444)</f>
        <v/>
      </c>
      <c r="O444" s="52"/>
    </row>
    <row r="445" customFormat="false" ht="15" hidden="false" customHeight="true" outlineLevel="0" collapsed="false">
      <c r="L445" s="1" t="str">
        <f aca="false">IF($A445="","",K445*D445)</f>
        <v/>
      </c>
      <c r="O445" s="52"/>
    </row>
    <row r="446" customFormat="false" ht="15" hidden="false" customHeight="true" outlineLevel="0" collapsed="false">
      <c r="L446" s="1" t="str">
        <f aca="false">IF($A446="","",K446*D446)</f>
        <v/>
      </c>
      <c r="O446" s="52"/>
    </row>
    <row r="447" customFormat="false" ht="15" hidden="false" customHeight="true" outlineLevel="0" collapsed="false">
      <c r="L447" s="1" t="str">
        <f aca="false">IF($A447="","",K447*D447)</f>
        <v/>
      </c>
      <c r="O447" s="52"/>
    </row>
    <row r="448" customFormat="false" ht="15" hidden="false" customHeight="true" outlineLevel="0" collapsed="false">
      <c r="L448" s="1" t="str">
        <f aca="false">IF($A448="","",K448*D448)</f>
        <v/>
      </c>
      <c r="O448" s="52"/>
    </row>
    <row r="449" customFormat="false" ht="15" hidden="false" customHeight="true" outlineLevel="0" collapsed="false">
      <c r="L449" s="1" t="str">
        <f aca="false">IF($A449="","",K449*D449)</f>
        <v/>
      </c>
      <c r="O449" s="52"/>
    </row>
    <row r="450" customFormat="false" ht="15" hidden="false" customHeight="true" outlineLevel="0" collapsed="false">
      <c r="L450" s="1" t="str">
        <f aca="false">IF($A450="","",K450*D450)</f>
        <v/>
      </c>
      <c r="O450" s="52"/>
    </row>
    <row r="451" customFormat="false" ht="15" hidden="false" customHeight="true" outlineLevel="0" collapsed="false">
      <c r="L451" s="1" t="str">
        <f aca="false">IF($A451="","",K451*D451)</f>
        <v/>
      </c>
      <c r="O451" s="52"/>
    </row>
    <row r="452" customFormat="false" ht="15" hidden="false" customHeight="true" outlineLevel="0" collapsed="false">
      <c r="L452" s="1" t="str">
        <f aca="false">IF($A452="","",K452*D452)</f>
        <v/>
      </c>
      <c r="O452" s="52"/>
    </row>
    <row r="453" customFormat="false" ht="15" hidden="false" customHeight="true" outlineLevel="0" collapsed="false">
      <c r="L453" s="1" t="str">
        <f aca="false">IF($A453="","",K453*D453)</f>
        <v/>
      </c>
      <c r="O453" s="52"/>
    </row>
    <row r="454" customFormat="false" ht="15" hidden="false" customHeight="true" outlineLevel="0" collapsed="false">
      <c r="L454" s="1" t="str">
        <f aca="false">IF($A454="","",K454*D454)</f>
        <v/>
      </c>
      <c r="O454" s="52"/>
    </row>
    <row r="455" customFormat="false" ht="15" hidden="false" customHeight="true" outlineLevel="0" collapsed="false">
      <c r="L455" s="1" t="str">
        <f aca="false">IF($A455="","",K455*D455)</f>
        <v/>
      </c>
      <c r="O455" s="52"/>
    </row>
    <row r="456" customFormat="false" ht="15" hidden="false" customHeight="true" outlineLevel="0" collapsed="false">
      <c r="L456" s="1" t="str">
        <f aca="false">IF($A456="","",K456*D456)</f>
        <v/>
      </c>
      <c r="O456" s="52"/>
    </row>
    <row r="457" customFormat="false" ht="15" hidden="false" customHeight="true" outlineLevel="0" collapsed="false">
      <c r="L457" s="1" t="str">
        <f aca="false">IF($A457="","",K457*D457)</f>
        <v/>
      </c>
      <c r="O457" s="52"/>
    </row>
    <row r="458" customFormat="false" ht="15" hidden="false" customHeight="true" outlineLevel="0" collapsed="false">
      <c r="L458" s="1" t="str">
        <f aca="false">IF($A458="","",K458*D458)</f>
        <v/>
      </c>
      <c r="O458" s="52"/>
    </row>
    <row r="459" customFormat="false" ht="15" hidden="false" customHeight="true" outlineLevel="0" collapsed="false">
      <c r="L459" s="1" t="str">
        <f aca="false">IF($A459="","",K459*D459)</f>
        <v/>
      </c>
      <c r="O459" s="52"/>
    </row>
    <row r="460" customFormat="false" ht="15" hidden="false" customHeight="true" outlineLevel="0" collapsed="false">
      <c r="L460" s="1" t="str">
        <f aca="false">IF($A460="","",K460*D460)</f>
        <v/>
      </c>
      <c r="O460" s="52"/>
    </row>
    <row r="461" customFormat="false" ht="15" hidden="false" customHeight="true" outlineLevel="0" collapsed="false">
      <c r="L461" s="1" t="str">
        <f aca="false">IF($A461="","",K461*D461)</f>
        <v/>
      </c>
      <c r="O461" s="52"/>
    </row>
    <row r="462" customFormat="false" ht="15" hidden="false" customHeight="true" outlineLevel="0" collapsed="false">
      <c r="L462" s="1" t="str">
        <f aca="false">IF($A462="","",K462*D462)</f>
        <v/>
      </c>
      <c r="O462" s="52"/>
    </row>
    <row r="463" customFormat="false" ht="15" hidden="false" customHeight="true" outlineLevel="0" collapsed="false">
      <c r="L463" s="1" t="str">
        <f aca="false">IF($A463="","",K463*D463)</f>
        <v/>
      </c>
      <c r="O463" s="52"/>
    </row>
    <row r="464" customFormat="false" ht="15" hidden="false" customHeight="true" outlineLevel="0" collapsed="false">
      <c r="L464" s="1" t="str">
        <f aca="false">IF($A464="","",K464*D464)</f>
        <v/>
      </c>
      <c r="O464" s="52"/>
    </row>
    <row r="465" customFormat="false" ht="15" hidden="false" customHeight="true" outlineLevel="0" collapsed="false">
      <c r="L465" s="1" t="str">
        <f aca="false">IF($A465="","",K465*D465)</f>
        <v/>
      </c>
      <c r="O465" s="52"/>
    </row>
    <row r="466" customFormat="false" ht="15" hidden="false" customHeight="true" outlineLevel="0" collapsed="false">
      <c r="L466" s="1" t="str">
        <f aca="false">IF($A466="","",K466*D466)</f>
        <v/>
      </c>
      <c r="O466" s="52"/>
    </row>
    <row r="467" customFormat="false" ht="15" hidden="false" customHeight="true" outlineLevel="0" collapsed="false">
      <c r="L467" s="1" t="str">
        <f aca="false">IF($A467="","",K467*D467)</f>
        <v/>
      </c>
      <c r="O467" s="52"/>
    </row>
    <row r="468" customFormat="false" ht="15" hidden="false" customHeight="true" outlineLevel="0" collapsed="false">
      <c r="L468" s="1" t="str">
        <f aca="false">IF($A468="","",K468*D468)</f>
        <v/>
      </c>
      <c r="O468" s="52"/>
    </row>
    <row r="469" customFormat="false" ht="15" hidden="false" customHeight="true" outlineLevel="0" collapsed="false">
      <c r="L469" s="1" t="str">
        <f aca="false">IF($A469="","",K469*D469)</f>
        <v/>
      </c>
      <c r="O469" s="52"/>
    </row>
    <row r="470" customFormat="false" ht="15" hidden="false" customHeight="true" outlineLevel="0" collapsed="false">
      <c r="L470" s="1" t="str">
        <f aca="false">IF($A470="","",K470*D470)</f>
        <v/>
      </c>
      <c r="O470" s="52"/>
    </row>
    <row r="471" customFormat="false" ht="15" hidden="false" customHeight="true" outlineLevel="0" collapsed="false">
      <c r="L471" s="1" t="str">
        <f aca="false">IF($A471="","",K471*D471)</f>
        <v/>
      </c>
      <c r="O471" s="52"/>
    </row>
    <row r="472" customFormat="false" ht="15" hidden="false" customHeight="true" outlineLevel="0" collapsed="false">
      <c r="L472" s="1" t="str">
        <f aca="false">IF($A472="","",K472*D472)</f>
        <v/>
      </c>
      <c r="O472" s="52"/>
    </row>
    <row r="473" customFormat="false" ht="15" hidden="false" customHeight="true" outlineLevel="0" collapsed="false">
      <c r="L473" s="1" t="str">
        <f aca="false">IF($A473="","",K473*D473)</f>
        <v/>
      </c>
      <c r="O473" s="52"/>
    </row>
    <row r="474" customFormat="false" ht="15" hidden="false" customHeight="true" outlineLevel="0" collapsed="false">
      <c r="L474" s="1" t="str">
        <f aca="false">IF($A474="","",K474*D474)</f>
        <v/>
      </c>
      <c r="O474" s="52"/>
    </row>
    <row r="475" customFormat="false" ht="15" hidden="false" customHeight="true" outlineLevel="0" collapsed="false">
      <c r="L475" s="1" t="str">
        <f aca="false">IF($A475="","",K475*D475)</f>
        <v/>
      </c>
      <c r="O475" s="52"/>
    </row>
    <row r="476" customFormat="false" ht="15" hidden="false" customHeight="true" outlineLevel="0" collapsed="false">
      <c r="L476" s="1" t="str">
        <f aca="false">IF($A476="","",K476*D476)</f>
        <v/>
      </c>
      <c r="O476" s="52"/>
    </row>
    <row r="477" customFormat="false" ht="15" hidden="false" customHeight="true" outlineLevel="0" collapsed="false">
      <c r="L477" s="1" t="str">
        <f aca="false">IF($A477="","",K477*D477)</f>
        <v/>
      </c>
      <c r="O477" s="52"/>
    </row>
    <row r="478" customFormat="false" ht="15" hidden="false" customHeight="true" outlineLevel="0" collapsed="false">
      <c r="L478" s="1" t="str">
        <f aca="false">IF($A478="","",K478*D478)</f>
        <v/>
      </c>
      <c r="O478" s="52"/>
    </row>
    <row r="479" customFormat="false" ht="15" hidden="false" customHeight="true" outlineLevel="0" collapsed="false">
      <c r="L479" s="1" t="str">
        <f aca="false">IF($A479="","",K479*D479)</f>
        <v/>
      </c>
      <c r="O479" s="52"/>
    </row>
    <row r="480" customFormat="false" ht="15" hidden="false" customHeight="true" outlineLevel="0" collapsed="false">
      <c r="L480" s="1" t="str">
        <f aca="false">IF($A480="","",K480*D480)</f>
        <v/>
      </c>
      <c r="O480" s="52"/>
    </row>
    <row r="481" customFormat="false" ht="15" hidden="false" customHeight="true" outlineLevel="0" collapsed="false">
      <c r="L481" s="1" t="str">
        <f aca="false">IF($A481="","",K481*D481)</f>
        <v/>
      </c>
      <c r="O481" s="52"/>
    </row>
    <row r="482" customFormat="false" ht="15" hidden="false" customHeight="true" outlineLevel="0" collapsed="false">
      <c r="L482" s="1" t="str">
        <f aca="false">IF($A482="","",K482*D482)</f>
        <v/>
      </c>
      <c r="O482" s="52"/>
    </row>
    <row r="483" customFormat="false" ht="15" hidden="false" customHeight="true" outlineLevel="0" collapsed="false">
      <c r="L483" s="1" t="str">
        <f aca="false">IF($A483="","",K483*D483)</f>
        <v/>
      </c>
      <c r="O483" s="52"/>
    </row>
    <row r="484" customFormat="false" ht="15" hidden="false" customHeight="true" outlineLevel="0" collapsed="false">
      <c r="L484" s="1" t="str">
        <f aca="false">IF($A484="","",K484*D484)</f>
        <v/>
      </c>
      <c r="O484" s="52"/>
    </row>
    <row r="485" customFormat="false" ht="15" hidden="false" customHeight="true" outlineLevel="0" collapsed="false">
      <c r="L485" s="1" t="str">
        <f aca="false">IF($A485="","",K485*D485)</f>
        <v/>
      </c>
      <c r="O485" s="52"/>
    </row>
    <row r="486" customFormat="false" ht="15" hidden="false" customHeight="true" outlineLevel="0" collapsed="false">
      <c r="L486" s="1" t="str">
        <f aca="false">IF($A486="","",K486*D486)</f>
        <v/>
      </c>
      <c r="O486" s="52"/>
    </row>
    <row r="487" customFormat="false" ht="15" hidden="false" customHeight="true" outlineLevel="0" collapsed="false">
      <c r="L487" s="1" t="str">
        <f aca="false">IF($A487="","",K487*D487)</f>
        <v/>
      </c>
      <c r="O487" s="52"/>
    </row>
    <row r="488" customFormat="false" ht="15" hidden="false" customHeight="true" outlineLevel="0" collapsed="false">
      <c r="L488" s="1" t="str">
        <f aca="false">IF($A488="","",K488*D488)</f>
        <v/>
      </c>
      <c r="O488" s="52"/>
    </row>
    <row r="489" customFormat="false" ht="15" hidden="false" customHeight="true" outlineLevel="0" collapsed="false">
      <c r="L489" s="1" t="str">
        <f aca="false">IF($A489="","",K489*D489)</f>
        <v/>
      </c>
      <c r="O489" s="52"/>
    </row>
    <row r="490" customFormat="false" ht="15" hidden="false" customHeight="true" outlineLevel="0" collapsed="false">
      <c r="L490" s="1" t="str">
        <f aca="false">IF($A490="","",K490*D490)</f>
        <v/>
      </c>
      <c r="O490" s="52"/>
    </row>
    <row r="491" customFormat="false" ht="15" hidden="false" customHeight="true" outlineLevel="0" collapsed="false">
      <c r="L491" s="1" t="str">
        <f aca="false">IF($A491="","",K491*D491)</f>
        <v/>
      </c>
      <c r="O491" s="52"/>
    </row>
    <row r="492" customFormat="false" ht="15" hidden="false" customHeight="true" outlineLevel="0" collapsed="false">
      <c r="L492" s="1" t="str">
        <f aca="false">IF($A492="","",K492*D492)</f>
        <v/>
      </c>
      <c r="O492" s="52"/>
    </row>
    <row r="493" customFormat="false" ht="15" hidden="false" customHeight="true" outlineLevel="0" collapsed="false">
      <c r="L493" s="1" t="str">
        <f aca="false">IF($A493="","",K493*D493)</f>
        <v/>
      </c>
      <c r="O493" s="52"/>
    </row>
    <row r="494" customFormat="false" ht="15" hidden="false" customHeight="true" outlineLevel="0" collapsed="false">
      <c r="L494" s="1" t="str">
        <f aca="false">IF($A494="","",K494*D494)</f>
        <v/>
      </c>
      <c r="O494" s="52"/>
    </row>
    <row r="495" customFormat="false" ht="15" hidden="false" customHeight="true" outlineLevel="0" collapsed="false">
      <c r="L495" s="1" t="str">
        <f aca="false">IF($A495="","",K495*D495)</f>
        <v/>
      </c>
      <c r="O495" s="52"/>
    </row>
    <row r="496" customFormat="false" ht="15" hidden="false" customHeight="true" outlineLevel="0" collapsed="false">
      <c r="L496" s="1" t="str">
        <f aca="false">IF($A496="","",K496*D496)</f>
        <v/>
      </c>
      <c r="O496" s="52"/>
    </row>
    <row r="497" customFormat="false" ht="15" hidden="false" customHeight="true" outlineLevel="0" collapsed="false">
      <c r="L497" s="1" t="str">
        <f aca="false">IF($A497="","",K497*D497)</f>
        <v/>
      </c>
      <c r="O497" s="52"/>
    </row>
    <row r="498" customFormat="false" ht="15" hidden="false" customHeight="true" outlineLevel="0" collapsed="false">
      <c r="L498" s="1" t="str">
        <f aca="false">IF($A498="","",K498*D498)</f>
        <v/>
      </c>
      <c r="O498" s="52"/>
    </row>
    <row r="499" customFormat="false" ht="15" hidden="false" customHeight="true" outlineLevel="0" collapsed="false">
      <c r="L499" s="1" t="str">
        <f aca="false">IF($A499="","",K499*D499)</f>
        <v/>
      </c>
      <c r="O499" s="52"/>
    </row>
    <row r="500" customFormat="false" ht="15" hidden="false" customHeight="true" outlineLevel="0" collapsed="false">
      <c r="L500" s="1" t="str">
        <f aca="false">IF($A500="","",K500*D500)</f>
        <v/>
      </c>
      <c r="O500" s="52"/>
    </row>
  </sheetData>
  <conditionalFormatting sqref="P4:BV103">
    <cfRule type="expression" priority="2" aboveAverage="0" equalAverage="0" bottom="0" percent="0" rank="0" text="" dxfId="15">
      <formula>AND($A4&lt;&gt;"",P$3&gt;=INT($J4),P$3&lt;=INT($M4))</formula>
    </cfRule>
  </conditionalFormatting>
  <conditionalFormatting sqref="A4:A103">
    <cfRule type="expression" priority="3" aboveAverage="0" equalAverage="0" bottom="0" percent="0" rank="0" text="" dxfId="0">
      <formula>$G4="High"</formula>
    </cfRule>
    <cfRule type="expression" priority="4" aboveAverage="0" equalAverage="0" bottom="0" percent="0" rank="0" text="" dxfId="1">
      <formula>$G4="Medium"</formula>
    </cfRule>
    <cfRule type="expression" priority="5" aboveAverage="0" equalAverage="0" bottom="0" percent="0" rank="0" text="" dxfId="2">
      <formula>$G4="Low"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" t="n">
        <f aca="false">OPR_2P!J4</f>
        <v>100</v>
      </c>
      <c r="B1" s="1" t="n">
        <f aca="false">OPR_2P!K4</f>
        <v>600</v>
      </c>
      <c r="C1" s="64" t="s">
        <v>11</v>
      </c>
      <c r="D1" s="64" t="s">
        <v>41</v>
      </c>
      <c r="E1" s="64" t="s">
        <v>48</v>
      </c>
      <c r="F1" s="64" t="s">
        <v>55</v>
      </c>
      <c r="G1" s="64" t="s">
        <v>62</v>
      </c>
      <c r="H1" s="64" t="s">
        <v>93</v>
      </c>
      <c r="I1" s="64" t="s">
        <v>108</v>
      </c>
      <c r="J1" s="64" t="s">
        <v>118</v>
      </c>
      <c r="K1" s="64" t="s">
        <v>129</v>
      </c>
    </row>
    <row r="2" customFormat="false" ht="15" hidden="false" customHeight="true" outlineLevel="0" collapsed="false">
      <c r="A2" s="1" t="n">
        <f aca="false">OPR_2P!J5</f>
        <v>300</v>
      </c>
      <c r="B2" s="1" t="n">
        <f aca="false">OPR_2P!K5</f>
        <v>800</v>
      </c>
      <c r="C2" s="1" t="n">
        <v>9</v>
      </c>
      <c r="D2" s="1" t="s">
        <v>42</v>
      </c>
      <c r="E2" s="1" t="s">
        <v>49</v>
      </c>
      <c r="F2" s="1" t="s">
        <v>56</v>
      </c>
      <c r="G2" s="1" t="s">
        <v>63</v>
      </c>
      <c r="H2" s="1" t="s">
        <v>94</v>
      </c>
      <c r="I2" s="1" t="s">
        <v>109</v>
      </c>
      <c r="J2" s="1" t="s">
        <v>119</v>
      </c>
      <c r="K2" s="1" t="s">
        <v>130</v>
      </c>
    </row>
    <row r="3" customFormat="false" ht="15" hidden="false" customHeight="true" outlineLevel="0" collapsed="false">
      <c r="A3" s="1" t="n">
        <f aca="false">OPR_2P!J6</f>
        <v>500</v>
      </c>
      <c r="B3" s="1" t="n">
        <f aca="false">OPR_2P!K6</f>
        <v>1000</v>
      </c>
      <c r="C3" s="1" t="n">
        <v>15</v>
      </c>
      <c r="D3" s="1" t="s">
        <v>42</v>
      </c>
      <c r="E3" s="1" t="s">
        <v>49</v>
      </c>
      <c r="F3" s="1" t="s">
        <v>56</v>
      </c>
      <c r="G3" s="1" t="s">
        <v>63</v>
      </c>
      <c r="H3" s="1" t="s">
        <v>94</v>
      </c>
      <c r="I3" s="1" t="s">
        <v>109</v>
      </c>
      <c r="J3" s="1" t="s">
        <v>119</v>
      </c>
      <c r="K3" s="1" t="s">
        <v>130</v>
      </c>
    </row>
    <row r="4" customFormat="false" ht="15" hidden="false" customHeight="true" outlineLevel="0" collapsed="false">
      <c r="A4" s="1" t="n">
        <f aca="false">OPR_2P!J7</f>
        <v>700</v>
      </c>
      <c r="B4" s="1" t="n">
        <f aca="false">OPR_2P!K7</f>
        <v>1200</v>
      </c>
      <c r="C4" s="1" t="n">
        <v>17</v>
      </c>
      <c r="D4" s="1" t="s">
        <v>42</v>
      </c>
      <c r="E4" s="1" t="s">
        <v>49</v>
      </c>
      <c r="F4" s="1" t="s">
        <v>56</v>
      </c>
      <c r="G4" s="1" t="s">
        <v>63</v>
      </c>
      <c r="H4" s="1" t="s">
        <v>94</v>
      </c>
      <c r="I4" s="1" t="s">
        <v>109</v>
      </c>
      <c r="J4" s="1" t="s">
        <v>119</v>
      </c>
      <c r="K4" s="1" t="s">
        <v>130</v>
      </c>
    </row>
    <row r="5" customFormat="false" ht="15" hidden="false" customHeight="true" outlineLevel="0" collapsed="false">
      <c r="A5" s="1" t="n">
        <f aca="false">OPR_2P!J8</f>
        <v>900</v>
      </c>
      <c r="B5" s="1" t="n">
        <f aca="false">OPR_2P!K8</f>
        <v>1400</v>
      </c>
      <c r="C5" s="1" t="n">
        <v>20</v>
      </c>
      <c r="D5" s="1" t="s">
        <v>42</v>
      </c>
      <c r="E5" s="1" t="s">
        <v>49</v>
      </c>
      <c r="F5" s="1" t="s">
        <v>56</v>
      </c>
      <c r="G5" s="1" t="s">
        <v>63</v>
      </c>
      <c r="H5" s="1" t="s">
        <v>94</v>
      </c>
      <c r="I5" s="1" t="s">
        <v>109</v>
      </c>
      <c r="J5" s="1" t="s">
        <v>119</v>
      </c>
      <c r="K5" s="1" t="s">
        <v>130</v>
      </c>
    </row>
    <row r="6" customFormat="false" ht="15" hidden="false" customHeight="true" outlineLevel="0" collapsed="false">
      <c r="A6" s="1" t="n">
        <f aca="false">OPR_2P!J9</f>
        <v>1100</v>
      </c>
      <c r="B6" s="1" t="n">
        <f aca="false">OPR_2P!K9</f>
        <v>1600</v>
      </c>
      <c r="C6" s="1" t="n">
        <v>25</v>
      </c>
      <c r="D6" s="1" t="s">
        <v>42</v>
      </c>
      <c r="E6" s="1" t="s">
        <v>49</v>
      </c>
      <c r="F6" s="1" t="s">
        <v>56</v>
      </c>
      <c r="G6" s="1" t="s">
        <v>63</v>
      </c>
      <c r="H6" s="1" t="s">
        <v>94</v>
      </c>
      <c r="I6" s="1" t="s">
        <v>109</v>
      </c>
      <c r="J6" s="1" t="s">
        <v>119</v>
      </c>
      <c r="K6" s="1" t="s">
        <v>130</v>
      </c>
    </row>
    <row r="7" customFormat="false" ht="15" hidden="false" customHeight="true" outlineLevel="0" collapsed="false">
      <c r="A7" s="1" t="n">
        <f aca="false">OPR_2P!J10</f>
        <v>1300</v>
      </c>
      <c r="B7" s="1" t="n">
        <f aca="false">OPR_2P!K10</f>
        <v>1800</v>
      </c>
      <c r="C7" s="1" t="n">
        <v>28</v>
      </c>
      <c r="D7" s="1" t="s">
        <v>42</v>
      </c>
      <c r="E7" s="1" t="s">
        <v>49</v>
      </c>
      <c r="F7" s="1" t="s">
        <v>56</v>
      </c>
      <c r="G7" s="1" t="s">
        <v>63</v>
      </c>
      <c r="H7" s="1" t="s">
        <v>94</v>
      </c>
      <c r="I7" s="1" t="s">
        <v>109</v>
      </c>
      <c r="J7" s="1" t="s">
        <v>119</v>
      </c>
      <c r="K7" s="1" t="s">
        <v>130</v>
      </c>
    </row>
    <row r="8" customFormat="false" ht="15" hidden="false" customHeight="true" outlineLevel="0" collapsed="false">
      <c r="A8" s="1" t="n">
        <f aca="false">OPR_2P!J11</f>
        <v>1500</v>
      </c>
      <c r="B8" s="1" t="n">
        <f aca="false">OPR_2P!K11</f>
        <v>2000</v>
      </c>
      <c r="C8" s="1" t="n">
        <v>30</v>
      </c>
      <c r="D8" s="1" t="s">
        <v>45</v>
      </c>
      <c r="E8" s="1" t="s">
        <v>49</v>
      </c>
      <c r="F8" s="1" t="s">
        <v>56</v>
      </c>
      <c r="G8" s="1" t="s">
        <v>71</v>
      </c>
      <c r="H8" s="1" t="s">
        <v>94</v>
      </c>
      <c r="I8" s="1" t="s">
        <v>113</v>
      </c>
      <c r="J8" s="1" t="s">
        <v>119</v>
      </c>
      <c r="K8" s="1" t="s">
        <v>130</v>
      </c>
    </row>
    <row r="9" customFormat="false" ht="15" hidden="false" customHeight="true" outlineLevel="0" collapsed="false">
      <c r="A9" s="1" t="n">
        <f aca="false">OPR_2P!J12</f>
        <v>1700</v>
      </c>
      <c r="B9" s="1" t="n">
        <f aca="false">OPR_2P!K12</f>
        <v>2200</v>
      </c>
      <c r="C9" s="1" t="n">
        <v>34</v>
      </c>
      <c r="D9" s="1" t="s">
        <v>45</v>
      </c>
      <c r="E9" s="1" t="s">
        <v>49</v>
      </c>
      <c r="F9" s="1" t="s">
        <v>56</v>
      </c>
      <c r="G9" s="1" t="s">
        <v>71</v>
      </c>
      <c r="H9" s="1" t="s">
        <v>94</v>
      </c>
      <c r="I9" s="1" t="s">
        <v>113</v>
      </c>
      <c r="J9" s="1" t="s">
        <v>119</v>
      </c>
      <c r="K9" s="1" t="s">
        <v>130</v>
      </c>
    </row>
    <row r="10" customFormat="false" ht="15" hidden="false" customHeight="true" outlineLevel="0" collapsed="false">
      <c r="A10" s="1" t="n">
        <f aca="false">OPR_2P!J13</f>
        <v>1900</v>
      </c>
      <c r="B10" s="1" t="n">
        <f aca="false">OPR_2P!K13</f>
        <v>2400</v>
      </c>
      <c r="C10" s="1" t="n">
        <v>42</v>
      </c>
      <c r="D10" s="1" t="s">
        <v>45</v>
      </c>
      <c r="E10" s="1" t="s">
        <v>49</v>
      </c>
      <c r="F10" s="1" t="s">
        <v>56</v>
      </c>
      <c r="G10" s="1" t="s">
        <v>71</v>
      </c>
      <c r="H10" s="1" t="s">
        <v>96</v>
      </c>
      <c r="I10" s="1" t="s">
        <v>113</v>
      </c>
      <c r="J10" s="1" t="s">
        <v>119</v>
      </c>
      <c r="K10" s="1" t="s">
        <v>130</v>
      </c>
    </row>
    <row r="11" customFormat="false" ht="15" hidden="false" customHeight="true" outlineLevel="0" collapsed="false">
      <c r="A11" s="1" t="n">
        <f aca="false">OPR_2P!J14</f>
        <v>2100</v>
      </c>
      <c r="B11" s="1" t="n">
        <f aca="false">OPR_2P!K14</f>
        <v>2600</v>
      </c>
      <c r="C11" s="1" t="n">
        <v>46</v>
      </c>
      <c r="D11" s="1" t="s">
        <v>45</v>
      </c>
      <c r="E11" s="1" t="s">
        <v>49</v>
      </c>
      <c r="F11" s="1" t="s">
        <v>56</v>
      </c>
      <c r="G11" s="1" t="s">
        <v>71</v>
      </c>
      <c r="H11" s="1" t="s">
        <v>99</v>
      </c>
      <c r="I11" s="1" t="s">
        <v>113</v>
      </c>
      <c r="J11" s="1" t="s">
        <v>119</v>
      </c>
      <c r="K11" s="1" t="s">
        <v>130</v>
      </c>
    </row>
    <row r="12" customFormat="false" ht="15" hidden="false" customHeight="true" outlineLevel="0" collapsed="false">
      <c r="A12" s="1" t="n">
        <f aca="false">OPR_2P!J15</f>
        <v>2300</v>
      </c>
      <c r="B12" s="1" t="n">
        <f aca="false">OPR_2P!K15</f>
        <v>2800</v>
      </c>
      <c r="C12" s="1" t="n">
        <v>50</v>
      </c>
      <c r="D12" s="1" t="s">
        <v>46</v>
      </c>
      <c r="E12" s="1" t="s">
        <v>49</v>
      </c>
      <c r="F12" s="1" t="s">
        <v>56</v>
      </c>
      <c r="G12" s="1" t="s">
        <v>78</v>
      </c>
      <c r="H12" s="1" t="s">
        <v>99</v>
      </c>
      <c r="I12" s="1" t="s">
        <v>113</v>
      </c>
      <c r="J12" s="1" t="s">
        <v>119</v>
      </c>
      <c r="K12" s="1" t="s">
        <v>130</v>
      </c>
    </row>
    <row r="13" customFormat="false" ht="15" hidden="false" customHeight="true" outlineLevel="0" collapsed="false">
      <c r="A13" s="1" t="n">
        <f aca="false">OPR_2P!J16</f>
        <v>2500</v>
      </c>
      <c r="B13" s="1" t="n">
        <f aca="false">OPR_2P!K16</f>
        <v>3000</v>
      </c>
      <c r="C13" s="1" t="n">
        <v>54</v>
      </c>
      <c r="D13" s="1" t="s">
        <v>46</v>
      </c>
      <c r="E13" s="1" t="s">
        <v>49</v>
      </c>
      <c r="F13" s="1" t="s">
        <v>56</v>
      </c>
      <c r="G13" s="1" t="s">
        <v>78</v>
      </c>
      <c r="H13" s="1" t="s">
        <v>99</v>
      </c>
      <c r="I13" s="1" t="s">
        <v>113</v>
      </c>
      <c r="J13" s="1" t="s">
        <v>119</v>
      </c>
      <c r="K13" s="1" t="s">
        <v>130</v>
      </c>
    </row>
    <row r="14" customFormat="false" ht="15" hidden="false" customHeight="true" outlineLevel="0" collapsed="false">
      <c r="A14" s="1" t="n">
        <f aca="false">OPR_2P!J17</f>
        <v>2700</v>
      </c>
      <c r="B14" s="1" t="n">
        <f aca="false">OPR_2P!K17</f>
        <v>3200</v>
      </c>
      <c r="C14" s="1" t="n">
        <v>57</v>
      </c>
      <c r="D14" s="1" t="s">
        <v>46</v>
      </c>
      <c r="E14" s="1" t="s">
        <v>49</v>
      </c>
      <c r="F14" s="1" t="s">
        <v>56</v>
      </c>
      <c r="G14" s="1" t="s">
        <v>78</v>
      </c>
      <c r="H14" s="1" t="s">
        <v>99</v>
      </c>
      <c r="I14" s="1" t="s">
        <v>113</v>
      </c>
      <c r="J14" s="1" t="s">
        <v>119</v>
      </c>
      <c r="K14" s="1" t="s">
        <v>130</v>
      </c>
    </row>
    <row r="15" customFormat="false" ht="15" hidden="false" customHeight="true" outlineLevel="0" collapsed="false">
      <c r="A15" s="1" t="n">
        <f aca="false">OPR_2P!J18</f>
        <v>2900</v>
      </c>
      <c r="B15" s="1" t="n">
        <f aca="false">OPR_2P!K18</f>
        <v>3400</v>
      </c>
      <c r="C15" s="1" t="n">
        <v>63</v>
      </c>
      <c r="D15" s="1" t="s">
        <v>46</v>
      </c>
      <c r="E15" s="1" t="s">
        <v>49</v>
      </c>
      <c r="F15" s="1" t="s">
        <v>56</v>
      </c>
      <c r="G15" s="1" t="s">
        <v>78</v>
      </c>
      <c r="H15" s="1" t="s">
        <v>99</v>
      </c>
      <c r="I15" s="1" t="s">
        <v>113</v>
      </c>
      <c r="J15" s="1" t="s">
        <v>119</v>
      </c>
      <c r="K15" s="1" t="s">
        <v>130</v>
      </c>
    </row>
    <row r="16" customFormat="false" ht="15" hidden="false" customHeight="true" outlineLevel="0" collapsed="false">
      <c r="A16" s="1" t="n">
        <f aca="false">OPR_2P!J19</f>
        <v>0</v>
      </c>
      <c r="B16" s="1" t="n">
        <f aca="false">OPR_2P!K19</f>
        <v>0</v>
      </c>
      <c r="C16" s="1" t="n">
        <v>70</v>
      </c>
      <c r="D16" s="1" t="s">
        <v>46</v>
      </c>
      <c r="E16" s="1" t="s">
        <v>49</v>
      </c>
      <c r="F16" s="1" t="s">
        <v>56</v>
      </c>
      <c r="G16" s="1" t="s">
        <v>78</v>
      </c>
      <c r="H16" s="1" t="s">
        <v>105</v>
      </c>
      <c r="I16" s="1" t="s">
        <v>113</v>
      </c>
      <c r="J16" s="1" t="s">
        <v>119</v>
      </c>
      <c r="K16" s="1" t="s">
        <v>130</v>
      </c>
    </row>
    <row r="17" customFormat="false" ht="15" hidden="false" customHeight="true" outlineLevel="0" collapsed="false">
      <c r="A17" s="1" t="n">
        <f aca="false">OPR_2P!J20</f>
        <v>0</v>
      </c>
      <c r="B17" s="1" t="n">
        <f aca="false">OPR_2P!K20</f>
        <v>0</v>
      </c>
    </row>
    <row r="18" customFormat="false" ht="15" hidden="false" customHeight="true" outlineLevel="0" collapsed="false">
      <c r="A18" s="1" t="n">
        <f aca="false">OPR_2P!J21</f>
        <v>0</v>
      </c>
      <c r="B18" s="1" t="n">
        <f aca="false">OPR_2P!K21</f>
        <v>0</v>
      </c>
    </row>
    <row r="19" customFormat="false" ht="15" hidden="false" customHeight="true" outlineLevel="0" collapsed="false">
      <c r="A19" s="1" t="n">
        <f aca="false">OPR_2P!J22</f>
        <v>0</v>
      </c>
      <c r="B19" s="1" t="n">
        <f aca="false">OPR_2P!K22</f>
        <v>0</v>
      </c>
    </row>
    <row r="20" customFormat="false" ht="15" hidden="false" customHeight="true" outlineLevel="0" collapsed="false">
      <c r="A20" s="1" t="n">
        <f aca="false">OPR_2P!J23</f>
        <v>0</v>
      </c>
      <c r="B20" s="1" t="n">
        <f aca="false">OPR_2P!K23</f>
        <v>0</v>
      </c>
    </row>
    <row r="21" customFormat="false" ht="15" hidden="false" customHeight="true" outlineLevel="0" collapsed="false">
      <c r="A21" s="1" t="n">
        <f aca="false">OPR_2P!J24</f>
        <v>0</v>
      </c>
      <c r="B21" s="1" t="n">
        <f aca="false">OPR_2P!K24</f>
        <v>0</v>
      </c>
    </row>
    <row r="22" customFormat="false" ht="15" hidden="false" customHeight="true" outlineLevel="0" collapsed="false">
      <c r="A22" s="1" t="n">
        <f aca="false">OPR_2P!J25</f>
        <v>0</v>
      </c>
      <c r="B22" s="1" t="n">
        <f aca="false">OPR_2P!K25</f>
        <v>0</v>
      </c>
    </row>
    <row r="23" customFormat="false" ht="15" hidden="false" customHeight="true" outlineLevel="0" collapsed="false">
      <c r="A23" s="1" t="n">
        <f aca="false">OPR_2P!J26</f>
        <v>0</v>
      </c>
      <c r="B23" s="1" t="n">
        <f aca="false">OPR_2P!K26</f>
        <v>0</v>
      </c>
    </row>
    <row r="24" customFormat="false" ht="15" hidden="false" customHeight="true" outlineLevel="0" collapsed="false">
      <c r="A24" s="1" t="n">
        <f aca="false">OPR_2P!J27</f>
        <v>0</v>
      </c>
      <c r="B24" s="1" t="n">
        <f aca="false">OPR_2P!K27</f>
        <v>0</v>
      </c>
    </row>
    <row r="25" customFormat="false" ht="15" hidden="false" customHeight="true" outlineLevel="0" collapsed="false">
      <c r="A25" s="1" t="n">
        <f aca="false">OPR_2P!J28</f>
        <v>0</v>
      </c>
      <c r="B25" s="1" t="n">
        <f aca="false">OPR_2P!K28</f>
        <v>0</v>
      </c>
    </row>
    <row r="26" customFormat="false" ht="15" hidden="false" customHeight="true" outlineLevel="0" collapsed="false">
      <c r="A26" s="1" t="n">
        <f aca="false">OPR_2P!J29</f>
        <v>0</v>
      </c>
      <c r="B26" s="1" t="n">
        <f aca="false">OPR_2P!K29</f>
        <v>0</v>
      </c>
    </row>
    <row r="27" customFormat="false" ht="15" hidden="false" customHeight="true" outlineLevel="0" collapsed="false">
      <c r="A27" s="1" t="n">
        <f aca="false">OPR_2P!J30</f>
        <v>0</v>
      </c>
      <c r="B27" s="1" t="n">
        <f aca="false">OPR_2P!K30</f>
        <v>0</v>
      </c>
    </row>
    <row r="28" customFormat="false" ht="15" hidden="false" customHeight="true" outlineLevel="0" collapsed="false">
      <c r="A28" s="1" t="n">
        <f aca="false">OPR_2P!J31</f>
        <v>0</v>
      </c>
      <c r="B28" s="1" t="n">
        <f aca="false">OPR_2P!K31</f>
        <v>0</v>
      </c>
    </row>
    <row r="29" customFormat="false" ht="15" hidden="false" customHeight="true" outlineLevel="0" collapsed="false">
      <c r="A29" s="1" t="n">
        <f aca="false">OPR_2P!J32</f>
        <v>0</v>
      </c>
      <c r="B29" s="1" t="n">
        <f aca="false">OPR_2P!K32</f>
        <v>0</v>
      </c>
    </row>
    <row r="30" customFormat="false" ht="15" hidden="false" customHeight="true" outlineLevel="0" collapsed="false">
      <c r="A30" s="1" t="n">
        <f aca="false">OPR_2P!J33</f>
        <v>0</v>
      </c>
      <c r="B30" s="1" t="n">
        <f aca="false">OPR_2P!K33</f>
        <v>0</v>
      </c>
    </row>
    <row r="31" customFormat="false" ht="15" hidden="false" customHeight="true" outlineLevel="0" collapsed="false">
      <c r="A31" s="1" t="n">
        <f aca="false">OPR_2P!J34</f>
        <v>0</v>
      </c>
      <c r="B31" s="1" t="n">
        <f aca="false">OPR_2P!K34</f>
        <v>0</v>
      </c>
    </row>
    <row r="32" customFormat="false" ht="15" hidden="false" customHeight="true" outlineLevel="0" collapsed="false">
      <c r="A32" s="1" t="n">
        <f aca="false">OPR_2P!J35</f>
        <v>0</v>
      </c>
      <c r="B32" s="1" t="n">
        <f aca="false">OPR_2P!K35</f>
        <v>0</v>
      </c>
    </row>
    <row r="33" customFormat="false" ht="15" hidden="false" customHeight="true" outlineLevel="0" collapsed="false">
      <c r="A33" s="1" t="n">
        <f aca="false">OPR_2P!J36</f>
        <v>0</v>
      </c>
      <c r="B33" s="1" t="n">
        <f aca="false">OPR_2P!K36</f>
        <v>0</v>
      </c>
    </row>
    <row r="34" customFormat="false" ht="15" hidden="false" customHeight="true" outlineLevel="0" collapsed="false">
      <c r="A34" s="1" t="n">
        <f aca="false">OPR_2P!J37</f>
        <v>0</v>
      </c>
      <c r="B34" s="1" t="n">
        <f aca="false">OPR_2P!K37</f>
        <v>0</v>
      </c>
    </row>
    <row r="35" customFormat="false" ht="15" hidden="false" customHeight="true" outlineLevel="0" collapsed="false">
      <c r="A35" s="1" t="n">
        <f aca="false">OPR_2P!J38</f>
        <v>0</v>
      </c>
      <c r="B35" s="1" t="n">
        <f aca="false">OPR_2P!K38</f>
        <v>0</v>
      </c>
    </row>
    <row r="36" customFormat="false" ht="15" hidden="false" customHeight="true" outlineLevel="0" collapsed="false">
      <c r="A36" s="1" t="n">
        <f aca="false">OPR_2P!J39</f>
        <v>0</v>
      </c>
      <c r="B36" s="1" t="n">
        <f aca="false">OPR_2P!K39</f>
        <v>0</v>
      </c>
    </row>
    <row r="37" customFormat="false" ht="15" hidden="false" customHeight="true" outlineLevel="0" collapsed="false">
      <c r="A37" s="1" t="n">
        <f aca="false">OPR_2P!J40</f>
        <v>0</v>
      </c>
      <c r="B37" s="1" t="n">
        <f aca="false">OPR_2P!K40</f>
        <v>0</v>
      </c>
    </row>
    <row r="38" customFormat="false" ht="15" hidden="false" customHeight="true" outlineLevel="0" collapsed="false">
      <c r="A38" s="1" t="n">
        <f aca="false">OPR_2P!J41</f>
        <v>0</v>
      </c>
      <c r="B38" s="1" t="n">
        <f aca="false">OPR_2P!K41</f>
        <v>0</v>
      </c>
    </row>
    <row r="39" customFormat="false" ht="15" hidden="false" customHeight="true" outlineLevel="0" collapsed="false">
      <c r="A39" s="1" t="n">
        <f aca="false">OPR_2P!J42</f>
        <v>0</v>
      </c>
      <c r="B39" s="1" t="n">
        <f aca="false">OPR_2P!K42</f>
        <v>0</v>
      </c>
    </row>
    <row r="40" customFormat="false" ht="15" hidden="false" customHeight="true" outlineLevel="0" collapsed="false">
      <c r="A40" s="1" t="n">
        <f aca="false">OPR_2P!J43</f>
        <v>0</v>
      </c>
      <c r="B40" s="1" t="n">
        <f aca="false">OPR_2P!K43</f>
        <v>0</v>
      </c>
    </row>
    <row r="41" customFormat="false" ht="15" hidden="false" customHeight="true" outlineLevel="0" collapsed="false">
      <c r="A41" s="1" t="n">
        <f aca="false">OPR_2P!J44</f>
        <v>0</v>
      </c>
      <c r="B41" s="1" t="n">
        <f aca="false">OPR_2P!K44</f>
        <v>0</v>
      </c>
    </row>
    <row r="42" customFormat="false" ht="15" hidden="false" customHeight="true" outlineLevel="0" collapsed="false">
      <c r="A42" s="1" t="n">
        <f aca="false">OPR_2P!J45</f>
        <v>0</v>
      </c>
      <c r="B42" s="1" t="n">
        <f aca="false">OPR_2P!K45</f>
        <v>0</v>
      </c>
    </row>
    <row r="43" customFormat="false" ht="15" hidden="false" customHeight="true" outlineLevel="0" collapsed="false">
      <c r="A43" s="1" t="n">
        <f aca="false">OPR_2P!J46</f>
        <v>0</v>
      </c>
      <c r="B43" s="1" t="n">
        <f aca="false">OPR_2P!K46</f>
        <v>0</v>
      </c>
    </row>
    <row r="44" customFormat="false" ht="15" hidden="false" customHeight="true" outlineLevel="0" collapsed="false">
      <c r="A44" s="1" t="n">
        <f aca="false">OPR_2P!J47</f>
        <v>0</v>
      </c>
      <c r="B44" s="1" t="n">
        <f aca="false">OPR_2P!K47</f>
        <v>0</v>
      </c>
    </row>
    <row r="45" customFormat="false" ht="15" hidden="false" customHeight="true" outlineLevel="0" collapsed="false">
      <c r="A45" s="1" t="n">
        <f aca="false">OPR_2P!J48</f>
        <v>0</v>
      </c>
      <c r="B45" s="1" t="n">
        <f aca="false">OPR_2P!K48</f>
        <v>0</v>
      </c>
    </row>
    <row r="46" customFormat="false" ht="15" hidden="false" customHeight="true" outlineLevel="0" collapsed="false">
      <c r="A46" s="1" t="n">
        <f aca="false">OPR_2P!J49</f>
        <v>0</v>
      </c>
      <c r="B46" s="1" t="n">
        <f aca="false">OPR_2P!K49</f>
        <v>0</v>
      </c>
    </row>
    <row r="47" customFormat="false" ht="15" hidden="false" customHeight="true" outlineLevel="0" collapsed="false">
      <c r="A47" s="1" t="n">
        <f aca="false">OPR_2P!J50</f>
        <v>0</v>
      </c>
      <c r="B47" s="1" t="n">
        <f aca="false">OPR_2P!K50</f>
        <v>0</v>
      </c>
    </row>
    <row r="48" customFormat="false" ht="15" hidden="false" customHeight="true" outlineLevel="0" collapsed="false">
      <c r="A48" s="1" t="n">
        <f aca="false">OPR_2P!J51</f>
        <v>0</v>
      </c>
      <c r="B48" s="1" t="n">
        <f aca="false">OPR_2P!K51</f>
        <v>0</v>
      </c>
    </row>
    <row r="49" customFormat="false" ht="15" hidden="false" customHeight="true" outlineLevel="0" collapsed="false">
      <c r="A49" s="1" t="n">
        <f aca="false">OPR_2P!J52</f>
        <v>0</v>
      </c>
      <c r="B49" s="1" t="n">
        <f aca="false">OPR_2P!K52</f>
        <v>0</v>
      </c>
    </row>
    <row r="50" customFormat="false" ht="15" hidden="false" customHeight="true" outlineLevel="0" collapsed="false">
      <c r="A50" s="1" t="n">
        <f aca="false">OPR_2P!J53</f>
        <v>0</v>
      </c>
      <c r="B50" s="1" t="n">
        <f aca="false">OPR_2P!K53</f>
        <v>0</v>
      </c>
    </row>
    <row r="51" customFormat="false" ht="15" hidden="false" customHeight="true" outlineLevel="0" collapsed="false">
      <c r="A51" s="1" t="n">
        <f aca="false">SOL_4P!J4</f>
        <v>100</v>
      </c>
      <c r="B51" s="1" t="n">
        <f aca="false">SOL_4P!K4</f>
        <v>600</v>
      </c>
    </row>
    <row r="52" customFormat="false" ht="15" hidden="false" customHeight="true" outlineLevel="0" collapsed="false">
      <c r="A52" s="1" t="n">
        <f aca="false">SOL_4P!J5</f>
        <v>300</v>
      </c>
      <c r="B52" s="1" t="n">
        <f aca="false">SOL_4P!K5</f>
        <v>800</v>
      </c>
    </row>
    <row r="53" customFormat="false" ht="15" hidden="false" customHeight="true" outlineLevel="0" collapsed="false">
      <c r="A53" s="1" t="n">
        <f aca="false">SOL_4P!J6</f>
        <v>500</v>
      </c>
      <c r="B53" s="1" t="n">
        <f aca="false">SOL_4P!K6</f>
        <v>1000</v>
      </c>
    </row>
    <row r="54" customFormat="false" ht="15" hidden="false" customHeight="true" outlineLevel="0" collapsed="false">
      <c r="A54" s="1" t="n">
        <f aca="false">SOL_4P!J7</f>
        <v>700</v>
      </c>
      <c r="B54" s="1" t="n">
        <f aca="false">SOL_4P!K7</f>
        <v>1200</v>
      </c>
    </row>
    <row r="55" customFormat="false" ht="15" hidden="false" customHeight="true" outlineLevel="0" collapsed="false">
      <c r="A55" s="1" t="n">
        <f aca="false">SOL_4P!J8</f>
        <v>900</v>
      </c>
      <c r="B55" s="1" t="n">
        <f aca="false">SOL_4P!K8</f>
        <v>1400</v>
      </c>
    </row>
    <row r="56" customFormat="false" ht="15" hidden="false" customHeight="true" outlineLevel="0" collapsed="false">
      <c r="A56" s="1" t="n">
        <f aca="false">SOL_4P!J9</f>
        <v>1100</v>
      </c>
      <c r="B56" s="1" t="n">
        <f aca="false">SOL_4P!K9</f>
        <v>1600</v>
      </c>
    </row>
    <row r="57" customFormat="false" ht="15" hidden="false" customHeight="true" outlineLevel="0" collapsed="false">
      <c r="A57" s="1" t="n">
        <f aca="false">SOL_4P!J10</f>
        <v>1300</v>
      </c>
      <c r="B57" s="1" t="n">
        <f aca="false">SOL_4P!K10</f>
        <v>1800</v>
      </c>
    </row>
    <row r="58" customFormat="false" ht="15" hidden="false" customHeight="true" outlineLevel="0" collapsed="false">
      <c r="A58" s="1" t="n">
        <f aca="false">SOL_4P!J11</f>
        <v>1500</v>
      </c>
      <c r="B58" s="1" t="n">
        <f aca="false">SOL_4P!K11</f>
        <v>2000</v>
      </c>
    </row>
    <row r="59" customFormat="false" ht="15" hidden="false" customHeight="true" outlineLevel="0" collapsed="false">
      <c r="A59" s="1" t="n">
        <f aca="false">SOL_4P!J12</f>
        <v>1700</v>
      </c>
      <c r="B59" s="1" t="n">
        <f aca="false">SOL_4P!K12</f>
        <v>2200</v>
      </c>
    </row>
    <row r="60" customFormat="false" ht="15" hidden="false" customHeight="true" outlineLevel="0" collapsed="false">
      <c r="A60" s="1" t="n">
        <f aca="false">SOL_4P!J13</f>
        <v>1900</v>
      </c>
      <c r="B60" s="1" t="n">
        <f aca="false">SOL_4P!K13</f>
        <v>2400</v>
      </c>
    </row>
    <row r="61" customFormat="false" ht="15" hidden="false" customHeight="true" outlineLevel="0" collapsed="false">
      <c r="A61" s="1" t="n">
        <f aca="false">SOL_4P!J14</f>
        <v>2100</v>
      </c>
      <c r="B61" s="1" t="n">
        <f aca="false">SOL_4P!K14</f>
        <v>2600</v>
      </c>
    </row>
    <row r="62" customFormat="false" ht="15" hidden="false" customHeight="true" outlineLevel="0" collapsed="false">
      <c r="A62" s="1" t="n">
        <f aca="false">SOL_4P!J15</f>
        <v>2300</v>
      </c>
      <c r="B62" s="1" t="n">
        <f aca="false">SOL_4P!K15</f>
        <v>2800</v>
      </c>
    </row>
    <row r="63" customFormat="false" ht="15" hidden="false" customHeight="true" outlineLevel="0" collapsed="false">
      <c r="A63" s="1" t="n">
        <f aca="false">SOL_4P!J16</f>
        <v>2500</v>
      </c>
      <c r="B63" s="1" t="n">
        <f aca="false">SOL_4P!K16</f>
        <v>3000</v>
      </c>
    </row>
    <row r="64" customFormat="false" ht="15" hidden="false" customHeight="true" outlineLevel="0" collapsed="false">
      <c r="A64" s="1" t="n">
        <f aca="false">SOL_4P!J17</f>
        <v>2700</v>
      </c>
      <c r="B64" s="1" t="n">
        <f aca="false">SOL_4P!K17</f>
        <v>3200</v>
      </c>
    </row>
    <row r="65" customFormat="false" ht="15" hidden="false" customHeight="true" outlineLevel="0" collapsed="false">
      <c r="A65" s="1" t="n">
        <f aca="false">SOL_4P!J18</f>
        <v>2900</v>
      </c>
      <c r="B65" s="1" t="n">
        <f aca="false">SOL_4P!K18</f>
        <v>3400</v>
      </c>
    </row>
    <row r="66" customFormat="false" ht="15" hidden="false" customHeight="true" outlineLevel="0" collapsed="false">
      <c r="A66" s="1" t="n">
        <f aca="false">SOL_4P!J19</f>
        <v>0</v>
      </c>
      <c r="B66" s="1" t="n">
        <f aca="false">SOL_4P!K19</f>
        <v>0</v>
      </c>
    </row>
    <row r="67" customFormat="false" ht="15" hidden="false" customHeight="true" outlineLevel="0" collapsed="false">
      <c r="A67" s="1" t="n">
        <f aca="false">SOL_4P!J20</f>
        <v>0</v>
      </c>
      <c r="B67" s="1" t="n">
        <f aca="false">SOL_4P!K20</f>
        <v>0</v>
      </c>
    </row>
    <row r="68" customFormat="false" ht="15" hidden="false" customHeight="true" outlineLevel="0" collapsed="false">
      <c r="A68" s="1" t="n">
        <f aca="false">SOL_4P!J21</f>
        <v>0</v>
      </c>
      <c r="B68" s="1" t="n">
        <f aca="false">SOL_4P!K21</f>
        <v>0</v>
      </c>
    </row>
    <row r="69" customFormat="false" ht="15" hidden="false" customHeight="true" outlineLevel="0" collapsed="false">
      <c r="A69" s="1" t="n">
        <f aca="false">SOL_4P!J22</f>
        <v>0</v>
      </c>
      <c r="B69" s="1" t="n">
        <f aca="false">SOL_4P!K22</f>
        <v>0</v>
      </c>
    </row>
    <row r="70" customFormat="false" ht="15" hidden="false" customHeight="true" outlineLevel="0" collapsed="false">
      <c r="A70" s="1" t="n">
        <f aca="false">SOL_4P!J23</f>
        <v>0</v>
      </c>
      <c r="B70" s="1" t="n">
        <f aca="false">SOL_4P!K23</f>
        <v>0</v>
      </c>
    </row>
    <row r="71" customFormat="false" ht="15" hidden="false" customHeight="true" outlineLevel="0" collapsed="false">
      <c r="A71" s="1" t="n">
        <f aca="false">SOL_4P!J24</f>
        <v>0</v>
      </c>
      <c r="B71" s="1" t="n">
        <f aca="false">SOL_4P!K24</f>
        <v>0</v>
      </c>
    </row>
    <row r="72" customFormat="false" ht="15" hidden="false" customHeight="true" outlineLevel="0" collapsed="false">
      <c r="A72" s="1" t="n">
        <f aca="false">SOL_4P!J25</f>
        <v>0</v>
      </c>
      <c r="B72" s="1" t="n">
        <f aca="false">SOL_4P!K25</f>
        <v>0</v>
      </c>
    </row>
    <row r="73" customFormat="false" ht="15" hidden="false" customHeight="true" outlineLevel="0" collapsed="false">
      <c r="A73" s="1" t="n">
        <f aca="false">SOL_4P!J26</f>
        <v>0</v>
      </c>
      <c r="B73" s="1" t="n">
        <f aca="false">SOL_4P!K26</f>
        <v>0</v>
      </c>
    </row>
    <row r="74" customFormat="false" ht="15" hidden="false" customHeight="true" outlineLevel="0" collapsed="false">
      <c r="A74" s="1" t="n">
        <f aca="false">SOL_4P!J27</f>
        <v>0</v>
      </c>
      <c r="B74" s="1" t="n">
        <f aca="false">SOL_4P!K27</f>
        <v>0</v>
      </c>
    </row>
    <row r="75" customFormat="false" ht="15" hidden="false" customHeight="true" outlineLevel="0" collapsed="false">
      <c r="A75" s="1" t="n">
        <f aca="false">SOL_4P!J28</f>
        <v>0</v>
      </c>
      <c r="B75" s="1" t="n">
        <f aca="false">SOL_4P!K28</f>
        <v>0</v>
      </c>
    </row>
    <row r="76" customFormat="false" ht="15" hidden="false" customHeight="true" outlineLevel="0" collapsed="false">
      <c r="A76" s="1" t="n">
        <f aca="false">SOL_4P!J29</f>
        <v>0</v>
      </c>
      <c r="B76" s="1" t="n">
        <f aca="false">SOL_4P!K29</f>
        <v>0</v>
      </c>
    </row>
    <row r="77" customFormat="false" ht="15" hidden="false" customHeight="true" outlineLevel="0" collapsed="false">
      <c r="A77" s="1" t="n">
        <f aca="false">SOL_4P!J30</f>
        <v>0</v>
      </c>
      <c r="B77" s="1" t="n">
        <f aca="false">SOL_4P!K30</f>
        <v>0</v>
      </c>
    </row>
    <row r="78" customFormat="false" ht="15" hidden="false" customHeight="true" outlineLevel="0" collapsed="false">
      <c r="A78" s="1" t="n">
        <f aca="false">SOL_4P!J31</f>
        <v>0</v>
      </c>
      <c r="B78" s="1" t="n">
        <f aca="false">SOL_4P!K31</f>
        <v>0</v>
      </c>
    </row>
    <row r="79" customFormat="false" ht="15" hidden="false" customHeight="true" outlineLevel="0" collapsed="false">
      <c r="A79" s="1" t="n">
        <f aca="false">SOL_4P!J32</f>
        <v>0</v>
      </c>
      <c r="B79" s="1" t="n">
        <f aca="false">SOL_4P!K32</f>
        <v>0</v>
      </c>
    </row>
    <row r="80" customFormat="false" ht="15" hidden="false" customHeight="true" outlineLevel="0" collapsed="false">
      <c r="A80" s="1" t="n">
        <f aca="false">SOL_4P!J33</f>
        <v>0</v>
      </c>
      <c r="B80" s="1" t="n">
        <f aca="false">SOL_4P!K33</f>
        <v>0</v>
      </c>
    </row>
    <row r="81" customFormat="false" ht="15" hidden="false" customHeight="true" outlineLevel="0" collapsed="false">
      <c r="A81" s="1" t="n">
        <f aca="false">SOL_4P!J34</f>
        <v>0</v>
      </c>
      <c r="B81" s="1" t="n">
        <f aca="false">SOL_4P!K34</f>
        <v>0</v>
      </c>
    </row>
    <row r="82" customFormat="false" ht="15" hidden="false" customHeight="true" outlineLevel="0" collapsed="false">
      <c r="A82" s="1" t="n">
        <f aca="false">SOL_4P!J35</f>
        <v>0</v>
      </c>
      <c r="B82" s="1" t="n">
        <f aca="false">SOL_4P!K35</f>
        <v>0</v>
      </c>
    </row>
    <row r="83" customFormat="false" ht="15" hidden="false" customHeight="true" outlineLevel="0" collapsed="false">
      <c r="A83" s="1" t="n">
        <f aca="false">SOL_4P!J36</f>
        <v>0</v>
      </c>
      <c r="B83" s="1" t="n">
        <f aca="false">SOL_4P!K36</f>
        <v>0</v>
      </c>
    </row>
    <row r="84" customFormat="false" ht="15" hidden="false" customHeight="true" outlineLevel="0" collapsed="false">
      <c r="A84" s="1" t="n">
        <f aca="false">SOL_4P!J37</f>
        <v>0</v>
      </c>
      <c r="B84" s="1" t="n">
        <f aca="false">SOL_4P!K37</f>
        <v>0</v>
      </c>
    </row>
    <row r="85" customFormat="false" ht="15" hidden="false" customHeight="true" outlineLevel="0" collapsed="false">
      <c r="A85" s="1" t="n">
        <f aca="false">SOL_4P!J38</f>
        <v>0</v>
      </c>
      <c r="B85" s="1" t="n">
        <f aca="false">SOL_4P!K38</f>
        <v>0</v>
      </c>
    </row>
    <row r="86" customFormat="false" ht="15" hidden="false" customHeight="true" outlineLevel="0" collapsed="false">
      <c r="A86" s="1" t="n">
        <f aca="false">SOL_4P!J39</f>
        <v>0</v>
      </c>
      <c r="B86" s="1" t="n">
        <f aca="false">SOL_4P!K39</f>
        <v>0</v>
      </c>
    </row>
    <row r="87" customFormat="false" ht="15" hidden="false" customHeight="true" outlineLevel="0" collapsed="false">
      <c r="A87" s="1" t="n">
        <f aca="false">SOL_4P!J40</f>
        <v>0</v>
      </c>
      <c r="B87" s="1" t="n">
        <f aca="false">SOL_4P!K40</f>
        <v>0</v>
      </c>
    </row>
    <row r="88" customFormat="false" ht="15" hidden="false" customHeight="true" outlineLevel="0" collapsed="false">
      <c r="A88" s="1" t="n">
        <f aca="false">SOL_4P!J41</f>
        <v>0</v>
      </c>
      <c r="B88" s="1" t="n">
        <f aca="false">SOL_4P!K41</f>
        <v>0</v>
      </c>
    </row>
    <row r="89" customFormat="false" ht="15" hidden="false" customHeight="true" outlineLevel="0" collapsed="false">
      <c r="A89" s="1" t="n">
        <f aca="false">SOL_4P!J42</f>
        <v>0</v>
      </c>
      <c r="B89" s="1" t="n">
        <f aca="false">SOL_4P!K42</f>
        <v>0</v>
      </c>
    </row>
    <row r="90" customFormat="false" ht="15" hidden="false" customHeight="true" outlineLevel="0" collapsed="false">
      <c r="A90" s="1" t="n">
        <f aca="false">SOL_4P!J43</f>
        <v>0</v>
      </c>
      <c r="B90" s="1" t="n">
        <f aca="false">SOL_4P!K43</f>
        <v>0</v>
      </c>
    </row>
    <row r="91" customFormat="false" ht="15" hidden="false" customHeight="true" outlineLevel="0" collapsed="false">
      <c r="A91" s="1" t="n">
        <f aca="false">SOL_4P!J44</f>
        <v>0</v>
      </c>
      <c r="B91" s="1" t="n">
        <f aca="false">SOL_4P!K44</f>
        <v>0</v>
      </c>
    </row>
    <row r="92" customFormat="false" ht="15" hidden="false" customHeight="true" outlineLevel="0" collapsed="false">
      <c r="A92" s="1" t="n">
        <f aca="false">SOL_4P!J45</f>
        <v>0</v>
      </c>
      <c r="B92" s="1" t="n">
        <f aca="false">SOL_4P!K45</f>
        <v>0</v>
      </c>
    </row>
    <row r="93" customFormat="false" ht="15" hidden="false" customHeight="true" outlineLevel="0" collapsed="false">
      <c r="A93" s="1" t="n">
        <f aca="false">SOL_4P!J46</f>
        <v>0</v>
      </c>
      <c r="B93" s="1" t="n">
        <f aca="false">SOL_4P!K46</f>
        <v>0</v>
      </c>
    </row>
    <row r="94" customFormat="false" ht="15" hidden="false" customHeight="true" outlineLevel="0" collapsed="false">
      <c r="A94" s="1" t="n">
        <f aca="false">SOL_4P!J47</f>
        <v>0</v>
      </c>
      <c r="B94" s="1" t="n">
        <f aca="false">SOL_4P!K47</f>
        <v>0</v>
      </c>
    </row>
    <row r="95" customFormat="false" ht="15" hidden="false" customHeight="true" outlineLevel="0" collapsed="false">
      <c r="A95" s="1" t="n">
        <f aca="false">SOL_4P!J48</f>
        <v>0</v>
      </c>
      <c r="B95" s="1" t="n">
        <f aca="false">SOL_4P!K48</f>
        <v>0</v>
      </c>
    </row>
    <row r="96" customFormat="false" ht="15" hidden="false" customHeight="true" outlineLevel="0" collapsed="false">
      <c r="A96" s="1" t="n">
        <f aca="false">SOL_4P!J49</f>
        <v>0</v>
      </c>
      <c r="B96" s="1" t="n">
        <f aca="false">SOL_4P!K49</f>
        <v>0</v>
      </c>
    </row>
    <row r="97" customFormat="false" ht="15" hidden="false" customHeight="true" outlineLevel="0" collapsed="false">
      <c r="A97" s="1" t="n">
        <f aca="false">SOL_4P!J50</f>
        <v>0</v>
      </c>
      <c r="B97" s="1" t="n">
        <f aca="false">SOL_4P!K50</f>
        <v>0</v>
      </c>
    </row>
    <row r="98" customFormat="false" ht="15" hidden="false" customHeight="true" outlineLevel="0" collapsed="false">
      <c r="A98" s="1" t="n">
        <f aca="false">SOL_4P!J51</f>
        <v>0</v>
      </c>
      <c r="B98" s="1" t="n">
        <f aca="false">SOL_4P!K51</f>
        <v>0</v>
      </c>
    </row>
    <row r="99" customFormat="false" ht="15" hidden="false" customHeight="true" outlineLevel="0" collapsed="false">
      <c r="A99" s="1" t="n">
        <f aca="false">SOL_4P!J52</f>
        <v>0</v>
      </c>
      <c r="B99" s="1" t="n">
        <f aca="false">SOL_4P!K52</f>
        <v>0</v>
      </c>
    </row>
    <row r="100" customFormat="false" ht="15" hidden="false" customHeight="true" outlineLevel="0" collapsed="false">
      <c r="A100" s="1" t="n">
        <f aca="false">SOL_4P!J53</f>
        <v>0</v>
      </c>
      <c r="B100" s="1" t="n">
        <f aca="false">SOL_4P!K53</f>
        <v>0</v>
      </c>
    </row>
    <row r="101" customFormat="false" ht="15" hidden="false" customHeight="true" outlineLevel="0" collapsed="false">
      <c r="A101" s="1" t="n">
        <f aca="false">RW_2P!J4</f>
        <v>100</v>
      </c>
      <c r="B101" s="1" t="n">
        <f aca="false">RW_2P!K4</f>
        <v>600</v>
      </c>
    </row>
    <row r="102" customFormat="false" ht="15" hidden="false" customHeight="true" outlineLevel="0" collapsed="false">
      <c r="A102" s="1" t="n">
        <f aca="false">RW_2P!J5</f>
        <v>300</v>
      </c>
      <c r="B102" s="1" t="n">
        <f aca="false">RW_2P!K5</f>
        <v>800</v>
      </c>
    </row>
    <row r="103" customFormat="false" ht="15" hidden="false" customHeight="true" outlineLevel="0" collapsed="false">
      <c r="A103" s="1" t="n">
        <f aca="false">RW_2P!J6</f>
        <v>500</v>
      </c>
      <c r="B103" s="1" t="n">
        <f aca="false">RW_2P!K6</f>
        <v>1000</v>
      </c>
    </row>
    <row r="104" customFormat="false" ht="15" hidden="false" customHeight="true" outlineLevel="0" collapsed="false">
      <c r="A104" s="1" t="n">
        <f aca="false">RW_2P!J7</f>
        <v>700</v>
      </c>
      <c r="B104" s="1" t="n">
        <f aca="false">RW_2P!K7</f>
        <v>1200</v>
      </c>
    </row>
    <row r="105" customFormat="false" ht="15" hidden="false" customHeight="true" outlineLevel="0" collapsed="false">
      <c r="A105" s="1" t="n">
        <f aca="false">RW_2P!J8</f>
        <v>900</v>
      </c>
      <c r="B105" s="1" t="n">
        <f aca="false">RW_2P!K8</f>
        <v>1400</v>
      </c>
    </row>
    <row r="106" customFormat="false" ht="15" hidden="false" customHeight="true" outlineLevel="0" collapsed="false">
      <c r="A106" s="1" t="n">
        <f aca="false">RW_2P!J9</f>
        <v>1100</v>
      </c>
      <c r="B106" s="1" t="n">
        <f aca="false">RW_2P!K9</f>
        <v>1600</v>
      </c>
    </row>
    <row r="107" customFormat="false" ht="15" hidden="false" customHeight="true" outlineLevel="0" collapsed="false">
      <c r="A107" s="1" t="n">
        <f aca="false">RW_2P!J10</f>
        <v>1300</v>
      </c>
      <c r="B107" s="1" t="n">
        <f aca="false">RW_2P!K10</f>
        <v>1800</v>
      </c>
    </row>
    <row r="108" customFormat="false" ht="15" hidden="false" customHeight="true" outlineLevel="0" collapsed="false">
      <c r="A108" s="1" t="n">
        <f aca="false">RW_2P!J11</f>
        <v>1500</v>
      </c>
      <c r="B108" s="1" t="n">
        <f aca="false">RW_2P!K11</f>
        <v>2000</v>
      </c>
    </row>
    <row r="109" customFormat="false" ht="15" hidden="false" customHeight="true" outlineLevel="0" collapsed="false">
      <c r="A109" s="1" t="n">
        <f aca="false">RW_2P!J12</f>
        <v>1700</v>
      </c>
      <c r="B109" s="1" t="n">
        <f aca="false">RW_2P!K12</f>
        <v>2200</v>
      </c>
    </row>
    <row r="110" customFormat="false" ht="15" hidden="false" customHeight="true" outlineLevel="0" collapsed="false">
      <c r="A110" s="1" t="n">
        <f aca="false">RW_2P!J13</f>
        <v>1900</v>
      </c>
      <c r="B110" s="1" t="n">
        <f aca="false">RW_2P!K13</f>
        <v>2400</v>
      </c>
    </row>
    <row r="111" customFormat="false" ht="15" hidden="false" customHeight="true" outlineLevel="0" collapsed="false">
      <c r="A111" s="1" t="n">
        <f aca="false">RW_2P!J14</f>
        <v>2100</v>
      </c>
      <c r="B111" s="1" t="n">
        <f aca="false">RW_2P!K14</f>
        <v>2600</v>
      </c>
    </row>
    <row r="112" customFormat="false" ht="15" hidden="false" customHeight="true" outlineLevel="0" collapsed="false">
      <c r="A112" s="1" t="n">
        <f aca="false">RW_2P!J15</f>
        <v>2300</v>
      </c>
      <c r="B112" s="1" t="n">
        <f aca="false">RW_2P!K15</f>
        <v>2800</v>
      </c>
    </row>
    <row r="113" customFormat="false" ht="15" hidden="false" customHeight="true" outlineLevel="0" collapsed="false">
      <c r="A113" s="1" t="n">
        <f aca="false">RW_2P!J16</f>
        <v>2500</v>
      </c>
      <c r="B113" s="1" t="n">
        <f aca="false">RW_2P!K16</f>
        <v>3000</v>
      </c>
    </row>
    <row r="114" customFormat="false" ht="15" hidden="false" customHeight="true" outlineLevel="0" collapsed="false">
      <c r="A114" s="1" t="n">
        <f aca="false">RW_2P!J17</f>
        <v>2700</v>
      </c>
      <c r="B114" s="1" t="n">
        <f aca="false">RW_2P!K17</f>
        <v>3200</v>
      </c>
    </row>
    <row r="115" customFormat="false" ht="15" hidden="false" customHeight="true" outlineLevel="0" collapsed="false">
      <c r="A115" s="1" t="n">
        <f aca="false">RW_2P!J18</f>
        <v>2900</v>
      </c>
      <c r="B115" s="1" t="n">
        <f aca="false">RW_2P!K18</f>
        <v>3400</v>
      </c>
    </row>
    <row r="116" customFormat="false" ht="15" hidden="false" customHeight="true" outlineLevel="0" collapsed="false">
      <c r="A116" s="1" t="n">
        <f aca="false">RW_2P!J19</f>
        <v>0</v>
      </c>
      <c r="B116" s="1" t="n">
        <f aca="false">RW_2P!K19</f>
        <v>0</v>
      </c>
    </row>
    <row r="117" customFormat="false" ht="15" hidden="false" customHeight="true" outlineLevel="0" collapsed="false">
      <c r="A117" s="1" t="n">
        <f aca="false">RW_2P!J20</f>
        <v>0</v>
      </c>
      <c r="B117" s="1" t="n">
        <f aca="false">RW_2P!K20</f>
        <v>0</v>
      </c>
    </row>
    <row r="118" customFormat="false" ht="15" hidden="false" customHeight="true" outlineLevel="0" collapsed="false">
      <c r="A118" s="1" t="n">
        <f aca="false">RW_2P!J21</f>
        <v>0</v>
      </c>
      <c r="B118" s="1" t="n">
        <f aca="false">RW_2P!K21</f>
        <v>0</v>
      </c>
    </row>
    <row r="119" customFormat="false" ht="15" hidden="false" customHeight="true" outlineLevel="0" collapsed="false">
      <c r="A119" s="1" t="n">
        <f aca="false">RW_2P!J22</f>
        <v>0</v>
      </c>
      <c r="B119" s="1" t="n">
        <f aca="false">RW_2P!K22</f>
        <v>0</v>
      </c>
    </row>
    <row r="120" customFormat="false" ht="15" hidden="false" customHeight="true" outlineLevel="0" collapsed="false">
      <c r="A120" s="1" t="n">
        <f aca="false">RW_2P!J23</f>
        <v>0</v>
      </c>
      <c r="B120" s="1" t="n">
        <f aca="false">RW_2P!K23</f>
        <v>0</v>
      </c>
    </row>
    <row r="121" customFormat="false" ht="15" hidden="false" customHeight="true" outlineLevel="0" collapsed="false">
      <c r="A121" s="1" t="n">
        <f aca="false">RW_2P!J24</f>
        <v>0</v>
      </c>
      <c r="B121" s="1" t="n">
        <f aca="false">RW_2P!K24</f>
        <v>0</v>
      </c>
    </row>
    <row r="122" customFormat="false" ht="15" hidden="false" customHeight="true" outlineLevel="0" collapsed="false">
      <c r="A122" s="1" t="n">
        <f aca="false">RW_2P!J25</f>
        <v>0</v>
      </c>
      <c r="B122" s="1" t="n">
        <f aca="false">RW_2P!K25</f>
        <v>0</v>
      </c>
    </row>
    <row r="123" customFormat="false" ht="15" hidden="false" customHeight="true" outlineLevel="0" collapsed="false">
      <c r="A123" s="1" t="n">
        <f aca="false">RW_2P!J26</f>
        <v>0</v>
      </c>
      <c r="B123" s="1" t="n">
        <f aca="false">RW_2P!K26</f>
        <v>0</v>
      </c>
    </row>
    <row r="124" customFormat="false" ht="15" hidden="false" customHeight="true" outlineLevel="0" collapsed="false">
      <c r="A124" s="1" t="n">
        <f aca="false">RW_2P!J27</f>
        <v>0</v>
      </c>
      <c r="B124" s="1" t="n">
        <f aca="false">RW_2P!K27</f>
        <v>0</v>
      </c>
    </row>
    <row r="125" customFormat="false" ht="15" hidden="false" customHeight="true" outlineLevel="0" collapsed="false">
      <c r="A125" s="1" t="n">
        <f aca="false">RW_2P!J28</f>
        <v>0</v>
      </c>
      <c r="B125" s="1" t="n">
        <f aca="false">RW_2P!K28</f>
        <v>0</v>
      </c>
    </row>
    <row r="126" customFormat="false" ht="15" hidden="false" customHeight="true" outlineLevel="0" collapsed="false">
      <c r="A126" s="1" t="n">
        <f aca="false">RW_2P!J29</f>
        <v>0</v>
      </c>
      <c r="B126" s="1" t="n">
        <f aca="false">RW_2P!K29</f>
        <v>0</v>
      </c>
    </row>
    <row r="127" customFormat="false" ht="15" hidden="false" customHeight="true" outlineLevel="0" collapsed="false">
      <c r="A127" s="1" t="n">
        <f aca="false">RW_2P!J30</f>
        <v>0</v>
      </c>
      <c r="B127" s="1" t="n">
        <f aca="false">RW_2P!K30</f>
        <v>0</v>
      </c>
    </row>
    <row r="128" customFormat="false" ht="15" hidden="false" customHeight="true" outlineLevel="0" collapsed="false">
      <c r="A128" s="1" t="n">
        <f aca="false">RW_2P!J31</f>
        <v>0</v>
      </c>
      <c r="B128" s="1" t="n">
        <f aca="false">RW_2P!K31</f>
        <v>0</v>
      </c>
    </row>
    <row r="129" customFormat="false" ht="15" hidden="false" customHeight="true" outlineLevel="0" collapsed="false">
      <c r="A129" s="1" t="n">
        <f aca="false">RW_2P!J32</f>
        <v>0</v>
      </c>
      <c r="B129" s="1" t="n">
        <f aca="false">RW_2P!K32</f>
        <v>0</v>
      </c>
    </row>
    <row r="130" customFormat="false" ht="15" hidden="false" customHeight="true" outlineLevel="0" collapsed="false">
      <c r="A130" s="1" t="n">
        <f aca="false">RW_2P!J33</f>
        <v>0</v>
      </c>
      <c r="B130" s="1" t="n">
        <f aca="false">RW_2P!K33</f>
        <v>0</v>
      </c>
    </row>
    <row r="131" customFormat="false" ht="15" hidden="false" customHeight="true" outlineLevel="0" collapsed="false">
      <c r="A131" s="1" t="n">
        <f aca="false">RW_2P!J34</f>
        <v>0</v>
      </c>
      <c r="B131" s="1" t="n">
        <f aca="false">RW_2P!K34</f>
        <v>0</v>
      </c>
    </row>
    <row r="132" customFormat="false" ht="15" hidden="false" customHeight="true" outlineLevel="0" collapsed="false">
      <c r="A132" s="1" t="n">
        <f aca="false">RW_2P!J35</f>
        <v>0</v>
      </c>
      <c r="B132" s="1" t="n">
        <f aca="false">RW_2P!K35</f>
        <v>0</v>
      </c>
    </row>
    <row r="133" customFormat="false" ht="15" hidden="false" customHeight="true" outlineLevel="0" collapsed="false">
      <c r="A133" s="1" t="n">
        <f aca="false">RW_2P!J36</f>
        <v>0</v>
      </c>
      <c r="B133" s="1" t="n">
        <f aca="false">RW_2P!K36</f>
        <v>0</v>
      </c>
    </row>
    <row r="134" customFormat="false" ht="15" hidden="false" customHeight="true" outlineLevel="0" collapsed="false">
      <c r="A134" s="1" t="n">
        <f aca="false">RW_2P!J37</f>
        <v>0</v>
      </c>
      <c r="B134" s="1" t="n">
        <f aca="false">RW_2P!K37</f>
        <v>0</v>
      </c>
    </row>
    <row r="135" customFormat="false" ht="15" hidden="false" customHeight="true" outlineLevel="0" collapsed="false">
      <c r="A135" s="1" t="n">
        <f aca="false">RW_2P!J38</f>
        <v>0</v>
      </c>
      <c r="B135" s="1" t="n">
        <f aca="false">RW_2P!K38</f>
        <v>0</v>
      </c>
    </row>
    <row r="136" customFormat="false" ht="15" hidden="false" customHeight="true" outlineLevel="0" collapsed="false">
      <c r="A136" s="1" t="n">
        <f aca="false">RW_2P!J39</f>
        <v>0</v>
      </c>
      <c r="B136" s="1" t="n">
        <f aca="false">RW_2P!K39</f>
        <v>0</v>
      </c>
    </row>
    <row r="137" customFormat="false" ht="15" hidden="false" customHeight="true" outlineLevel="0" collapsed="false">
      <c r="A137" s="1" t="n">
        <f aca="false">RW_2P!J40</f>
        <v>0</v>
      </c>
      <c r="B137" s="1" t="n">
        <f aca="false">RW_2P!K40</f>
        <v>0</v>
      </c>
    </row>
    <row r="138" customFormat="false" ht="15" hidden="false" customHeight="true" outlineLevel="0" collapsed="false">
      <c r="A138" s="1" t="n">
        <f aca="false">RW_2P!J41</f>
        <v>0</v>
      </c>
      <c r="B138" s="1" t="n">
        <f aca="false">RW_2P!K41</f>
        <v>0</v>
      </c>
    </row>
    <row r="139" customFormat="false" ht="15" hidden="false" customHeight="true" outlineLevel="0" collapsed="false">
      <c r="A139" s="1" t="n">
        <f aca="false">RW_2P!J42</f>
        <v>0</v>
      </c>
      <c r="B139" s="1" t="n">
        <f aca="false">RW_2P!K42</f>
        <v>0</v>
      </c>
    </row>
    <row r="140" customFormat="false" ht="15" hidden="false" customHeight="true" outlineLevel="0" collapsed="false">
      <c r="A140" s="1" t="n">
        <f aca="false">RW_2P!J43</f>
        <v>0</v>
      </c>
      <c r="B140" s="1" t="n">
        <f aca="false">RW_2P!K43</f>
        <v>0</v>
      </c>
    </row>
    <row r="141" customFormat="false" ht="15" hidden="false" customHeight="true" outlineLevel="0" collapsed="false">
      <c r="A141" s="1" t="n">
        <f aca="false">RW_2P!J44</f>
        <v>0</v>
      </c>
      <c r="B141" s="1" t="n">
        <f aca="false">RW_2P!K44</f>
        <v>0</v>
      </c>
    </row>
    <row r="142" customFormat="false" ht="15" hidden="false" customHeight="true" outlineLevel="0" collapsed="false">
      <c r="A142" s="1" t="n">
        <f aca="false">RW_2P!J45</f>
        <v>0</v>
      </c>
      <c r="B142" s="1" t="n">
        <f aca="false">RW_2P!K45</f>
        <v>0</v>
      </c>
    </row>
    <row r="143" customFormat="false" ht="15" hidden="false" customHeight="true" outlineLevel="0" collapsed="false">
      <c r="A143" s="1" t="n">
        <f aca="false">RW_2P!J46</f>
        <v>0</v>
      </c>
      <c r="B143" s="1" t="n">
        <f aca="false">RW_2P!K46</f>
        <v>0</v>
      </c>
    </row>
    <row r="144" customFormat="false" ht="15" hidden="false" customHeight="true" outlineLevel="0" collapsed="false">
      <c r="A144" s="1" t="n">
        <f aca="false">RW_2P!J47</f>
        <v>0</v>
      </c>
      <c r="B144" s="1" t="n">
        <f aca="false">RW_2P!K47</f>
        <v>0</v>
      </c>
    </row>
    <row r="145" customFormat="false" ht="15" hidden="false" customHeight="true" outlineLevel="0" collapsed="false">
      <c r="A145" s="1" t="n">
        <f aca="false">RW_2P!J48</f>
        <v>0</v>
      </c>
      <c r="B145" s="1" t="n">
        <f aca="false">RW_2P!K48</f>
        <v>0</v>
      </c>
    </row>
    <row r="146" customFormat="false" ht="15" hidden="false" customHeight="true" outlineLevel="0" collapsed="false">
      <c r="A146" s="1" t="n">
        <f aca="false">RW_2P!J49</f>
        <v>0</v>
      </c>
      <c r="B146" s="1" t="n">
        <f aca="false">RW_2P!K49</f>
        <v>0</v>
      </c>
    </row>
    <row r="147" customFormat="false" ht="15" hidden="false" customHeight="true" outlineLevel="0" collapsed="false">
      <c r="A147" s="1" t="n">
        <f aca="false">RW_2P!J50</f>
        <v>0</v>
      </c>
      <c r="B147" s="1" t="n">
        <f aca="false">RW_2P!K50</f>
        <v>0</v>
      </c>
    </row>
    <row r="148" customFormat="false" ht="15" hidden="false" customHeight="true" outlineLevel="0" collapsed="false">
      <c r="A148" s="1" t="n">
        <f aca="false">RW_2P!J51</f>
        <v>0</v>
      </c>
      <c r="B148" s="1" t="n">
        <f aca="false">RW_2P!K51</f>
        <v>0</v>
      </c>
    </row>
    <row r="149" customFormat="false" ht="15" hidden="false" customHeight="true" outlineLevel="0" collapsed="false">
      <c r="A149" s="1" t="n">
        <f aca="false">RW_2P!J52</f>
        <v>0</v>
      </c>
      <c r="B149" s="1" t="n">
        <f aca="false">RW_2P!K52</f>
        <v>0</v>
      </c>
    </row>
    <row r="150" customFormat="false" ht="15" hidden="false" customHeight="true" outlineLevel="0" collapsed="false">
      <c r="A150" s="1" t="n">
        <f aca="false">RW_2P!J53</f>
        <v>0</v>
      </c>
      <c r="B150" s="1" t="n">
        <f aca="false">RW_2P!K53</f>
        <v>0</v>
      </c>
    </row>
    <row r="151" customFormat="false" ht="15" hidden="false" customHeight="true" outlineLevel="0" collapsed="false">
      <c r="A151" s="1" t="n">
        <f aca="false">SEG_6P!J4</f>
        <v>100</v>
      </c>
      <c r="B151" s="1" t="n">
        <f aca="false">SEG_6P!K4</f>
        <v>600</v>
      </c>
    </row>
    <row r="152" customFormat="false" ht="15" hidden="false" customHeight="true" outlineLevel="0" collapsed="false">
      <c r="A152" s="1" t="n">
        <f aca="false">SEG_6P!J5</f>
        <v>300</v>
      </c>
      <c r="B152" s="1" t="n">
        <f aca="false">SEG_6P!K5</f>
        <v>800</v>
      </c>
    </row>
    <row r="153" customFormat="false" ht="15" hidden="false" customHeight="true" outlineLevel="0" collapsed="false">
      <c r="A153" s="1" t="n">
        <f aca="false">SEG_6P!J6</f>
        <v>500</v>
      </c>
      <c r="B153" s="1" t="n">
        <f aca="false">SEG_6P!K6</f>
        <v>1000</v>
      </c>
    </row>
    <row r="154" customFormat="false" ht="15" hidden="false" customHeight="true" outlineLevel="0" collapsed="false">
      <c r="A154" s="1" t="n">
        <f aca="false">SEG_6P!J7</f>
        <v>700</v>
      </c>
      <c r="B154" s="1" t="n">
        <f aca="false">SEG_6P!K7</f>
        <v>1200</v>
      </c>
    </row>
    <row r="155" customFormat="false" ht="15" hidden="false" customHeight="true" outlineLevel="0" collapsed="false">
      <c r="A155" s="1" t="n">
        <f aca="false">SEG_6P!J8</f>
        <v>900</v>
      </c>
      <c r="B155" s="1" t="n">
        <f aca="false">SEG_6P!K8</f>
        <v>1400</v>
      </c>
    </row>
    <row r="156" customFormat="false" ht="15" hidden="false" customHeight="true" outlineLevel="0" collapsed="false">
      <c r="A156" s="1" t="n">
        <f aca="false">SEG_6P!J9</f>
        <v>1100</v>
      </c>
      <c r="B156" s="1" t="n">
        <f aca="false">SEG_6P!K9</f>
        <v>1600</v>
      </c>
    </row>
    <row r="157" customFormat="false" ht="15" hidden="false" customHeight="true" outlineLevel="0" collapsed="false">
      <c r="A157" s="1" t="n">
        <f aca="false">SEG_6P!J10</f>
        <v>1300</v>
      </c>
      <c r="B157" s="1" t="n">
        <f aca="false">SEG_6P!K10</f>
        <v>1800</v>
      </c>
    </row>
    <row r="158" customFormat="false" ht="15" hidden="false" customHeight="true" outlineLevel="0" collapsed="false">
      <c r="A158" s="1" t="n">
        <f aca="false">SEG_6P!J11</f>
        <v>1500</v>
      </c>
      <c r="B158" s="1" t="n">
        <f aca="false">SEG_6P!K11</f>
        <v>2000</v>
      </c>
    </row>
    <row r="159" customFormat="false" ht="15" hidden="false" customHeight="true" outlineLevel="0" collapsed="false">
      <c r="A159" s="1" t="n">
        <f aca="false">SEG_6P!J12</f>
        <v>1700</v>
      </c>
      <c r="B159" s="1" t="n">
        <f aca="false">SEG_6P!K12</f>
        <v>2200</v>
      </c>
    </row>
    <row r="160" customFormat="false" ht="15" hidden="false" customHeight="true" outlineLevel="0" collapsed="false">
      <c r="A160" s="1" t="n">
        <f aca="false">SEG_6P!J13</f>
        <v>1900</v>
      </c>
      <c r="B160" s="1" t="n">
        <f aca="false">SEG_6P!K13</f>
        <v>2400</v>
      </c>
    </row>
    <row r="161" customFormat="false" ht="15" hidden="false" customHeight="true" outlineLevel="0" collapsed="false">
      <c r="A161" s="1" t="n">
        <f aca="false">SEG_6P!J14</f>
        <v>2100</v>
      </c>
      <c r="B161" s="1" t="n">
        <f aca="false">SEG_6P!K14</f>
        <v>2600</v>
      </c>
    </row>
    <row r="162" customFormat="false" ht="15" hidden="false" customHeight="true" outlineLevel="0" collapsed="false">
      <c r="A162" s="1" t="n">
        <f aca="false">SEG_6P!J15</f>
        <v>2300</v>
      </c>
      <c r="B162" s="1" t="n">
        <f aca="false">SEG_6P!K15</f>
        <v>2800</v>
      </c>
    </row>
    <row r="163" customFormat="false" ht="15" hidden="false" customHeight="true" outlineLevel="0" collapsed="false">
      <c r="A163" s="1" t="n">
        <f aca="false">SEG_6P!J16</f>
        <v>2500</v>
      </c>
      <c r="B163" s="1" t="n">
        <f aca="false">SEG_6P!K16</f>
        <v>3000</v>
      </c>
    </row>
    <row r="164" customFormat="false" ht="15" hidden="false" customHeight="true" outlineLevel="0" collapsed="false">
      <c r="A164" s="1" t="n">
        <f aca="false">SEG_6P!J17</f>
        <v>2700</v>
      </c>
      <c r="B164" s="1" t="n">
        <f aca="false">SEG_6P!K17</f>
        <v>3200</v>
      </c>
    </row>
    <row r="165" customFormat="false" ht="15" hidden="false" customHeight="true" outlineLevel="0" collapsed="false">
      <c r="A165" s="1" t="n">
        <f aca="false">SEG_6P!J18</f>
        <v>2900</v>
      </c>
      <c r="B165" s="1" t="n">
        <f aca="false">SEG_6P!K18</f>
        <v>3400</v>
      </c>
    </row>
    <row r="166" customFormat="false" ht="15" hidden="false" customHeight="true" outlineLevel="0" collapsed="false">
      <c r="A166" s="1" t="n">
        <f aca="false">SEG_6P!J19</f>
        <v>0</v>
      </c>
      <c r="B166" s="1" t="n">
        <f aca="false">SEG_6P!K19</f>
        <v>0</v>
      </c>
    </row>
    <row r="167" customFormat="false" ht="15" hidden="false" customHeight="true" outlineLevel="0" collapsed="false">
      <c r="A167" s="1" t="n">
        <f aca="false">SEG_6P!J20</f>
        <v>0</v>
      </c>
      <c r="B167" s="1" t="n">
        <f aca="false">SEG_6P!K20</f>
        <v>0</v>
      </c>
    </row>
    <row r="168" customFormat="false" ht="15" hidden="false" customHeight="true" outlineLevel="0" collapsed="false">
      <c r="A168" s="1" t="n">
        <f aca="false">SEG_6P!J21</f>
        <v>0</v>
      </c>
      <c r="B168" s="1" t="n">
        <f aca="false">SEG_6P!K21</f>
        <v>0</v>
      </c>
    </row>
    <row r="169" customFormat="false" ht="15" hidden="false" customHeight="true" outlineLevel="0" collapsed="false">
      <c r="A169" s="1" t="n">
        <f aca="false">SEG_6P!J22</f>
        <v>0</v>
      </c>
      <c r="B169" s="1" t="n">
        <f aca="false">SEG_6P!K22</f>
        <v>0</v>
      </c>
    </row>
    <row r="170" customFormat="false" ht="15" hidden="false" customHeight="true" outlineLevel="0" collapsed="false">
      <c r="A170" s="1" t="n">
        <f aca="false">SEG_6P!J23</f>
        <v>0</v>
      </c>
      <c r="B170" s="1" t="n">
        <f aca="false">SEG_6P!K23</f>
        <v>0</v>
      </c>
    </row>
    <row r="171" customFormat="false" ht="15" hidden="false" customHeight="true" outlineLevel="0" collapsed="false">
      <c r="A171" s="1" t="n">
        <f aca="false">SEG_6P!J24</f>
        <v>0</v>
      </c>
      <c r="B171" s="1" t="n">
        <f aca="false">SEG_6P!K24</f>
        <v>0</v>
      </c>
    </row>
    <row r="172" customFormat="false" ht="15" hidden="false" customHeight="true" outlineLevel="0" collapsed="false">
      <c r="A172" s="1" t="n">
        <f aca="false">SEG_6P!J25</f>
        <v>0</v>
      </c>
      <c r="B172" s="1" t="n">
        <f aca="false">SEG_6P!K25</f>
        <v>0</v>
      </c>
    </row>
    <row r="173" customFormat="false" ht="15" hidden="false" customHeight="true" outlineLevel="0" collapsed="false">
      <c r="A173" s="1" t="n">
        <f aca="false">SEG_6P!J26</f>
        <v>0</v>
      </c>
      <c r="B173" s="1" t="n">
        <f aca="false">SEG_6P!K26</f>
        <v>0</v>
      </c>
    </row>
    <row r="174" customFormat="false" ht="15" hidden="false" customHeight="true" outlineLevel="0" collapsed="false">
      <c r="A174" s="1" t="n">
        <f aca="false">SEG_6P!J27</f>
        <v>0</v>
      </c>
      <c r="B174" s="1" t="n">
        <f aca="false">SEG_6P!K27</f>
        <v>0</v>
      </c>
    </row>
    <row r="175" customFormat="false" ht="15" hidden="false" customHeight="true" outlineLevel="0" collapsed="false">
      <c r="A175" s="1" t="n">
        <f aca="false">SEG_6P!J28</f>
        <v>0</v>
      </c>
      <c r="B175" s="1" t="n">
        <f aca="false">SEG_6P!K28</f>
        <v>0</v>
      </c>
    </row>
    <row r="176" customFormat="false" ht="15" hidden="false" customHeight="true" outlineLevel="0" collapsed="false">
      <c r="A176" s="1" t="n">
        <f aca="false">SEG_6P!J29</f>
        <v>0</v>
      </c>
      <c r="B176" s="1" t="n">
        <f aca="false">SEG_6P!K29</f>
        <v>0</v>
      </c>
    </row>
    <row r="177" customFormat="false" ht="15" hidden="false" customHeight="true" outlineLevel="0" collapsed="false">
      <c r="A177" s="1" t="n">
        <f aca="false">SEG_6P!J30</f>
        <v>0</v>
      </c>
      <c r="B177" s="1" t="n">
        <f aca="false">SEG_6P!K30</f>
        <v>0</v>
      </c>
    </row>
    <row r="178" customFormat="false" ht="15" hidden="false" customHeight="true" outlineLevel="0" collapsed="false">
      <c r="A178" s="1" t="n">
        <f aca="false">SEG_6P!J31</f>
        <v>0</v>
      </c>
      <c r="B178" s="1" t="n">
        <f aca="false">SEG_6P!K31</f>
        <v>0</v>
      </c>
    </row>
    <row r="179" customFormat="false" ht="15" hidden="false" customHeight="true" outlineLevel="0" collapsed="false">
      <c r="A179" s="1" t="n">
        <f aca="false">SEG_6P!J32</f>
        <v>0</v>
      </c>
      <c r="B179" s="1" t="n">
        <f aca="false">SEG_6P!K32</f>
        <v>0</v>
      </c>
    </row>
    <row r="180" customFormat="false" ht="15" hidden="false" customHeight="true" outlineLevel="0" collapsed="false">
      <c r="A180" s="1" t="n">
        <f aca="false">SEG_6P!J33</f>
        <v>0</v>
      </c>
      <c r="B180" s="1" t="n">
        <f aca="false">SEG_6P!K33</f>
        <v>0</v>
      </c>
    </row>
    <row r="181" customFormat="false" ht="15" hidden="false" customHeight="true" outlineLevel="0" collapsed="false">
      <c r="A181" s="1" t="n">
        <f aca="false">SEG_6P!J34</f>
        <v>0</v>
      </c>
      <c r="B181" s="1" t="n">
        <f aca="false">SEG_6P!K34</f>
        <v>0</v>
      </c>
    </row>
    <row r="182" customFormat="false" ht="15" hidden="false" customHeight="true" outlineLevel="0" collapsed="false">
      <c r="A182" s="1" t="n">
        <f aca="false">SEG_6P!J35</f>
        <v>0</v>
      </c>
      <c r="B182" s="1" t="n">
        <f aca="false">SEG_6P!K35</f>
        <v>0</v>
      </c>
    </row>
    <row r="183" customFormat="false" ht="15" hidden="false" customHeight="true" outlineLevel="0" collapsed="false">
      <c r="A183" s="1" t="n">
        <f aca="false">SEG_6P!J36</f>
        <v>0</v>
      </c>
      <c r="B183" s="1" t="n">
        <f aca="false">SEG_6P!K36</f>
        <v>0</v>
      </c>
    </row>
    <row r="184" customFormat="false" ht="15" hidden="false" customHeight="true" outlineLevel="0" collapsed="false">
      <c r="A184" s="1" t="n">
        <f aca="false">SEG_6P!J37</f>
        <v>0</v>
      </c>
      <c r="B184" s="1" t="n">
        <f aca="false">SEG_6P!K37</f>
        <v>0</v>
      </c>
    </row>
    <row r="185" customFormat="false" ht="15" hidden="false" customHeight="true" outlineLevel="0" collapsed="false">
      <c r="A185" s="1" t="n">
        <f aca="false">SEG_6P!J38</f>
        <v>0</v>
      </c>
      <c r="B185" s="1" t="n">
        <f aca="false">SEG_6P!K38</f>
        <v>0</v>
      </c>
    </row>
    <row r="186" customFormat="false" ht="15" hidden="false" customHeight="true" outlineLevel="0" collapsed="false">
      <c r="A186" s="1" t="n">
        <f aca="false">SEG_6P!J39</f>
        <v>0</v>
      </c>
      <c r="B186" s="1" t="n">
        <f aca="false">SEG_6P!K39</f>
        <v>0</v>
      </c>
    </row>
    <row r="187" customFormat="false" ht="15" hidden="false" customHeight="true" outlineLevel="0" collapsed="false">
      <c r="A187" s="1" t="n">
        <f aca="false">SEG_6P!J40</f>
        <v>0</v>
      </c>
      <c r="B187" s="1" t="n">
        <f aca="false">SEG_6P!K40</f>
        <v>0</v>
      </c>
    </row>
    <row r="188" customFormat="false" ht="15" hidden="false" customHeight="true" outlineLevel="0" collapsed="false">
      <c r="A188" s="1" t="n">
        <f aca="false">SEG_6P!J41</f>
        <v>0</v>
      </c>
      <c r="B188" s="1" t="n">
        <f aca="false">SEG_6P!K41</f>
        <v>0</v>
      </c>
    </row>
    <row r="189" customFormat="false" ht="15" hidden="false" customHeight="true" outlineLevel="0" collapsed="false">
      <c r="A189" s="1" t="n">
        <f aca="false">SEG_6P!J42</f>
        <v>0</v>
      </c>
      <c r="B189" s="1" t="n">
        <f aca="false">SEG_6P!K42</f>
        <v>0</v>
      </c>
    </row>
    <row r="190" customFormat="false" ht="15" hidden="false" customHeight="true" outlineLevel="0" collapsed="false">
      <c r="A190" s="1" t="n">
        <f aca="false">SEG_6P!J43</f>
        <v>0</v>
      </c>
      <c r="B190" s="1" t="n">
        <f aca="false">SEG_6P!K43</f>
        <v>0</v>
      </c>
    </row>
    <row r="191" customFormat="false" ht="15" hidden="false" customHeight="true" outlineLevel="0" collapsed="false">
      <c r="A191" s="1" t="n">
        <f aca="false">SEG_6P!J44</f>
        <v>0</v>
      </c>
      <c r="B191" s="1" t="n">
        <f aca="false">SEG_6P!K44</f>
        <v>0</v>
      </c>
    </row>
    <row r="192" customFormat="false" ht="15" hidden="false" customHeight="true" outlineLevel="0" collapsed="false">
      <c r="A192" s="1" t="n">
        <f aca="false">SEG_6P!J45</f>
        <v>0</v>
      </c>
      <c r="B192" s="1" t="n">
        <f aca="false">SEG_6P!K45</f>
        <v>0</v>
      </c>
    </row>
    <row r="193" customFormat="false" ht="15" hidden="false" customHeight="true" outlineLevel="0" collapsed="false">
      <c r="A193" s="1" t="n">
        <f aca="false">SEG_6P!J46</f>
        <v>0</v>
      </c>
      <c r="B193" s="1" t="n">
        <f aca="false">SEG_6P!K46</f>
        <v>0</v>
      </c>
    </row>
    <row r="194" customFormat="false" ht="15" hidden="false" customHeight="true" outlineLevel="0" collapsed="false">
      <c r="A194" s="1" t="n">
        <f aca="false">SEG_6P!J47</f>
        <v>0</v>
      </c>
      <c r="B194" s="1" t="n">
        <f aca="false">SEG_6P!K47</f>
        <v>0</v>
      </c>
    </row>
    <row r="195" customFormat="false" ht="15" hidden="false" customHeight="true" outlineLevel="0" collapsed="false">
      <c r="A195" s="1" t="n">
        <f aca="false">SEG_6P!J48</f>
        <v>0</v>
      </c>
      <c r="B195" s="1" t="n">
        <f aca="false">SEG_6P!K48</f>
        <v>0</v>
      </c>
    </row>
    <row r="196" customFormat="false" ht="15" hidden="false" customHeight="true" outlineLevel="0" collapsed="false">
      <c r="A196" s="1" t="n">
        <f aca="false">SEG_6P!J49</f>
        <v>0</v>
      </c>
      <c r="B196" s="1" t="n">
        <f aca="false">SEG_6P!K49</f>
        <v>0</v>
      </c>
    </row>
    <row r="197" customFormat="false" ht="15" hidden="false" customHeight="true" outlineLevel="0" collapsed="false">
      <c r="A197" s="1" t="n">
        <f aca="false">SEG_6P!J50</f>
        <v>0</v>
      </c>
      <c r="B197" s="1" t="n">
        <f aca="false">SEG_6P!K50</f>
        <v>0</v>
      </c>
    </row>
    <row r="198" customFormat="false" ht="15" hidden="false" customHeight="true" outlineLevel="0" collapsed="false">
      <c r="A198" s="1" t="n">
        <f aca="false">SEG_6P!J51</f>
        <v>0</v>
      </c>
      <c r="B198" s="1" t="n">
        <f aca="false">SEG_6P!K51</f>
        <v>0</v>
      </c>
    </row>
    <row r="199" customFormat="false" ht="15" hidden="false" customHeight="true" outlineLevel="0" collapsed="false">
      <c r="A199" s="1" t="n">
        <f aca="false">SEG_6P!J52</f>
        <v>0</v>
      </c>
      <c r="B199" s="1" t="n">
        <f aca="false">SEG_6P!K52</f>
        <v>0</v>
      </c>
    </row>
    <row r="200" customFormat="false" ht="15" hidden="false" customHeight="true" outlineLevel="0" collapsed="false">
      <c r="A200" s="1" t="n">
        <f aca="false">SEG_6P!J53</f>
        <v>0</v>
      </c>
      <c r="B200" s="1" t="n">
        <f aca="false">SEG_6P!K53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2" activeCellId="0" sqref="E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6" min="2" style="1" width="20.66"/>
    <col collapsed="false" customWidth="true" hidden="false" outlineLevel="0" max="7" min="7" style="2" width="13"/>
    <col collapsed="false" customWidth="true" hidden="false" outlineLevel="0" max="100" min="8" style="1" width="13"/>
  </cols>
  <sheetData>
    <row r="2" customFormat="false" ht="21.75" hidden="false" customHeight="true" outlineLevel="0" collapsed="false">
      <c r="B2" s="65" t="s">
        <v>257</v>
      </c>
    </row>
    <row r="4" customFormat="false" ht="15" hidden="false" customHeight="true" outlineLevel="0" collapsed="false">
      <c r="B4" s="66" t="s">
        <v>258</v>
      </c>
      <c r="C4" s="66" t="s">
        <v>259</v>
      </c>
      <c r="D4" s="66" t="s">
        <v>260</v>
      </c>
      <c r="E4" s="66" t="s">
        <v>261</v>
      </c>
    </row>
    <row r="5" customFormat="false" ht="17.25" hidden="false" customHeight="true" outlineLevel="0" collapsed="false">
      <c r="B5" s="67" t="n">
        <f aca="false">COUNTA(Job_Master!A4:A103)</f>
        <v>70</v>
      </c>
      <c r="C5" s="68" t="n">
        <f aca="false">MIN(Job_Master!E4:E103)</f>
        <v>46113.2916666667</v>
      </c>
      <c r="D5" s="68" t="n">
        <f aca="false">MAX(Job_Master!F4:F103)</f>
        <v>46670.5337301587</v>
      </c>
      <c r="E5" s="69" t="n">
        <f aca="false">INT(D5-C5)</f>
        <v>557</v>
      </c>
    </row>
    <row r="8" customFormat="false" ht="15" hidden="false" customHeight="true" outlineLevel="0" collapsed="false">
      <c r="B8" s="3" t="s">
        <v>262</v>
      </c>
      <c r="C8" s="3" t="s">
        <v>263</v>
      </c>
      <c r="D8" s="3" t="s">
        <v>264</v>
      </c>
      <c r="E8" s="3" t="s">
        <v>249</v>
      </c>
      <c r="F8" s="3" t="s">
        <v>265</v>
      </c>
      <c r="G8" s="3" t="s">
        <v>266</v>
      </c>
    </row>
    <row r="9" customFormat="false" ht="15" hidden="false" customHeight="true" outlineLevel="0" collapsed="false">
      <c r="B9" s="4" t="s">
        <v>41</v>
      </c>
      <c r="C9" s="4" t="n">
        <v>4</v>
      </c>
      <c r="D9" s="70" t="n">
        <f aca="false">SUM(VTL_Plan!L4:L103)</f>
        <v>7040</v>
      </c>
      <c r="E9" s="70" t="n">
        <f aca="false">C9*$E$5*24</f>
        <v>53472</v>
      </c>
      <c r="F9" s="71" t="n">
        <f aca="false">IF(E9&gt;0, D9/E9, 0)</f>
        <v>0.131657690005984</v>
      </c>
      <c r="G9" s="4" t="n">
        <v>0.9</v>
      </c>
    </row>
    <row r="10" customFormat="false" ht="15" hidden="false" customHeight="true" outlineLevel="0" collapsed="false">
      <c r="B10" s="4" t="s">
        <v>48</v>
      </c>
      <c r="C10" s="4" t="n">
        <v>6</v>
      </c>
      <c r="D10" s="70" t="n">
        <f aca="false">SUM(SPM_Plan!L4:L103)</f>
        <v>10588</v>
      </c>
      <c r="E10" s="70" t="n">
        <f aca="false">C10*$E$5*24</f>
        <v>80208</v>
      </c>
      <c r="F10" s="71" t="n">
        <f aca="false">IF(E10&gt;0, D10/E10, 0)</f>
        <v>0.132006782365849</v>
      </c>
      <c r="G10" s="4" t="n">
        <v>0.9</v>
      </c>
    </row>
    <row r="11" customFormat="false" ht="15" hidden="false" customHeight="true" outlineLevel="0" collapsed="false">
      <c r="B11" s="4" t="s">
        <v>55</v>
      </c>
      <c r="C11" s="4" t="n">
        <v>6</v>
      </c>
      <c r="D11" s="70" t="n">
        <f aca="false">SUM(CARVING_Plan!L4:L103)</f>
        <v>8456</v>
      </c>
      <c r="E11" s="70" t="n">
        <f aca="false">C11*$E$5*24</f>
        <v>80208</v>
      </c>
      <c r="F11" s="71" t="n">
        <f aca="false">IF(E11&gt;0, D11/E11, 0)</f>
        <v>0.105425892679035</v>
      </c>
      <c r="G11" s="4" t="n">
        <v>0.9</v>
      </c>
    </row>
    <row r="12" customFormat="false" ht="15" hidden="false" customHeight="true" outlineLevel="0" collapsed="false">
      <c r="B12" s="4" t="s">
        <v>62</v>
      </c>
      <c r="C12" s="4" t="n">
        <v>30</v>
      </c>
      <c r="D12" s="70" t="n">
        <f aca="false">SUM(EDM_Plan!L4:L103)</f>
        <v>8620</v>
      </c>
      <c r="E12" s="70" t="n">
        <f aca="false">C12*$E$5*24</f>
        <v>401040</v>
      </c>
      <c r="F12" s="71" t="n">
        <f aca="false">IF(E12&gt;0, D12/E12, 0)</f>
        <v>0.0214941153002194</v>
      </c>
      <c r="G12" s="4" t="n">
        <v>0.9</v>
      </c>
    </row>
    <row r="13" customFormat="false" ht="15" hidden="false" customHeight="true" outlineLevel="0" collapsed="false">
      <c r="B13" s="4" t="s">
        <v>93</v>
      </c>
      <c r="C13" s="4" t="n">
        <v>14</v>
      </c>
      <c r="D13" s="70" t="n">
        <f aca="false">SUM(ENG_Plan!L4:L103)</f>
        <v>9292</v>
      </c>
      <c r="E13" s="70" t="n">
        <f aca="false">C13*$E$5*24</f>
        <v>187152</v>
      </c>
      <c r="F13" s="71" t="n">
        <f aca="false">IF(E13&gt;0, D13/E13, 0)</f>
        <v>0.0496494827733607</v>
      </c>
      <c r="G13" s="4" t="n">
        <v>0.9</v>
      </c>
    </row>
    <row r="14" customFormat="false" ht="15" hidden="false" customHeight="true" outlineLevel="0" collapsed="false">
      <c r="B14" s="4" t="s">
        <v>108</v>
      </c>
      <c r="C14" s="4" t="n">
        <v>8</v>
      </c>
      <c r="D14" s="70" t="n">
        <f aca="false">SUM(VENT_Plan!L4:L103)</f>
        <v>7402</v>
      </c>
      <c r="E14" s="70" t="n">
        <f aca="false">C14*$E$5*24</f>
        <v>106944</v>
      </c>
      <c r="F14" s="71" t="n">
        <f aca="false">IF(E14&gt;0, D14/E14, 0)</f>
        <v>0.0692137941352484</v>
      </c>
      <c r="G14" s="4" t="n">
        <v>0.9</v>
      </c>
    </row>
    <row r="15" customFormat="false" ht="15" hidden="false" customHeight="true" outlineLevel="0" collapsed="false">
      <c r="B15" s="4" t="s">
        <v>118</v>
      </c>
      <c r="C15" s="4" t="n">
        <v>10</v>
      </c>
      <c r="D15" s="70" t="n">
        <f aca="false">SUM(FID_Plan!L4:L103)</f>
        <v>7338</v>
      </c>
      <c r="E15" s="70" t="n">
        <f aca="false">C15*$E$5*24</f>
        <v>133680</v>
      </c>
      <c r="F15" s="71" t="n">
        <f aca="false">IF(E15&gt;0, D15/E15, 0)</f>
        <v>0.0548922800718133</v>
      </c>
      <c r="G15" s="4" t="n">
        <v>0.9</v>
      </c>
    </row>
    <row r="16" customFormat="false" ht="15" hidden="false" customHeight="true" outlineLevel="0" collapsed="false">
      <c r="B16" s="4" t="s">
        <v>129</v>
      </c>
      <c r="C16" s="4" t="n">
        <v>5</v>
      </c>
      <c r="D16" s="70" t="n">
        <f aca="false">SUM(QC_Plan!L4:L103)</f>
        <v>6460</v>
      </c>
      <c r="E16" s="70" t="n">
        <f aca="false">C16*$E$5*24</f>
        <v>66840</v>
      </c>
      <c r="F16" s="71" t="n">
        <f aca="false">IF(E16&gt;0, D16/E16, 0)</f>
        <v>0.0966487133453022</v>
      </c>
      <c r="G16" s="4" t="n">
        <v>0.9</v>
      </c>
    </row>
    <row r="48" customFormat="false" ht="15" hidden="false" customHeight="true" outlineLevel="0" collapsed="false">
      <c r="B48" s="72" t="s">
        <v>267</v>
      </c>
      <c r="C48" s="72"/>
      <c r="D48" s="72"/>
      <c r="E48" s="72"/>
      <c r="F48" s="72"/>
      <c r="G48" s="72"/>
      <c r="H48" s="72"/>
      <c r="I48" s="72"/>
      <c r="J48" s="72"/>
      <c r="K48" s="72"/>
    </row>
    <row r="49" customFormat="false" ht="15" hidden="false" customHeight="true" outlineLevel="0" collapsed="false">
      <c r="B49" s="73" t="s">
        <v>268</v>
      </c>
      <c r="C49" s="73" t="s">
        <v>269</v>
      </c>
      <c r="D49" s="73" t="s">
        <v>270</v>
      </c>
      <c r="E49" s="73" t="s">
        <v>36</v>
      </c>
    </row>
    <row r="50" customFormat="false" ht="17.25" hidden="false" customHeight="true" outlineLevel="0" collapsed="false">
      <c r="B50" s="74" t="s">
        <v>271</v>
      </c>
      <c r="C50" s="8" t="s">
        <v>272</v>
      </c>
      <c r="D50" s="75" t="n">
        <f aca="false">IFERROR(COUNTIF(Delivery_Tracker!I3:I100,"*ON TRACK*")/COUNTA(Delivery_Tracker!A3:A100),0)</f>
        <v>1</v>
      </c>
      <c r="E50" s="8" t="str">
        <f aca="false">IF(D50="","—","✅")</f>
        <v>✅</v>
      </c>
      <c r="G50" s="76" t="s">
        <v>273</v>
      </c>
      <c r="H50" s="77" t="str">
        <f aca="false">INDEX(B9:B16,MATCH(MAX(F9:F16),F9:F16,0))</f>
        <v>SPM</v>
      </c>
    </row>
    <row r="51" customFormat="false" ht="15" hidden="false" customHeight="true" outlineLevel="0" collapsed="false">
      <c r="B51" s="74" t="s">
        <v>274</v>
      </c>
      <c r="C51" s="8" t="s">
        <v>275</v>
      </c>
      <c r="D51" s="75" t="n">
        <f aca="false">AVERAGE(F9:F16)</f>
        <v>0.0826235938346015</v>
      </c>
      <c r="E51" s="8" t="str">
        <f aca="false">IF(D51="","—","✅")</f>
        <v>✅</v>
      </c>
      <c r="G51" s="76" t="s">
        <v>276</v>
      </c>
      <c r="H51" s="78" t="n">
        <f aca="false">MAX(F9:F16)</f>
        <v>0.132006782365849</v>
      </c>
    </row>
    <row r="52" customFormat="false" ht="15" hidden="false" customHeight="true" outlineLevel="0" collapsed="false">
      <c r="B52" s="74" t="s">
        <v>277</v>
      </c>
      <c r="C52" s="8" t="s">
        <v>278</v>
      </c>
      <c r="D52" s="8" t="str">
        <f aca="false">INDEX(B9:B16,MATCH(MAX(F9:F16),F9:F16,0))</f>
        <v>SPM</v>
      </c>
      <c r="E52" s="8" t="str">
        <f aca="false">IF(D52="","—","✅")</f>
        <v>✅</v>
      </c>
      <c r="G52" s="76" t="s">
        <v>279</v>
      </c>
      <c r="H52" s="79" t="str">
        <f aca="false">INDEX(B9:B16,MATCH(MIN(F9:F16),F9:F16,0))</f>
        <v>EDM</v>
      </c>
    </row>
    <row r="53" customFormat="false" ht="15" hidden="false" customHeight="true" outlineLevel="0" collapsed="false">
      <c r="B53" s="74" t="s">
        <v>280</v>
      </c>
      <c r="C53" s="8" t="s">
        <v>281</v>
      </c>
      <c r="D53" s="80" t="n">
        <f aca="false">COUNTIF(Job_Master!I4:I103,"On Hold")+COUNTIF(Job_Master!I4:I103,"Cancelled")</f>
        <v>21</v>
      </c>
      <c r="E53" s="8" t="str">
        <f aca="false">IF(D53="","—","✅")</f>
        <v>✅</v>
      </c>
    </row>
    <row r="54" customFormat="false" ht="15" hidden="false" customHeight="true" outlineLevel="0" collapsed="false">
      <c r="B54" s="74" t="s">
        <v>282</v>
      </c>
      <c r="C54" s="8" t="s">
        <v>281</v>
      </c>
      <c r="D54" s="80" t="n">
        <f aca="false">COUNTIF(Downtime_Register!I3:I200,"Open")</f>
        <v>0</v>
      </c>
      <c r="E54" s="8" t="str">
        <f aca="false">IF(D54="","—","✅")</f>
        <v>✅</v>
      </c>
    </row>
    <row r="55" customFormat="false" ht="15" hidden="false" customHeight="true" outlineLevel="0" collapsed="false">
      <c r="B55" s="74" t="s">
        <v>283</v>
      </c>
      <c r="C55" s="8" t="s">
        <v>278</v>
      </c>
      <c r="D55" s="80" t="s">
        <v>278</v>
      </c>
      <c r="E55" s="8" t="s">
        <v>284</v>
      </c>
    </row>
    <row r="56" customFormat="false" ht="15" hidden="false" customHeight="true" outlineLevel="0" collapsed="false">
      <c r="B56" s="74" t="s">
        <v>285</v>
      </c>
      <c r="C56" s="8" t="s">
        <v>281</v>
      </c>
      <c r="D56" s="80" t="n">
        <f aca="false">COUNTIF(Material_Stock!I3:I72,"*Out*")</f>
        <v>0</v>
      </c>
      <c r="E56" s="8" t="str">
        <f aca="false">IF(D56="","—","✅")</f>
        <v>✅</v>
      </c>
    </row>
    <row r="57" customFormat="false" ht="15" hidden="false" customHeight="true" outlineLevel="0" collapsed="false">
      <c r="B57" s="74" t="s">
        <v>286</v>
      </c>
      <c r="C57" s="8" t="s">
        <v>281</v>
      </c>
      <c r="D57" s="80" t="n">
        <f aca="false">COUNTIF(Material_Stock!I3:I72,"*Low*")</f>
        <v>4</v>
      </c>
      <c r="E57" s="8" t="str">
        <f aca="false">IF(D57="","—","✅")</f>
        <v>✅</v>
      </c>
    </row>
  </sheetData>
  <mergeCells count="1">
    <mergeCell ref="B48:K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R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66" min="7" style="1" width="6"/>
    <col collapsed="false" customWidth="true" hidden="false" outlineLevel="0" max="100" min="67" style="1" width="13"/>
  </cols>
  <sheetData>
    <row r="2" customFormat="false" ht="15" hidden="false" customHeight="true" outlineLevel="0" collapsed="false">
      <c r="G2" s="81" t="str">
        <f aca="false">"Wk-"&amp;WEEKNUM(G$3,2)</f>
        <v>Wk-14</v>
      </c>
      <c r="H2" s="81" t="str">
        <f aca="false">"Wk-"&amp;WEEKNUM(H$3,2)</f>
        <v>Wk-14</v>
      </c>
      <c r="I2" s="81" t="str">
        <f aca="false">"Wk-"&amp;WEEKNUM(I$3,2)</f>
        <v>Wk-14</v>
      </c>
      <c r="J2" s="81" t="str">
        <f aca="false">"Wk-"&amp;WEEKNUM(J$3,2)</f>
        <v>Wk-14</v>
      </c>
      <c r="K2" s="81" t="str">
        <f aca="false">"Wk-"&amp;WEEKNUM(K$3,2)</f>
        <v>Wk-14</v>
      </c>
      <c r="L2" s="81" t="str">
        <f aca="false">"Wk-"&amp;WEEKNUM(L$3,2)</f>
        <v>Wk-15</v>
      </c>
      <c r="M2" s="81" t="str">
        <f aca="false">"Wk-"&amp;WEEKNUM(M$3,2)</f>
        <v>Wk-15</v>
      </c>
      <c r="N2" s="81" t="str">
        <f aca="false">"Wk-"&amp;WEEKNUM(N$3,2)</f>
        <v>Wk-15</v>
      </c>
      <c r="O2" s="81" t="str">
        <f aca="false">"Wk-"&amp;WEEKNUM(O$3,2)</f>
        <v>Wk-15</v>
      </c>
      <c r="P2" s="81" t="str">
        <f aca="false">"Wk-"&amp;WEEKNUM(P$3,2)</f>
        <v>Wk-15</v>
      </c>
      <c r="Q2" s="81" t="str">
        <f aca="false">"Wk-"&amp;WEEKNUM(Q$3,2)</f>
        <v>Wk-15</v>
      </c>
      <c r="R2" s="81" t="str">
        <f aca="false">"Wk-"&amp;WEEKNUM(R$3,2)</f>
        <v>Wk-15</v>
      </c>
      <c r="S2" s="81" t="str">
        <f aca="false">"Wk-"&amp;WEEKNUM(S$3,2)</f>
        <v>Wk-16</v>
      </c>
      <c r="T2" s="81" t="str">
        <f aca="false">"Wk-"&amp;WEEKNUM(T$3,2)</f>
        <v>Wk-16</v>
      </c>
      <c r="U2" s="81" t="str">
        <f aca="false">"Wk-"&amp;WEEKNUM(U$3,2)</f>
        <v>Wk-16</v>
      </c>
      <c r="V2" s="81" t="str">
        <f aca="false">"Wk-"&amp;WEEKNUM(V$3,2)</f>
        <v>Wk-16</v>
      </c>
      <c r="W2" s="81" t="str">
        <f aca="false">"Wk-"&amp;WEEKNUM(W$3,2)</f>
        <v>Wk-16</v>
      </c>
      <c r="X2" s="81" t="str">
        <f aca="false">"Wk-"&amp;WEEKNUM(X$3,2)</f>
        <v>Wk-16</v>
      </c>
      <c r="Y2" s="81" t="str">
        <f aca="false">"Wk-"&amp;WEEKNUM(Y$3,2)</f>
        <v>Wk-16</v>
      </c>
      <c r="Z2" s="81" t="str">
        <f aca="false">"Wk-"&amp;WEEKNUM(Z$3,2)</f>
        <v>Wk-17</v>
      </c>
      <c r="AA2" s="81" t="str">
        <f aca="false">"Wk-"&amp;WEEKNUM(AA$3,2)</f>
        <v>Wk-17</v>
      </c>
      <c r="AB2" s="81" t="str">
        <f aca="false">"Wk-"&amp;WEEKNUM(AB$3,2)</f>
        <v>Wk-17</v>
      </c>
      <c r="AC2" s="81" t="str">
        <f aca="false">"Wk-"&amp;WEEKNUM(AC$3,2)</f>
        <v>Wk-17</v>
      </c>
      <c r="AD2" s="81" t="str">
        <f aca="false">"Wk-"&amp;WEEKNUM(AD$3,2)</f>
        <v>Wk-17</v>
      </c>
      <c r="AE2" s="81" t="str">
        <f aca="false">"Wk-"&amp;WEEKNUM(AE$3,2)</f>
        <v>Wk-17</v>
      </c>
      <c r="AF2" s="81" t="str">
        <f aca="false">"Wk-"&amp;WEEKNUM(AF$3,2)</f>
        <v>Wk-17</v>
      </c>
      <c r="AG2" s="81" t="str">
        <f aca="false">"Wk-"&amp;WEEKNUM(AG$3,2)</f>
        <v>Wk-18</v>
      </c>
      <c r="AH2" s="81" t="str">
        <f aca="false">"Wk-"&amp;WEEKNUM(AH$3,2)</f>
        <v>Wk-18</v>
      </c>
      <c r="AI2" s="81" t="str">
        <f aca="false">"Wk-"&amp;WEEKNUM(AI$3,2)</f>
        <v>Wk-18</v>
      </c>
      <c r="AJ2" s="81" t="str">
        <f aca="false">"Wk-"&amp;WEEKNUM(AJ$3,2)</f>
        <v>Wk-18</v>
      </c>
      <c r="AK2" s="81" t="str">
        <f aca="false">"Wk-"&amp;WEEKNUM(AK$3,2)</f>
        <v>Wk-18</v>
      </c>
      <c r="AL2" s="81" t="str">
        <f aca="false">"Wk-"&amp;WEEKNUM(AL$3,2)</f>
        <v>Wk-18</v>
      </c>
      <c r="AM2" s="81" t="str">
        <f aca="false">"Wk-"&amp;WEEKNUM(AM$3,2)</f>
        <v>Wk-18</v>
      </c>
      <c r="AN2" s="81" t="str">
        <f aca="false">"Wk-"&amp;WEEKNUM(AN$3,2)</f>
        <v>Wk-19</v>
      </c>
      <c r="AO2" s="81" t="str">
        <f aca="false">"Wk-"&amp;WEEKNUM(AO$3,2)</f>
        <v>Wk-19</v>
      </c>
      <c r="AP2" s="81" t="str">
        <f aca="false">"Wk-"&amp;WEEKNUM(AP$3,2)</f>
        <v>Wk-19</v>
      </c>
      <c r="AQ2" s="81" t="str">
        <f aca="false">"Wk-"&amp;WEEKNUM(AQ$3,2)</f>
        <v>Wk-19</v>
      </c>
      <c r="AR2" s="81" t="str">
        <f aca="false">"Wk-"&amp;WEEKNUM(AR$3,2)</f>
        <v>Wk-19</v>
      </c>
      <c r="AS2" s="81" t="str">
        <f aca="false">"Wk-"&amp;WEEKNUM(AS$3,2)</f>
        <v>Wk-19</v>
      </c>
      <c r="AT2" s="81" t="str">
        <f aca="false">"Wk-"&amp;WEEKNUM(AT$3,2)</f>
        <v>Wk-19</v>
      </c>
      <c r="AU2" s="81" t="str">
        <f aca="false">"Wk-"&amp;WEEKNUM(AU$3,2)</f>
        <v>Wk-20</v>
      </c>
      <c r="AV2" s="81" t="str">
        <f aca="false">"Wk-"&amp;WEEKNUM(AV$3,2)</f>
        <v>Wk-20</v>
      </c>
      <c r="AW2" s="81" t="str">
        <f aca="false">"Wk-"&amp;WEEKNUM(AW$3,2)</f>
        <v>Wk-20</v>
      </c>
      <c r="AX2" s="81" t="str">
        <f aca="false">"Wk-"&amp;WEEKNUM(AX$3,2)</f>
        <v>Wk-20</v>
      </c>
      <c r="AY2" s="81" t="str">
        <f aca="false">"Wk-"&amp;WEEKNUM(AY$3,2)</f>
        <v>Wk-20</v>
      </c>
      <c r="AZ2" s="81" t="str">
        <f aca="false">"Wk-"&amp;WEEKNUM(AZ$3,2)</f>
        <v>Wk-20</v>
      </c>
      <c r="BA2" s="81" t="str">
        <f aca="false">"Wk-"&amp;WEEKNUM(BA$3,2)</f>
        <v>Wk-20</v>
      </c>
      <c r="BB2" s="81" t="str">
        <f aca="false">"Wk-"&amp;WEEKNUM(BB$3,2)</f>
        <v>Wk-21</v>
      </c>
      <c r="BC2" s="81" t="str">
        <f aca="false">"Wk-"&amp;WEEKNUM(BC$3,2)</f>
        <v>Wk-21</v>
      </c>
      <c r="BD2" s="81" t="str">
        <f aca="false">"Wk-"&amp;WEEKNUM(BD$3,2)</f>
        <v>Wk-21</v>
      </c>
      <c r="BE2" s="81" t="str">
        <f aca="false">"Wk-"&amp;WEEKNUM(BE$3,2)</f>
        <v>Wk-21</v>
      </c>
      <c r="BF2" s="81" t="str">
        <f aca="false">"Wk-"&amp;WEEKNUM(BF$3,2)</f>
        <v>Wk-21</v>
      </c>
      <c r="BG2" s="81" t="str">
        <f aca="false">"Wk-"&amp;WEEKNUM(BG$3,2)</f>
        <v>Wk-21</v>
      </c>
      <c r="BH2" s="81" t="str">
        <f aca="false">"Wk-"&amp;WEEKNUM(BH$3,2)</f>
        <v>Wk-21</v>
      </c>
      <c r="BI2" s="81" t="str">
        <f aca="false">"Wk-"&amp;WEEKNUM(BI$3,2)</f>
        <v>Wk-22</v>
      </c>
      <c r="BJ2" s="81" t="str">
        <f aca="false">"Wk-"&amp;WEEKNUM(BJ$3,2)</f>
        <v>Wk-22</v>
      </c>
      <c r="BK2" s="81" t="str">
        <f aca="false">"Wk-"&amp;WEEKNUM(BK$3,2)</f>
        <v>Wk-22</v>
      </c>
      <c r="BL2" s="81" t="str">
        <f aca="false">"Wk-"&amp;WEEKNUM(BL$3,2)</f>
        <v>Wk-22</v>
      </c>
      <c r="BM2" s="81" t="str">
        <f aca="false">"Wk-"&amp;WEEKNUM(BM$3,2)</f>
        <v>Wk-22</v>
      </c>
      <c r="BN2" s="81" t="str">
        <f aca="false">"Wk-"&amp;WEEKNUM(BN$3,2)</f>
        <v>Wk-22</v>
      </c>
      <c r="BO2" s="81" t="str">
        <f aca="false">"Wk-"&amp;WEEKNUM(BO$3,2)</f>
        <v>Wk-53</v>
      </c>
      <c r="BP2" s="81" t="str">
        <f aca="false">"Wk-"&amp;WEEKNUM(BP$3,2)</f>
        <v>Wk-53</v>
      </c>
      <c r="BQ2" s="81" t="str">
        <f aca="false">"Wk-"&amp;WEEKNUM(BQ$3,2)</f>
        <v>Wk-53</v>
      </c>
      <c r="BR2" s="81" t="str">
        <f aca="false">"Wk-"&amp;WEEKNUM(BR$3,2)</f>
        <v>Wk-53</v>
      </c>
      <c r="BS2" s="81" t="str">
        <f aca="false">"Wk-"&amp;WEEKNUM(BS$3,2)</f>
        <v>Wk-53</v>
      </c>
      <c r="BT2" s="81" t="str">
        <f aca="false">"Wk-"&amp;WEEKNUM(BT$3,2)</f>
        <v>Wk-53</v>
      </c>
      <c r="BU2" s="81" t="str">
        <f aca="false">"Wk-"&amp;WEEKNUM(BU$3,2)</f>
        <v>Wk-53</v>
      </c>
      <c r="BV2" s="81" t="str">
        <f aca="false">"Wk-"&amp;WEEKNUM(BV$3,2)</f>
        <v>Wk-53</v>
      </c>
      <c r="BW2" s="81" t="str">
        <f aca="false">"Wk-"&amp;WEEKNUM(BW$3,2)</f>
        <v>Wk-53</v>
      </c>
      <c r="BX2" s="81" t="str">
        <f aca="false">"Wk-"&amp;WEEKNUM(BX$3,2)</f>
        <v>Wk-53</v>
      </c>
      <c r="BY2" s="81" t="str">
        <f aca="false">"Wk-"&amp;WEEKNUM(BY$3,2)</f>
        <v>Wk-53</v>
      </c>
      <c r="BZ2" s="81" t="str">
        <f aca="false">"Wk-"&amp;WEEKNUM(BZ$3,2)</f>
        <v>Wk-53</v>
      </c>
      <c r="CA2" s="81" t="str">
        <f aca="false">"Wk-"&amp;WEEKNUM(CA$3,2)</f>
        <v>Wk-53</v>
      </c>
      <c r="CB2" s="81" t="str">
        <f aca="false">"Wk-"&amp;WEEKNUM(CB$3,2)</f>
        <v>Wk-53</v>
      </c>
      <c r="CC2" s="81" t="str">
        <f aca="false">"Wk-"&amp;WEEKNUM(CC$3,2)</f>
        <v>Wk-53</v>
      </c>
      <c r="CD2" s="81" t="str">
        <f aca="false">"Wk-"&amp;WEEKNUM(CD$3,2)</f>
        <v>Wk-53</v>
      </c>
      <c r="CE2" s="81" t="str">
        <f aca="false">"Wk-"&amp;WEEKNUM(CE$3,2)</f>
        <v>Wk-53</v>
      </c>
      <c r="CF2" s="81" t="str">
        <f aca="false">"Wk-"&amp;WEEKNUM(CF$3,2)</f>
        <v>Wk-53</v>
      </c>
      <c r="CG2" s="81" t="str">
        <f aca="false">"Wk-"&amp;WEEKNUM(CG$3,2)</f>
        <v>Wk-53</v>
      </c>
      <c r="CH2" s="81" t="str">
        <f aca="false">"Wk-"&amp;WEEKNUM(CH$3,2)</f>
        <v>Wk-53</v>
      </c>
      <c r="CI2" s="81" t="str">
        <f aca="false">"Wk-"&amp;WEEKNUM(CI$3,2)</f>
        <v>Wk-53</v>
      </c>
      <c r="CJ2" s="81" t="str">
        <f aca="false">"Wk-"&amp;WEEKNUM(CJ$3,2)</f>
        <v>Wk-53</v>
      </c>
      <c r="CK2" s="81" t="str">
        <f aca="false">"Wk-"&amp;WEEKNUM(CK$3,2)</f>
        <v>Wk-53</v>
      </c>
      <c r="CL2" s="81" t="str">
        <f aca="false">"Wk-"&amp;WEEKNUM(CL$3,2)</f>
        <v>Wk-53</v>
      </c>
      <c r="CM2" s="81" t="str">
        <f aca="false">"Wk-"&amp;WEEKNUM(CM$3,2)</f>
        <v>Wk-53</v>
      </c>
      <c r="CN2" s="81" t="str">
        <f aca="false">"Wk-"&amp;WEEKNUM(CN$3,2)</f>
        <v>Wk-53</v>
      </c>
      <c r="CO2" s="81" t="str">
        <f aca="false">"Wk-"&amp;WEEKNUM(CO$3,2)</f>
        <v>Wk-53</v>
      </c>
      <c r="CP2" s="81" t="str">
        <f aca="false">"Wk-"&amp;WEEKNUM(CP$3,2)</f>
        <v>Wk-53</v>
      </c>
      <c r="CQ2" s="81" t="str">
        <f aca="false">"Wk-"&amp;WEEKNUM(CQ$3,2)</f>
        <v>Wk-53</v>
      </c>
      <c r="CR2" s="81" t="str">
        <f aca="false">"Wk-"&amp;WEEKNUM(CR$3,2)</f>
        <v>Wk-53</v>
      </c>
    </row>
    <row r="3" customFormat="false" ht="15" hidden="false" customHeight="true" outlineLevel="0" collapsed="false">
      <c r="A3" s="82" t="s">
        <v>31</v>
      </c>
      <c r="B3" s="82" t="s">
        <v>32</v>
      </c>
      <c r="C3" s="82" t="s">
        <v>33</v>
      </c>
      <c r="D3" s="82" t="s">
        <v>287</v>
      </c>
      <c r="E3" s="82" t="s">
        <v>288</v>
      </c>
      <c r="F3" s="82" t="s">
        <v>289</v>
      </c>
      <c r="G3" s="83" t="n">
        <v>46113</v>
      </c>
      <c r="H3" s="83" t="n">
        <v>46114</v>
      </c>
      <c r="I3" s="83" t="n">
        <v>46115</v>
      </c>
      <c r="J3" s="83" t="n">
        <v>46116</v>
      </c>
      <c r="K3" s="83" t="n">
        <v>46117</v>
      </c>
      <c r="L3" s="83" t="n">
        <v>46118</v>
      </c>
      <c r="M3" s="83" t="n">
        <v>46119</v>
      </c>
      <c r="N3" s="83" t="n">
        <v>46120</v>
      </c>
      <c r="O3" s="83" t="n">
        <v>46121</v>
      </c>
      <c r="P3" s="83" t="n">
        <v>46122</v>
      </c>
      <c r="Q3" s="83" t="n">
        <v>46123</v>
      </c>
      <c r="R3" s="83" t="n">
        <v>46124</v>
      </c>
      <c r="S3" s="83" t="n">
        <v>46125</v>
      </c>
      <c r="T3" s="83" t="n">
        <v>46126</v>
      </c>
      <c r="U3" s="83" t="n">
        <v>46127</v>
      </c>
      <c r="V3" s="83" t="n">
        <v>46128</v>
      </c>
      <c r="W3" s="83" t="n">
        <v>46129</v>
      </c>
      <c r="X3" s="83" t="n">
        <v>46130</v>
      </c>
      <c r="Y3" s="83" t="n">
        <v>46131</v>
      </c>
      <c r="Z3" s="83" t="n">
        <v>46132</v>
      </c>
      <c r="AA3" s="83" t="n">
        <v>46133</v>
      </c>
      <c r="AB3" s="83" t="n">
        <v>46134</v>
      </c>
      <c r="AC3" s="83" t="n">
        <v>46135</v>
      </c>
      <c r="AD3" s="83" t="n">
        <v>46136</v>
      </c>
      <c r="AE3" s="83" t="n">
        <v>46137</v>
      </c>
      <c r="AF3" s="83" t="n">
        <v>46138</v>
      </c>
      <c r="AG3" s="83" t="n">
        <v>46139</v>
      </c>
      <c r="AH3" s="83" t="n">
        <v>46140</v>
      </c>
      <c r="AI3" s="83" t="n">
        <v>46141</v>
      </c>
      <c r="AJ3" s="83" t="n">
        <v>46142</v>
      </c>
      <c r="AK3" s="83" t="n">
        <v>46143</v>
      </c>
      <c r="AL3" s="83" t="n">
        <v>46144</v>
      </c>
      <c r="AM3" s="83" t="n">
        <v>46145</v>
      </c>
      <c r="AN3" s="83" t="n">
        <v>46146</v>
      </c>
      <c r="AO3" s="83" t="n">
        <v>46147</v>
      </c>
      <c r="AP3" s="83" t="n">
        <v>46148</v>
      </c>
      <c r="AQ3" s="83" t="n">
        <v>46149</v>
      </c>
      <c r="AR3" s="83" t="n">
        <v>46150</v>
      </c>
      <c r="AS3" s="83" t="n">
        <v>46151</v>
      </c>
      <c r="AT3" s="83" t="n">
        <v>46152</v>
      </c>
      <c r="AU3" s="83" t="n">
        <v>46153</v>
      </c>
      <c r="AV3" s="83" t="n">
        <v>46154</v>
      </c>
      <c r="AW3" s="83" t="n">
        <v>46155</v>
      </c>
      <c r="AX3" s="83" t="n">
        <v>46156</v>
      </c>
      <c r="AY3" s="83" t="n">
        <v>46157</v>
      </c>
      <c r="AZ3" s="83" t="n">
        <v>46158</v>
      </c>
      <c r="BA3" s="83" t="n">
        <v>46159</v>
      </c>
      <c r="BB3" s="83" t="n">
        <v>46160</v>
      </c>
      <c r="BC3" s="83" t="n">
        <v>46161</v>
      </c>
      <c r="BD3" s="83" t="n">
        <v>46162</v>
      </c>
      <c r="BE3" s="83" t="n">
        <v>46163</v>
      </c>
      <c r="BF3" s="83" t="n">
        <v>46164</v>
      </c>
      <c r="BG3" s="83" t="n">
        <v>46165</v>
      </c>
      <c r="BH3" s="83" t="n">
        <v>46166</v>
      </c>
      <c r="BI3" s="83" t="n">
        <v>46167</v>
      </c>
      <c r="BJ3" s="83" t="n">
        <v>46168</v>
      </c>
      <c r="BK3" s="83" t="n">
        <v>46169</v>
      </c>
      <c r="BL3" s="83" t="n">
        <v>46170</v>
      </c>
      <c r="BM3" s="83" t="n">
        <v>46171</v>
      </c>
      <c r="BN3" s="83" t="n">
        <v>46172</v>
      </c>
    </row>
    <row r="4" customFormat="false" ht="15" hidden="false" customHeight="true" outlineLevel="0" collapsed="false">
      <c r="A4" s="4" t="str">
        <f aca="false">Machine_List!A4</f>
        <v>VTL</v>
      </c>
      <c r="B4" s="4" t="str">
        <f aca="false">Machine_List!B4</f>
        <v>VTL-MC-01</v>
      </c>
      <c r="C4" s="12" t="n">
        <f aca="false">Machine_List!C4</f>
        <v>46133</v>
      </c>
      <c r="D4" s="4" t="n">
        <f aca="false">Machine_List!D4</f>
        <v>6</v>
      </c>
      <c r="E4" s="4" t="n">
        <f aca="true">C4-TODAY()</f>
        <v>15</v>
      </c>
      <c r="F4" s="4" t="str">
        <f aca="false">IF(E4&lt;0,"OVERDUE",IF(E4&lt;=5,"DUE SOON","OK"))</f>
        <v>OK</v>
      </c>
      <c r="G4" s="84" t="str">
        <f aca="false">IF(INT(G$3)=INT($C4), TEXT($C4, "dd-mmm"), "")</f>
        <v/>
      </c>
      <c r="H4" s="84" t="str">
        <f aca="false">IF(INT(H$3)=INT($C4), TEXT($C4, "dd-mmm"), "")</f>
        <v/>
      </c>
      <c r="I4" s="84" t="str">
        <f aca="false">IF(INT(I$3)=INT($C4), TEXT($C4, "dd-mmm"), "")</f>
        <v/>
      </c>
      <c r="J4" s="84" t="str">
        <f aca="false">IF(INT(J$3)=INT($C4), TEXT($C4, "dd-mmm"), "")</f>
        <v/>
      </c>
      <c r="K4" s="84" t="str">
        <f aca="false">IF(INT(K$3)=INT($C4), TEXT($C4, "dd-mmm"), "")</f>
        <v/>
      </c>
      <c r="L4" s="84" t="str">
        <f aca="false">IF(INT(L$3)=INT($C4), TEXT($C4, "dd-mmm"), "")</f>
        <v/>
      </c>
      <c r="M4" s="84" t="str">
        <f aca="false">IF(INT(M$3)=INT($C4), TEXT($C4, "dd-mmm"), "")</f>
        <v/>
      </c>
      <c r="N4" s="84" t="str">
        <f aca="false">IF(INT(N$3)=INT($C4), TEXT($C4, "dd-mmm"), "")</f>
        <v/>
      </c>
      <c r="O4" s="84" t="str">
        <f aca="false">IF(INT(O$3)=INT($C4), TEXT($C4, "dd-mmm"), "")</f>
        <v/>
      </c>
      <c r="P4" s="84" t="str">
        <f aca="false">IF(INT(P$3)=INT($C4), TEXT($C4, "dd-mmm"), "")</f>
        <v/>
      </c>
      <c r="Q4" s="84" t="str">
        <f aca="false">IF(INT(Q$3)=INT($C4), TEXT($C4, "dd-mmm"), "")</f>
        <v/>
      </c>
      <c r="R4" s="84" t="str">
        <f aca="false">IF(INT(R$3)=INT($C4), TEXT($C4, "dd-mmm"), "")</f>
        <v/>
      </c>
      <c r="S4" s="84" t="str">
        <f aca="false">IF(INT(S$3)=INT($C4), TEXT($C4, "dd-mmm"), "")</f>
        <v/>
      </c>
      <c r="T4" s="84" t="str">
        <f aca="false">IF(INT(T$3)=INT($C4), TEXT($C4, "dd-mmm"), "")</f>
        <v/>
      </c>
      <c r="U4" s="84" t="str">
        <f aca="false">IF(INT(U$3)=INT($C4), TEXT($C4, "dd-mmm"), "")</f>
        <v/>
      </c>
      <c r="V4" s="84" t="str">
        <f aca="false">IF(INT(V$3)=INT($C4), TEXT($C4, "dd-mmm"), "")</f>
        <v/>
      </c>
      <c r="W4" s="84" t="str">
        <f aca="false">IF(INT(W$3)=INT($C4), TEXT($C4, "dd-mmm"), "")</f>
        <v/>
      </c>
      <c r="X4" s="84" t="str">
        <f aca="false">IF(INT(X$3)=INT($C4), TEXT($C4, "dd-mmm"), "")</f>
        <v/>
      </c>
      <c r="Y4" s="84" t="str">
        <f aca="false">IF(INT(Y$3)=INT($C4), TEXT($C4, "dd-mmm"), "")</f>
        <v/>
      </c>
      <c r="Z4" s="84" t="str">
        <f aca="false">IF(INT(Z$3)=INT($C4), TEXT($C4, "dd-mmm"), "")</f>
        <v/>
      </c>
      <c r="AA4" s="84" t="str">
        <f aca="false">IF(INT(AA$3)=INT($C4), TEXT($C4, "dd-mmm"), "")</f>
        <v>21-Apr</v>
      </c>
      <c r="AB4" s="84" t="str">
        <f aca="false">IF(INT(AB$3)=INT($C4), TEXT($C4, "dd-mmm"), "")</f>
        <v/>
      </c>
      <c r="AC4" s="84" t="str">
        <f aca="false">IF(INT(AC$3)=INT($C4), TEXT($C4, "dd-mmm"), "")</f>
        <v/>
      </c>
      <c r="AD4" s="84" t="str">
        <f aca="false">IF(INT(AD$3)=INT($C4), TEXT($C4, "dd-mmm"), "")</f>
        <v/>
      </c>
      <c r="AE4" s="84" t="str">
        <f aca="false">IF(INT(AE$3)=INT($C4), TEXT($C4, "dd-mmm"), "")</f>
        <v/>
      </c>
      <c r="AF4" s="84" t="str">
        <f aca="false">IF(INT(AF$3)=INT($C4), TEXT($C4, "dd-mmm"), "")</f>
        <v/>
      </c>
      <c r="AG4" s="84" t="str">
        <f aca="false">IF(INT(AG$3)=INT($C4), TEXT($C4, "dd-mmm"), "")</f>
        <v/>
      </c>
      <c r="AH4" s="84" t="str">
        <f aca="false">IF(INT(AH$3)=INT($C4), TEXT($C4, "dd-mmm"), "")</f>
        <v/>
      </c>
      <c r="AI4" s="84" t="str">
        <f aca="false">IF(INT(AI$3)=INT($C4), TEXT($C4, "dd-mmm"), "")</f>
        <v/>
      </c>
      <c r="AJ4" s="84" t="str">
        <f aca="false">IF(INT(AJ$3)=INT($C4), TEXT($C4, "dd-mmm"), "")</f>
        <v/>
      </c>
      <c r="AK4" s="84" t="str">
        <f aca="false">IF(INT(AK$3)=INT($C4), TEXT($C4, "dd-mmm"), "")</f>
        <v/>
      </c>
      <c r="AL4" s="84" t="str">
        <f aca="false">IF(INT(AL$3)=INT($C4), TEXT($C4, "dd-mmm"), "")</f>
        <v/>
      </c>
      <c r="AM4" s="84" t="str">
        <f aca="false">IF(INT(AM$3)=INT($C4), TEXT($C4, "dd-mmm"), "")</f>
        <v/>
      </c>
      <c r="AN4" s="84" t="str">
        <f aca="false">IF(INT(AN$3)=INT($C4), TEXT($C4, "dd-mmm"), "")</f>
        <v/>
      </c>
      <c r="AO4" s="84" t="str">
        <f aca="false">IF(INT(AO$3)=INT($C4), TEXT($C4, "dd-mmm"), "")</f>
        <v/>
      </c>
      <c r="AP4" s="84" t="str">
        <f aca="false">IF(INT(AP$3)=INT($C4), TEXT($C4, "dd-mmm"), "")</f>
        <v/>
      </c>
      <c r="AQ4" s="84" t="str">
        <f aca="false">IF(INT(AQ$3)=INT($C4), TEXT($C4, "dd-mmm"), "")</f>
        <v/>
      </c>
      <c r="AR4" s="84" t="str">
        <f aca="false">IF(INT(AR$3)=INT($C4), TEXT($C4, "dd-mmm"), "")</f>
        <v/>
      </c>
      <c r="AS4" s="84" t="str">
        <f aca="false">IF(INT(AS$3)=INT($C4), TEXT($C4, "dd-mmm"), "")</f>
        <v/>
      </c>
      <c r="AT4" s="84" t="str">
        <f aca="false">IF(INT(AT$3)=INT($C4), TEXT($C4, "dd-mmm"), "")</f>
        <v/>
      </c>
      <c r="AU4" s="84" t="str">
        <f aca="false">IF(INT(AU$3)=INT($C4), TEXT($C4, "dd-mmm"), "")</f>
        <v/>
      </c>
      <c r="AV4" s="84" t="str">
        <f aca="false">IF(INT(AV$3)=INT($C4), TEXT($C4, "dd-mmm"), "")</f>
        <v/>
      </c>
      <c r="AW4" s="84" t="str">
        <f aca="false">IF(INT(AW$3)=INT($C4), TEXT($C4, "dd-mmm"), "")</f>
        <v/>
      </c>
      <c r="AX4" s="84" t="str">
        <f aca="false">IF(INT(AX$3)=INT($C4), TEXT($C4, "dd-mmm"), "")</f>
        <v/>
      </c>
      <c r="AY4" s="84" t="str">
        <f aca="false">IF(INT(AY$3)=INT($C4), TEXT($C4, "dd-mmm"), "")</f>
        <v/>
      </c>
      <c r="AZ4" s="84" t="str">
        <f aca="false">IF(INT(AZ$3)=INT($C4), TEXT($C4, "dd-mmm"), "")</f>
        <v/>
      </c>
      <c r="BA4" s="84" t="str">
        <f aca="false">IF(INT(BA$3)=INT($C4), TEXT($C4, "dd-mmm"), "")</f>
        <v/>
      </c>
      <c r="BB4" s="84" t="str">
        <f aca="false">IF(INT(BB$3)=INT($C4), TEXT($C4, "dd-mmm"), "")</f>
        <v/>
      </c>
      <c r="BC4" s="84" t="str">
        <f aca="false">IF(INT(BC$3)=INT($C4), TEXT($C4, "dd-mmm"), "")</f>
        <v/>
      </c>
      <c r="BD4" s="84" t="str">
        <f aca="false">IF(INT(BD$3)=INT($C4), TEXT($C4, "dd-mmm"), "")</f>
        <v/>
      </c>
      <c r="BE4" s="84" t="str">
        <f aca="false">IF(INT(BE$3)=INT($C4), TEXT($C4, "dd-mmm"), "")</f>
        <v/>
      </c>
      <c r="BF4" s="84" t="str">
        <f aca="false">IF(INT(BF$3)=INT($C4), TEXT($C4, "dd-mmm"), "")</f>
        <v/>
      </c>
      <c r="BG4" s="84" t="str">
        <f aca="false">IF(INT(BG$3)=INT($C4), TEXT($C4, "dd-mmm"), "")</f>
        <v/>
      </c>
      <c r="BH4" s="84" t="str">
        <f aca="false">IF(INT(BH$3)=INT($C4), TEXT($C4, "dd-mmm"), "")</f>
        <v/>
      </c>
      <c r="BI4" s="84" t="str">
        <f aca="false">IF(INT(BI$3)=INT($C4), TEXT($C4, "dd-mmm"), "")</f>
        <v/>
      </c>
      <c r="BJ4" s="84" t="str">
        <f aca="false">IF(INT(BJ$3)=INT($C4), TEXT($C4, "dd-mmm"), "")</f>
        <v/>
      </c>
      <c r="BK4" s="84" t="str">
        <f aca="false">IF(INT(BK$3)=INT($C4), TEXT($C4, "dd-mmm"), "")</f>
        <v/>
      </c>
      <c r="BL4" s="84" t="str">
        <f aca="false">IF(INT(BL$3)=INT($C4), TEXT($C4, "dd-mmm"), "")</f>
        <v/>
      </c>
      <c r="BM4" s="84" t="str">
        <f aca="false">IF(INT(BM$3)=INT($C4), TEXT($C4, "dd-mmm"), "")</f>
        <v/>
      </c>
      <c r="BN4" s="84" t="str">
        <f aca="false">IF(INT(BN$3)=INT($C4), TEXT($C4, "dd-mmm"), "")</f>
        <v/>
      </c>
    </row>
    <row r="5" customFormat="false" ht="15" hidden="false" customHeight="true" outlineLevel="0" collapsed="false">
      <c r="A5" s="4" t="str">
        <f aca="false">Machine_List!A5</f>
        <v>VTL</v>
      </c>
      <c r="B5" s="4" t="str">
        <f aca="false">Machine_List!B5</f>
        <v>VTL-MC-02</v>
      </c>
      <c r="C5" s="12" t="n">
        <f aca="false">Machine_List!C5</f>
        <v>46521</v>
      </c>
      <c r="D5" s="4" t="n">
        <f aca="false">Machine_List!D5</f>
        <v>6</v>
      </c>
      <c r="E5" s="4" t="n">
        <f aca="true">C5-TODAY()</f>
        <v>403</v>
      </c>
      <c r="F5" s="4" t="str">
        <f aca="false">IF(E5&lt;0,"OVERDUE",IF(E5&lt;=5,"DUE SOON","OK"))</f>
        <v>OK</v>
      </c>
      <c r="G5" s="84" t="str">
        <f aca="false">IF(INT(G$3)=INT($C5), TEXT($C5, "dd-mmm"), "")</f>
        <v/>
      </c>
      <c r="H5" s="84" t="str">
        <f aca="false">IF(INT(H$3)=INT($C5), TEXT($C5, "dd-mmm"), "")</f>
        <v/>
      </c>
      <c r="I5" s="84" t="str">
        <f aca="false">IF(INT(I$3)=INT($C5), TEXT($C5, "dd-mmm"), "")</f>
        <v/>
      </c>
      <c r="J5" s="84" t="str">
        <f aca="false">IF(INT(J$3)=INT($C5), TEXT($C5, "dd-mmm"), "")</f>
        <v/>
      </c>
      <c r="K5" s="84" t="str">
        <f aca="false">IF(INT(K$3)=INT($C5), TEXT($C5, "dd-mmm"), "")</f>
        <v/>
      </c>
      <c r="L5" s="84" t="str">
        <f aca="false">IF(INT(L$3)=INT($C5), TEXT($C5, "dd-mmm"), "")</f>
        <v/>
      </c>
      <c r="M5" s="84" t="str">
        <f aca="false">IF(INT(M$3)=INT($C5), TEXT($C5, "dd-mmm"), "")</f>
        <v/>
      </c>
      <c r="N5" s="84" t="str">
        <f aca="false">IF(INT(N$3)=INT($C5), TEXT($C5, "dd-mmm"), "")</f>
        <v/>
      </c>
      <c r="O5" s="84" t="str">
        <f aca="false">IF(INT(O$3)=INT($C5), TEXT($C5, "dd-mmm"), "")</f>
        <v/>
      </c>
      <c r="P5" s="84" t="str">
        <f aca="false">IF(INT(P$3)=INT($C5), TEXT($C5, "dd-mmm"), "")</f>
        <v/>
      </c>
      <c r="Q5" s="84" t="str">
        <f aca="false">IF(INT(Q$3)=INT($C5), TEXT($C5, "dd-mmm"), "")</f>
        <v/>
      </c>
      <c r="R5" s="84" t="str">
        <f aca="false">IF(INT(R$3)=INT($C5), TEXT($C5, "dd-mmm"), "")</f>
        <v/>
      </c>
      <c r="S5" s="84" t="str">
        <f aca="false">IF(INT(S$3)=INT($C5), TEXT($C5, "dd-mmm"), "")</f>
        <v/>
      </c>
      <c r="T5" s="84" t="str">
        <f aca="false">IF(INT(T$3)=INT($C5), TEXT($C5, "dd-mmm"), "")</f>
        <v/>
      </c>
      <c r="U5" s="84" t="str">
        <f aca="false">IF(INT(U$3)=INT($C5), TEXT($C5, "dd-mmm"), "")</f>
        <v/>
      </c>
      <c r="V5" s="84" t="str">
        <f aca="false">IF(INT(V$3)=INT($C5), TEXT($C5, "dd-mmm"), "")</f>
        <v/>
      </c>
      <c r="W5" s="84" t="str">
        <f aca="false">IF(INT(W$3)=INT($C5), TEXT($C5, "dd-mmm"), "")</f>
        <v/>
      </c>
      <c r="X5" s="84" t="str">
        <f aca="false">IF(INT(X$3)=INT($C5), TEXT($C5, "dd-mmm"), "")</f>
        <v/>
      </c>
      <c r="Y5" s="84" t="str">
        <f aca="false">IF(INT(Y$3)=INT($C5), TEXT($C5, "dd-mmm"), "")</f>
        <v/>
      </c>
      <c r="Z5" s="84" t="str">
        <f aca="false">IF(INT(Z$3)=INT($C5), TEXT($C5, "dd-mmm"), "")</f>
        <v/>
      </c>
      <c r="AA5" s="84" t="str">
        <f aca="false">IF(INT(AA$3)=INT($C5), TEXT($C5, "dd-mmm"), "")</f>
        <v/>
      </c>
      <c r="AB5" s="84" t="str">
        <f aca="false">IF(INT(AB$3)=INT($C5), TEXT($C5, "dd-mmm"), "")</f>
        <v/>
      </c>
      <c r="AC5" s="84" t="str">
        <f aca="false">IF(INT(AC$3)=INT($C5), TEXT($C5, "dd-mmm"), "")</f>
        <v/>
      </c>
      <c r="AD5" s="84" t="str">
        <f aca="false">IF(INT(AD$3)=INT($C5), TEXT($C5, "dd-mmm"), "")</f>
        <v/>
      </c>
      <c r="AE5" s="84" t="str">
        <f aca="false">IF(INT(AE$3)=INT($C5), TEXT($C5, "dd-mmm"), "")</f>
        <v/>
      </c>
      <c r="AF5" s="84" t="str">
        <f aca="false">IF(INT(AF$3)=INT($C5), TEXT($C5, "dd-mmm"), "")</f>
        <v/>
      </c>
      <c r="AG5" s="84" t="str">
        <f aca="false">IF(INT(AG$3)=INT($C5), TEXT($C5, "dd-mmm"), "")</f>
        <v/>
      </c>
      <c r="AH5" s="84" t="str">
        <f aca="false">IF(INT(AH$3)=INT($C5), TEXT($C5, "dd-mmm"), "")</f>
        <v/>
      </c>
      <c r="AI5" s="84" t="str">
        <f aca="false">IF(INT(AI$3)=INT($C5), TEXT($C5, "dd-mmm"), "")</f>
        <v/>
      </c>
      <c r="AJ5" s="84" t="str">
        <f aca="false">IF(INT(AJ$3)=INT($C5), TEXT($C5, "dd-mmm"), "")</f>
        <v/>
      </c>
      <c r="AK5" s="84" t="str">
        <f aca="false">IF(INT(AK$3)=INT($C5), TEXT($C5, "dd-mmm"), "")</f>
        <v/>
      </c>
      <c r="AL5" s="84" t="str">
        <f aca="false">IF(INT(AL$3)=INT($C5), TEXT($C5, "dd-mmm"), "")</f>
        <v/>
      </c>
      <c r="AM5" s="84" t="str">
        <f aca="false">IF(INT(AM$3)=INT($C5), TEXT($C5, "dd-mmm"), "")</f>
        <v/>
      </c>
      <c r="AN5" s="84" t="str">
        <f aca="false">IF(INT(AN$3)=INT($C5), TEXT($C5, "dd-mmm"), "")</f>
        <v/>
      </c>
      <c r="AO5" s="84" t="str">
        <f aca="false">IF(INT(AO$3)=INT($C5), TEXT($C5, "dd-mmm"), "")</f>
        <v/>
      </c>
      <c r="AP5" s="84" t="str">
        <f aca="false">IF(INT(AP$3)=INT($C5), TEXT($C5, "dd-mmm"), "")</f>
        <v/>
      </c>
      <c r="AQ5" s="84" t="str">
        <f aca="false">IF(INT(AQ$3)=INT($C5), TEXT($C5, "dd-mmm"), "")</f>
        <v/>
      </c>
      <c r="AR5" s="84" t="str">
        <f aca="false">IF(INT(AR$3)=INT($C5), TEXT($C5, "dd-mmm"), "")</f>
        <v/>
      </c>
      <c r="AS5" s="84" t="str">
        <f aca="false">IF(INT(AS$3)=INT($C5), TEXT($C5, "dd-mmm"), "")</f>
        <v/>
      </c>
      <c r="AT5" s="84" t="str">
        <f aca="false">IF(INT(AT$3)=INT($C5), TEXT($C5, "dd-mmm"), "")</f>
        <v/>
      </c>
      <c r="AU5" s="84" t="str">
        <f aca="false">IF(INT(AU$3)=INT($C5), TEXT($C5, "dd-mmm"), "")</f>
        <v/>
      </c>
      <c r="AV5" s="84" t="str">
        <f aca="false">IF(INT(AV$3)=INT($C5), TEXT($C5, "dd-mmm"), "")</f>
        <v/>
      </c>
      <c r="AW5" s="84" t="str">
        <f aca="false">IF(INT(AW$3)=INT($C5), TEXT($C5, "dd-mmm"), "")</f>
        <v/>
      </c>
      <c r="AX5" s="84" t="str">
        <f aca="false">IF(INT(AX$3)=INT($C5), TEXT($C5, "dd-mmm"), "")</f>
        <v/>
      </c>
      <c r="AY5" s="84" t="str">
        <f aca="false">IF(INT(AY$3)=INT($C5), TEXT($C5, "dd-mmm"), "")</f>
        <v/>
      </c>
      <c r="AZ5" s="84" t="str">
        <f aca="false">IF(INT(AZ$3)=INT($C5), TEXT($C5, "dd-mmm"), "")</f>
        <v/>
      </c>
      <c r="BA5" s="84" t="str">
        <f aca="false">IF(INT(BA$3)=INT($C5), TEXT($C5, "dd-mmm"), "")</f>
        <v/>
      </c>
      <c r="BB5" s="84" t="str">
        <f aca="false">IF(INT(BB$3)=INT($C5), TEXT($C5, "dd-mmm"), "")</f>
        <v/>
      </c>
      <c r="BC5" s="84" t="str">
        <f aca="false">IF(INT(BC$3)=INT($C5), TEXT($C5, "dd-mmm"), "")</f>
        <v/>
      </c>
      <c r="BD5" s="84" t="str">
        <f aca="false">IF(INT(BD$3)=INT($C5), TEXT($C5, "dd-mmm"), "")</f>
        <v/>
      </c>
      <c r="BE5" s="84" t="str">
        <f aca="false">IF(INT(BE$3)=INT($C5), TEXT($C5, "dd-mmm"), "")</f>
        <v/>
      </c>
      <c r="BF5" s="84" t="str">
        <f aca="false">IF(INT(BF$3)=INT($C5), TEXT($C5, "dd-mmm"), "")</f>
        <v/>
      </c>
      <c r="BG5" s="84" t="str">
        <f aca="false">IF(INT(BG$3)=INT($C5), TEXT($C5, "dd-mmm"), "")</f>
        <v/>
      </c>
      <c r="BH5" s="84" t="str">
        <f aca="false">IF(INT(BH$3)=INT($C5), TEXT($C5, "dd-mmm"), "")</f>
        <v/>
      </c>
      <c r="BI5" s="84" t="str">
        <f aca="false">IF(INT(BI$3)=INT($C5), TEXT($C5, "dd-mmm"), "")</f>
        <v/>
      </c>
      <c r="BJ5" s="84" t="str">
        <f aca="false">IF(INT(BJ$3)=INT($C5), TEXT($C5, "dd-mmm"), "")</f>
        <v/>
      </c>
      <c r="BK5" s="84" t="str">
        <f aca="false">IF(INT(BK$3)=INT($C5), TEXT($C5, "dd-mmm"), "")</f>
        <v/>
      </c>
      <c r="BL5" s="84" t="str">
        <f aca="false">IF(INT(BL$3)=INT($C5), TEXT($C5, "dd-mmm"), "")</f>
        <v/>
      </c>
      <c r="BM5" s="84" t="str">
        <f aca="false">IF(INT(BM$3)=INT($C5), TEXT($C5, "dd-mmm"), "")</f>
        <v/>
      </c>
      <c r="BN5" s="84" t="str">
        <f aca="false">IF(INT(BN$3)=INT($C5), TEXT($C5, "dd-mmm"), "")</f>
        <v/>
      </c>
    </row>
    <row r="6" customFormat="false" ht="15" hidden="false" customHeight="true" outlineLevel="0" collapsed="false">
      <c r="A6" s="4" t="str">
        <f aca="false">Machine_List!A6</f>
        <v>VTL</v>
      </c>
      <c r="B6" s="4" t="str">
        <f aca="false">Machine_List!B6</f>
        <v>VTL-MC-03</v>
      </c>
      <c r="C6" s="12" t="n">
        <f aca="false">Machine_List!C6</f>
        <v>46174</v>
      </c>
      <c r="D6" s="4" t="n">
        <f aca="false">Machine_List!D6</f>
        <v>6</v>
      </c>
      <c r="E6" s="4" t="n">
        <f aca="true">C6-TODAY()</f>
        <v>56</v>
      </c>
      <c r="F6" s="4" t="str">
        <f aca="false">IF(E6&lt;0,"OVERDUE",IF(E6&lt;=5,"DUE SOON","OK"))</f>
        <v>OK</v>
      </c>
      <c r="G6" s="84" t="str">
        <f aca="false">IF(INT(G$3)=INT($C6), TEXT($C6, "dd-mmm"), "")</f>
        <v/>
      </c>
      <c r="H6" s="84" t="str">
        <f aca="false">IF(INT(H$3)=INT($C6), TEXT($C6, "dd-mmm"), "")</f>
        <v/>
      </c>
      <c r="I6" s="84" t="str">
        <f aca="false">IF(INT(I$3)=INT($C6), TEXT($C6, "dd-mmm"), "")</f>
        <v/>
      </c>
      <c r="J6" s="84" t="str">
        <f aca="false">IF(INT(J$3)=INT($C6), TEXT($C6, "dd-mmm"), "")</f>
        <v/>
      </c>
      <c r="K6" s="84" t="str">
        <f aca="false">IF(INT(K$3)=INT($C6), TEXT($C6, "dd-mmm"), "")</f>
        <v/>
      </c>
      <c r="L6" s="84" t="str">
        <f aca="false">IF(INT(L$3)=INT($C6), TEXT($C6, "dd-mmm"), "")</f>
        <v/>
      </c>
      <c r="M6" s="84" t="str">
        <f aca="false">IF(INT(M$3)=INT($C6), TEXT($C6, "dd-mmm"), "")</f>
        <v/>
      </c>
      <c r="N6" s="84" t="str">
        <f aca="false">IF(INT(N$3)=INT($C6), TEXT($C6, "dd-mmm"), "")</f>
        <v/>
      </c>
      <c r="O6" s="84" t="str">
        <f aca="false">IF(INT(O$3)=INT($C6), TEXT($C6, "dd-mmm"), "")</f>
        <v/>
      </c>
      <c r="P6" s="84" t="str">
        <f aca="false">IF(INT(P$3)=INT($C6), TEXT($C6, "dd-mmm"), "")</f>
        <v/>
      </c>
      <c r="Q6" s="84" t="str">
        <f aca="false">IF(INT(Q$3)=INT($C6), TEXT($C6, "dd-mmm"), "")</f>
        <v/>
      </c>
      <c r="R6" s="84" t="str">
        <f aca="false">IF(INT(R$3)=INT($C6), TEXT($C6, "dd-mmm"), "")</f>
        <v/>
      </c>
      <c r="S6" s="84" t="str">
        <f aca="false">IF(INT(S$3)=INT($C6), TEXT($C6, "dd-mmm"), "")</f>
        <v/>
      </c>
      <c r="T6" s="84" t="str">
        <f aca="false">IF(INT(T$3)=INT($C6), TEXT($C6, "dd-mmm"), "")</f>
        <v/>
      </c>
      <c r="U6" s="84" t="str">
        <f aca="false">IF(INT(U$3)=INT($C6), TEXT($C6, "dd-mmm"), "")</f>
        <v/>
      </c>
      <c r="V6" s="84" t="str">
        <f aca="false">IF(INT(V$3)=INT($C6), TEXT($C6, "dd-mmm"), "")</f>
        <v/>
      </c>
      <c r="W6" s="84" t="str">
        <f aca="false">IF(INT(W$3)=INT($C6), TEXT($C6, "dd-mmm"), "")</f>
        <v/>
      </c>
      <c r="X6" s="84" t="str">
        <f aca="false">IF(INT(X$3)=INT($C6), TEXT($C6, "dd-mmm"), "")</f>
        <v/>
      </c>
      <c r="Y6" s="84" t="str">
        <f aca="false">IF(INT(Y$3)=INT($C6), TEXT($C6, "dd-mmm"), "")</f>
        <v/>
      </c>
      <c r="Z6" s="84" t="str">
        <f aca="false">IF(INT(Z$3)=INT($C6), TEXT($C6, "dd-mmm"), "")</f>
        <v/>
      </c>
      <c r="AA6" s="84" t="str">
        <f aca="false">IF(INT(AA$3)=INT($C6), TEXT($C6, "dd-mmm"), "")</f>
        <v/>
      </c>
      <c r="AB6" s="84" t="str">
        <f aca="false">IF(INT(AB$3)=INT($C6), TEXT($C6, "dd-mmm"), "")</f>
        <v/>
      </c>
      <c r="AC6" s="84" t="str">
        <f aca="false">IF(INT(AC$3)=INT($C6), TEXT($C6, "dd-mmm"), "")</f>
        <v/>
      </c>
      <c r="AD6" s="84" t="str">
        <f aca="false">IF(INT(AD$3)=INT($C6), TEXT($C6, "dd-mmm"), "")</f>
        <v/>
      </c>
      <c r="AE6" s="84" t="str">
        <f aca="false">IF(INT(AE$3)=INT($C6), TEXT($C6, "dd-mmm"), "")</f>
        <v/>
      </c>
      <c r="AF6" s="84" t="str">
        <f aca="false">IF(INT(AF$3)=INT($C6), TEXT($C6, "dd-mmm"), "")</f>
        <v/>
      </c>
      <c r="AG6" s="84" t="str">
        <f aca="false">IF(INT(AG$3)=INT($C6), TEXT($C6, "dd-mmm"), "")</f>
        <v/>
      </c>
      <c r="AH6" s="84" t="str">
        <f aca="false">IF(INT(AH$3)=INT($C6), TEXT($C6, "dd-mmm"), "")</f>
        <v/>
      </c>
      <c r="AI6" s="84" t="str">
        <f aca="false">IF(INT(AI$3)=INT($C6), TEXT($C6, "dd-mmm"), "")</f>
        <v/>
      </c>
      <c r="AJ6" s="84" t="str">
        <f aca="false">IF(INT(AJ$3)=INT($C6), TEXT($C6, "dd-mmm"), "")</f>
        <v/>
      </c>
      <c r="AK6" s="84" t="str">
        <f aca="false">IF(INT(AK$3)=INT($C6), TEXT($C6, "dd-mmm"), "")</f>
        <v/>
      </c>
      <c r="AL6" s="84" t="str">
        <f aca="false">IF(INT(AL$3)=INT($C6), TEXT($C6, "dd-mmm"), "")</f>
        <v/>
      </c>
      <c r="AM6" s="84" t="str">
        <f aca="false">IF(INT(AM$3)=INT($C6), TEXT($C6, "dd-mmm"), "")</f>
        <v/>
      </c>
      <c r="AN6" s="84" t="str">
        <f aca="false">IF(INT(AN$3)=INT($C6), TEXT($C6, "dd-mmm"), "")</f>
        <v/>
      </c>
      <c r="AO6" s="84" t="str">
        <f aca="false">IF(INT(AO$3)=INT($C6), TEXT($C6, "dd-mmm"), "")</f>
        <v/>
      </c>
      <c r="AP6" s="84" t="str">
        <f aca="false">IF(INT(AP$3)=INT($C6), TEXT($C6, "dd-mmm"), "")</f>
        <v/>
      </c>
      <c r="AQ6" s="84" t="str">
        <f aca="false">IF(INT(AQ$3)=INT($C6), TEXT($C6, "dd-mmm"), "")</f>
        <v/>
      </c>
      <c r="AR6" s="84" t="str">
        <f aca="false">IF(INT(AR$3)=INT($C6), TEXT($C6, "dd-mmm"), "")</f>
        <v/>
      </c>
      <c r="AS6" s="84" t="str">
        <f aca="false">IF(INT(AS$3)=INT($C6), TEXT($C6, "dd-mmm"), "")</f>
        <v/>
      </c>
      <c r="AT6" s="84" t="str">
        <f aca="false">IF(INT(AT$3)=INT($C6), TEXT($C6, "dd-mmm"), "")</f>
        <v/>
      </c>
      <c r="AU6" s="84" t="str">
        <f aca="false">IF(INT(AU$3)=INT($C6), TEXT($C6, "dd-mmm"), "")</f>
        <v/>
      </c>
      <c r="AV6" s="84" t="str">
        <f aca="false">IF(INT(AV$3)=INT($C6), TEXT($C6, "dd-mmm"), "")</f>
        <v/>
      </c>
      <c r="AW6" s="84" t="str">
        <f aca="false">IF(INT(AW$3)=INT($C6), TEXT($C6, "dd-mmm"), "")</f>
        <v/>
      </c>
      <c r="AX6" s="84" t="str">
        <f aca="false">IF(INT(AX$3)=INT($C6), TEXT($C6, "dd-mmm"), "")</f>
        <v/>
      </c>
      <c r="AY6" s="84" t="str">
        <f aca="false">IF(INT(AY$3)=INT($C6), TEXT($C6, "dd-mmm"), "")</f>
        <v/>
      </c>
      <c r="AZ6" s="84" t="str">
        <f aca="false">IF(INT(AZ$3)=INT($C6), TEXT($C6, "dd-mmm"), "")</f>
        <v/>
      </c>
      <c r="BA6" s="84" t="str">
        <f aca="false">IF(INT(BA$3)=INT($C6), TEXT($C6, "dd-mmm"), "")</f>
        <v/>
      </c>
      <c r="BB6" s="84" t="str">
        <f aca="false">IF(INT(BB$3)=INT($C6), TEXT($C6, "dd-mmm"), "")</f>
        <v/>
      </c>
      <c r="BC6" s="84" t="str">
        <f aca="false">IF(INT(BC$3)=INT($C6), TEXT($C6, "dd-mmm"), "")</f>
        <v/>
      </c>
      <c r="BD6" s="84" t="str">
        <f aca="false">IF(INT(BD$3)=INT($C6), TEXT($C6, "dd-mmm"), "")</f>
        <v/>
      </c>
      <c r="BE6" s="84" t="str">
        <f aca="false">IF(INT(BE$3)=INT($C6), TEXT($C6, "dd-mmm"), "")</f>
        <v/>
      </c>
      <c r="BF6" s="84" t="str">
        <f aca="false">IF(INT(BF$3)=INT($C6), TEXT($C6, "dd-mmm"), "")</f>
        <v/>
      </c>
      <c r="BG6" s="84" t="str">
        <f aca="false">IF(INT(BG$3)=INT($C6), TEXT($C6, "dd-mmm"), "")</f>
        <v/>
      </c>
      <c r="BH6" s="84" t="str">
        <f aca="false">IF(INT(BH$3)=INT($C6), TEXT($C6, "dd-mmm"), "")</f>
        <v/>
      </c>
      <c r="BI6" s="84" t="str">
        <f aca="false">IF(INT(BI$3)=INT($C6), TEXT($C6, "dd-mmm"), "")</f>
        <v/>
      </c>
      <c r="BJ6" s="84" t="str">
        <f aca="false">IF(INT(BJ$3)=INT($C6), TEXT($C6, "dd-mmm"), "")</f>
        <v/>
      </c>
      <c r="BK6" s="84" t="str">
        <f aca="false">IF(INT(BK$3)=INT($C6), TEXT($C6, "dd-mmm"), "")</f>
        <v/>
      </c>
      <c r="BL6" s="84" t="str">
        <f aca="false">IF(INT(BL$3)=INT($C6), TEXT($C6, "dd-mmm"), "")</f>
        <v/>
      </c>
      <c r="BM6" s="84" t="str">
        <f aca="false">IF(INT(BM$3)=INT($C6), TEXT($C6, "dd-mmm"), "")</f>
        <v/>
      </c>
      <c r="BN6" s="84" t="str">
        <f aca="false">IF(INT(BN$3)=INT($C6), TEXT($C6, "dd-mmm"), "")</f>
        <v/>
      </c>
    </row>
    <row r="7" customFormat="false" ht="15" hidden="false" customHeight="true" outlineLevel="0" collapsed="false">
      <c r="A7" s="4" t="str">
        <f aca="false">Machine_List!A7</f>
        <v>VTL</v>
      </c>
      <c r="B7" s="4" t="str">
        <f aca="false">Machine_List!B7</f>
        <v>VTL-MC-04</v>
      </c>
      <c r="C7" s="12" t="n">
        <f aca="false">Machine_List!C7</f>
        <v>46517</v>
      </c>
      <c r="D7" s="4" t="n">
        <f aca="false">Machine_List!D7</f>
        <v>6</v>
      </c>
      <c r="E7" s="4" t="n">
        <f aca="true">C7-TODAY()</f>
        <v>399</v>
      </c>
      <c r="F7" s="4" t="str">
        <f aca="false">IF(E7&lt;0,"OVERDUE",IF(E7&lt;=5,"DUE SOON","OK"))</f>
        <v>OK</v>
      </c>
      <c r="G7" s="84" t="str">
        <f aca="false">IF(INT(G$3)=INT($C7), TEXT($C7, "dd-mmm"), "")</f>
        <v/>
      </c>
      <c r="H7" s="84" t="str">
        <f aca="false">IF(INT(H$3)=INT($C7), TEXT($C7, "dd-mmm"), "")</f>
        <v/>
      </c>
      <c r="I7" s="84" t="str">
        <f aca="false">IF(INT(I$3)=INT($C7), TEXT($C7, "dd-mmm"), "")</f>
        <v/>
      </c>
      <c r="J7" s="84" t="str">
        <f aca="false">IF(INT(J$3)=INT($C7), TEXT($C7, "dd-mmm"), "")</f>
        <v/>
      </c>
      <c r="K7" s="84" t="str">
        <f aca="false">IF(INT(K$3)=INT($C7), TEXT($C7, "dd-mmm"), "")</f>
        <v/>
      </c>
      <c r="L7" s="84" t="str">
        <f aca="false">IF(INT(L$3)=INT($C7), TEXT($C7, "dd-mmm"), "")</f>
        <v/>
      </c>
      <c r="M7" s="84" t="str">
        <f aca="false">IF(INT(M$3)=INT($C7), TEXT($C7, "dd-mmm"), "")</f>
        <v/>
      </c>
      <c r="N7" s="84" t="str">
        <f aca="false">IF(INT(N$3)=INT($C7), TEXT($C7, "dd-mmm"), "")</f>
        <v/>
      </c>
      <c r="O7" s="84" t="str">
        <f aca="false">IF(INT(O$3)=INT($C7), TEXT($C7, "dd-mmm"), "")</f>
        <v/>
      </c>
      <c r="P7" s="84" t="str">
        <f aca="false">IF(INT(P$3)=INT($C7), TEXT($C7, "dd-mmm"), "")</f>
        <v/>
      </c>
      <c r="Q7" s="84" t="str">
        <f aca="false">IF(INT(Q$3)=INT($C7), TEXT($C7, "dd-mmm"), "")</f>
        <v/>
      </c>
      <c r="R7" s="84" t="str">
        <f aca="false">IF(INT(R$3)=INT($C7), TEXT($C7, "dd-mmm"), "")</f>
        <v/>
      </c>
      <c r="S7" s="84" t="str">
        <f aca="false">IF(INT(S$3)=INT($C7), TEXT($C7, "dd-mmm"), "")</f>
        <v/>
      </c>
      <c r="T7" s="84" t="str">
        <f aca="false">IF(INT(T$3)=INT($C7), TEXT($C7, "dd-mmm"), "")</f>
        <v/>
      </c>
      <c r="U7" s="84" t="str">
        <f aca="false">IF(INT(U$3)=INT($C7), TEXT($C7, "dd-mmm"), "")</f>
        <v/>
      </c>
      <c r="V7" s="84" t="str">
        <f aca="false">IF(INT(V$3)=INT($C7), TEXT($C7, "dd-mmm"), "")</f>
        <v/>
      </c>
      <c r="W7" s="84" t="str">
        <f aca="false">IF(INT(W$3)=INT($C7), TEXT($C7, "dd-mmm"), "")</f>
        <v/>
      </c>
      <c r="X7" s="84" t="str">
        <f aca="false">IF(INT(X$3)=INT($C7), TEXT($C7, "dd-mmm"), "")</f>
        <v/>
      </c>
      <c r="Y7" s="84" t="str">
        <f aca="false">IF(INT(Y$3)=INT($C7), TEXT($C7, "dd-mmm"), "")</f>
        <v/>
      </c>
      <c r="Z7" s="84" t="str">
        <f aca="false">IF(INT(Z$3)=INT($C7), TEXT($C7, "dd-mmm"), "")</f>
        <v/>
      </c>
      <c r="AA7" s="84" t="str">
        <f aca="false">IF(INT(AA$3)=INT($C7), TEXT($C7, "dd-mmm"), "")</f>
        <v/>
      </c>
      <c r="AB7" s="84" t="str">
        <f aca="false">IF(INT(AB$3)=INT($C7), TEXT($C7, "dd-mmm"), "")</f>
        <v/>
      </c>
      <c r="AC7" s="84" t="str">
        <f aca="false">IF(INT(AC$3)=INT($C7), TEXT($C7, "dd-mmm"), "")</f>
        <v/>
      </c>
      <c r="AD7" s="84" t="str">
        <f aca="false">IF(INT(AD$3)=INT($C7), TEXT($C7, "dd-mmm"), "")</f>
        <v/>
      </c>
      <c r="AE7" s="84" t="str">
        <f aca="false">IF(INT(AE$3)=INT($C7), TEXT($C7, "dd-mmm"), "")</f>
        <v/>
      </c>
      <c r="AF7" s="84" t="str">
        <f aca="false">IF(INT(AF$3)=INT($C7), TEXT($C7, "dd-mmm"), "")</f>
        <v/>
      </c>
      <c r="AG7" s="84" t="str">
        <f aca="false">IF(INT(AG$3)=INT($C7), TEXT($C7, "dd-mmm"), "")</f>
        <v/>
      </c>
      <c r="AH7" s="84" t="str">
        <f aca="false">IF(INT(AH$3)=INT($C7), TEXT($C7, "dd-mmm"), "")</f>
        <v/>
      </c>
      <c r="AI7" s="84" t="str">
        <f aca="false">IF(INT(AI$3)=INT($C7), TEXT($C7, "dd-mmm"), "")</f>
        <v/>
      </c>
      <c r="AJ7" s="84" t="str">
        <f aca="false">IF(INT(AJ$3)=INT($C7), TEXT($C7, "dd-mmm"), "")</f>
        <v/>
      </c>
      <c r="AK7" s="84" t="str">
        <f aca="false">IF(INT(AK$3)=INT($C7), TEXT($C7, "dd-mmm"), "")</f>
        <v/>
      </c>
      <c r="AL7" s="84" t="str">
        <f aca="false">IF(INT(AL$3)=INT($C7), TEXT($C7, "dd-mmm"), "")</f>
        <v/>
      </c>
      <c r="AM7" s="84" t="str">
        <f aca="false">IF(INT(AM$3)=INT($C7), TEXT($C7, "dd-mmm"), "")</f>
        <v/>
      </c>
      <c r="AN7" s="84" t="str">
        <f aca="false">IF(INT(AN$3)=INT($C7), TEXT($C7, "dd-mmm"), "")</f>
        <v/>
      </c>
      <c r="AO7" s="84" t="str">
        <f aca="false">IF(INT(AO$3)=INT($C7), TEXT($C7, "dd-mmm"), "")</f>
        <v/>
      </c>
      <c r="AP7" s="84" t="str">
        <f aca="false">IF(INT(AP$3)=INT($C7), TEXT($C7, "dd-mmm"), "")</f>
        <v/>
      </c>
      <c r="AQ7" s="84" t="str">
        <f aca="false">IF(INT(AQ$3)=INT($C7), TEXT($C7, "dd-mmm"), "")</f>
        <v/>
      </c>
      <c r="AR7" s="84" t="str">
        <f aca="false">IF(INT(AR$3)=INT($C7), TEXT($C7, "dd-mmm"), "")</f>
        <v/>
      </c>
      <c r="AS7" s="84" t="str">
        <f aca="false">IF(INT(AS$3)=INT($C7), TEXT($C7, "dd-mmm"), "")</f>
        <v/>
      </c>
      <c r="AT7" s="84" t="str">
        <f aca="false">IF(INT(AT$3)=INT($C7), TEXT($C7, "dd-mmm"), "")</f>
        <v/>
      </c>
      <c r="AU7" s="84" t="str">
        <f aca="false">IF(INT(AU$3)=INT($C7), TEXT($C7, "dd-mmm"), "")</f>
        <v/>
      </c>
      <c r="AV7" s="84" t="str">
        <f aca="false">IF(INT(AV$3)=INT($C7), TEXT($C7, "dd-mmm"), "")</f>
        <v/>
      </c>
      <c r="AW7" s="84" t="str">
        <f aca="false">IF(INT(AW$3)=INT($C7), TEXT($C7, "dd-mmm"), "")</f>
        <v/>
      </c>
      <c r="AX7" s="84" t="str">
        <f aca="false">IF(INT(AX$3)=INT($C7), TEXT($C7, "dd-mmm"), "")</f>
        <v/>
      </c>
      <c r="AY7" s="84" t="str">
        <f aca="false">IF(INT(AY$3)=INT($C7), TEXT($C7, "dd-mmm"), "")</f>
        <v/>
      </c>
      <c r="AZ7" s="84" t="str">
        <f aca="false">IF(INT(AZ$3)=INT($C7), TEXT($C7, "dd-mmm"), "")</f>
        <v/>
      </c>
      <c r="BA7" s="84" t="str">
        <f aca="false">IF(INT(BA$3)=INT($C7), TEXT($C7, "dd-mmm"), "")</f>
        <v/>
      </c>
      <c r="BB7" s="84" t="str">
        <f aca="false">IF(INT(BB$3)=INT($C7), TEXT($C7, "dd-mmm"), "")</f>
        <v/>
      </c>
      <c r="BC7" s="84" t="str">
        <f aca="false">IF(INT(BC$3)=INT($C7), TEXT($C7, "dd-mmm"), "")</f>
        <v/>
      </c>
      <c r="BD7" s="84" t="str">
        <f aca="false">IF(INT(BD$3)=INT($C7), TEXT($C7, "dd-mmm"), "")</f>
        <v/>
      </c>
      <c r="BE7" s="84" t="str">
        <f aca="false">IF(INT(BE$3)=INT($C7), TEXT($C7, "dd-mmm"), "")</f>
        <v/>
      </c>
      <c r="BF7" s="84" t="str">
        <f aca="false">IF(INT(BF$3)=INT($C7), TEXT($C7, "dd-mmm"), "")</f>
        <v/>
      </c>
      <c r="BG7" s="84" t="str">
        <f aca="false">IF(INT(BG$3)=INT($C7), TEXT($C7, "dd-mmm"), "")</f>
        <v/>
      </c>
      <c r="BH7" s="84" t="str">
        <f aca="false">IF(INT(BH$3)=INT($C7), TEXT($C7, "dd-mmm"), "")</f>
        <v/>
      </c>
      <c r="BI7" s="84" t="str">
        <f aca="false">IF(INT(BI$3)=INT($C7), TEXT($C7, "dd-mmm"), "")</f>
        <v/>
      </c>
      <c r="BJ7" s="84" t="str">
        <f aca="false">IF(INT(BJ$3)=INT($C7), TEXT($C7, "dd-mmm"), "")</f>
        <v/>
      </c>
      <c r="BK7" s="84" t="str">
        <f aca="false">IF(INT(BK$3)=INT($C7), TEXT($C7, "dd-mmm"), "")</f>
        <v/>
      </c>
      <c r="BL7" s="84" t="str">
        <f aca="false">IF(INT(BL$3)=INT($C7), TEXT($C7, "dd-mmm"), "")</f>
        <v/>
      </c>
      <c r="BM7" s="84" t="str">
        <f aca="false">IF(INT(BM$3)=INT($C7), TEXT($C7, "dd-mmm"), "")</f>
        <v/>
      </c>
      <c r="BN7" s="84" t="str">
        <f aca="false">IF(INT(BN$3)=INT($C7), TEXT($C7, "dd-mmm"), "")</f>
        <v/>
      </c>
    </row>
    <row r="8" customFormat="false" ht="15" hidden="false" customHeight="true" outlineLevel="0" collapsed="false">
      <c r="A8" s="4" t="str">
        <f aca="false">Machine_List!A8</f>
        <v>SPM</v>
      </c>
      <c r="B8" s="4" t="str">
        <f aca="false">Machine_List!B8</f>
        <v>SPM-MC-01</v>
      </c>
      <c r="C8" s="12" t="n">
        <f aca="false">Machine_List!C8</f>
        <v>46285</v>
      </c>
      <c r="D8" s="4" t="n">
        <f aca="false">Machine_List!D8</f>
        <v>6</v>
      </c>
      <c r="E8" s="4" t="n">
        <f aca="true">C8-TODAY()</f>
        <v>167</v>
      </c>
      <c r="F8" s="4" t="str">
        <f aca="false">IF(E8&lt;0,"OVERDUE",IF(E8&lt;=5,"DUE SOON","OK"))</f>
        <v>OK</v>
      </c>
      <c r="G8" s="84" t="str">
        <f aca="false">IF(INT(G$3)=INT($C8), TEXT($C8, "dd-mmm"), "")</f>
        <v/>
      </c>
      <c r="H8" s="84" t="str">
        <f aca="false">IF(INT(H$3)=INT($C8), TEXT($C8, "dd-mmm"), "")</f>
        <v/>
      </c>
      <c r="I8" s="84" t="str">
        <f aca="false">IF(INT(I$3)=INT($C8), TEXT($C8, "dd-mmm"), "")</f>
        <v/>
      </c>
      <c r="J8" s="84" t="str">
        <f aca="false">IF(INT(J$3)=INT($C8), TEXT($C8, "dd-mmm"), "")</f>
        <v/>
      </c>
      <c r="K8" s="84" t="str">
        <f aca="false">IF(INT(K$3)=INT($C8), TEXT($C8, "dd-mmm"), "")</f>
        <v/>
      </c>
      <c r="L8" s="84" t="str">
        <f aca="false">IF(INT(L$3)=INT($C8), TEXT($C8, "dd-mmm"), "")</f>
        <v/>
      </c>
      <c r="M8" s="84" t="str">
        <f aca="false">IF(INT(M$3)=INT($C8), TEXT($C8, "dd-mmm"), "")</f>
        <v/>
      </c>
      <c r="N8" s="84" t="str">
        <f aca="false">IF(INT(N$3)=INT($C8), TEXT($C8, "dd-mmm"), "")</f>
        <v/>
      </c>
      <c r="O8" s="84" t="str">
        <f aca="false">IF(INT(O$3)=INT($C8), TEXT($C8, "dd-mmm"), "")</f>
        <v/>
      </c>
      <c r="P8" s="84" t="str">
        <f aca="false">IF(INT(P$3)=INT($C8), TEXT($C8, "dd-mmm"), "")</f>
        <v/>
      </c>
      <c r="Q8" s="84" t="str">
        <f aca="false">IF(INT(Q$3)=INT($C8), TEXT($C8, "dd-mmm"), "")</f>
        <v/>
      </c>
      <c r="R8" s="84" t="str">
        <f aca="false">IF(INT(R$3)=INT($C8), TEXT($C8, "dd-mmm"), "")</f>
        <v/>
      </c>
      <c r="S8" s="84" t="str">
        <f aca="false">IF(INT(S$3)=INT($C8), TEXT($C8, "dd-mmm"), "")</f>
        <v/>
      </c>
      <c r="T8" s="84" t="str">
        <f aca="false">IF(INT(T$3)=INT($C8), TEXT($C8, "dd-mmm"), "")</f>
        <v/>
      </c>
      <c r="U8" s="84" t="str">
        <f aca="false">IF(INT(U$3)=INT($C8), TEXT($C8, "dd-mmm"), "")</f>
        <v/>
      </c>
      <c r="V8" s="84" t="str">
        <f aca="false">IF(INT(V$3)=INT($C8), TEXT($C8, "dd-mmm"), "")</f>
        <v/>
      </c>
      <c r="W8" s="84" t="str">
        <f aca="false">IF(INT(W$3)=INT($C8), TEXT($C8, "dd-mmm"), "")</f>
        <v/>
      </c>
      <c r="X8" s="84" t="str">
        <f aca="false">IF(INT(X$3)=INT($C8), TEXT($C8, "dd-mmm"), "")</f>
        <v/>
      </c>
      <c r="Y8" s="84" t="str">
        <f aca="false">IF(INT(Y$3)=INT($C8), TEXT($C8, "dd-mmm"), "")</f>
        <v/>
      </c>
      <c r="Z8" s="84" t="str">
        <f aca="false">IF(INT(Z$3)=INT($C8), TEXT($C8, "dd-mmm"), "")</f>
        <v/>
      </c>
      <c r="AA8" s="84" t="str">
        <f aca="false">IF(INT(AA$3)=INT($C8), TEXT($C8, "dd-mmm"), "")</f>
        <v/>
      </c>
      <c r="AB8" s="84" t="str">
        <f aca="false">IF(INT(AB$3)=INT($C8), TEXT($C8, "dd-mmm"), "")</f>
        <v/>
      </c>
      <c r="AC8" s="84" t="str">
        <f aca="false">IF(INT(AC$3)=INT($C8), TEXT($C8, "dd-mmm"), "")</f>
        <v/>
      </c>
      <c r="AD8" s="84" t="str">
        <f aca="false">IF(INT(AD$3)=INT($C8), TEXT($C8, "dd-mmm"), "")</f>
        <v/>
      </c>
      <c r="AE8" s="84" t="str">
        <f aca="false">IF(INT(AE$3)=INT($C8), TEXT($C8, "dd-mmm"), "")</f>
        <v/>
      </c>
      <c r="AF8" s="84" t="str">
        <f aca="false">IF(INT(AF$3)=INT($C8), TEXT($C8, "dd-mmm"), "")</f>
        <v/>
      </c>
      <c r="AG8" s="84" t="str">
        <f aca="false">IF(INT(AG$3)=INT($C8), TEXT($C8, "dd-mmm"), "")</f>
        <v/>
      </c>
      <c r="AH8" s="84" t="str">
        <f aca="false">IF(INT(AH$3)=INT($C8), TEXT($C8, "dd-mmm"), "")</f>
        <v/>
      </c>
      <c r="AI8" s="84" t="str">
        <f aca="false">IF(INT(AI$3)=INT($C8), TEXT($C8, "dd-mmm"), "")</f>
        <v/>
      </c>
      <c r="AJ8" s="84" t="str">
        <f aca="false">IF(INT(AJ$3)=INT($C8), TEXT($C8, "dd-mmm"), "")</f>
        <v/>
      </c>
      <c r="AK8" s="84" t="str">
        <f aca="false">IF(INT(AK$3)=INT($C8), TEXT($C8, "dd-mmm"), "")</f>
        <v/>
      </c>
      <c r="AL8" s="84" t="str">
        <f aca="false">IF(INT(AL$3)=INT($C8), TEXT($C8, "dd-mmm"), "")</f>
        <v/>
      </c>
      <c r="AM8" s="84" t="str">
        <f aca="false">IF(INT(AM$3)=INT($C8), TEXT($C8, "dd-mmm"), "")</f>
        <v/>
      </c>
      <c r="AN8" s="84" t="str">
        <f aca="false">IF(INT(AN$3)=INT($C8), TEXT($C8, "dd-mmm"), "")</f>
        <v/>
      </c>
      <c r="AO8" s="84" t="str">
        <f aca="false">IF(INT(AO$3)=INT($C8), TEXT($C8, "dd-mmm"), "")</f>
        <v/>
      </c>
      <c r="AP8" s="84" t="str">
        <f aca="false">IF(INT(AP$3)=INT($C8), TEXT($C8, "dd-mmm"), "")</f>
        <v/>
      </c>
      <c r="AQ8" s="84" t="str">
        <f aca="false">IF(INT(AQ$3)=INT($C8), TEXT($C8, "dd-mmm"), "")</f>
        <v/>
      </c>
      <c r="AR8" s="84" t="str">
        <f aca="false">IF(INT(AR$3)=INT($C8), TEXT($C8, "dd-mmm"), "")</f>
        <v/>
      </c>
      <c r="AS8" s="84" t="str">
        <f aca="false">IF(INT(AS$3)=INT($C8), TEXT($C8, "dd-mmm"), "")</f>
        <v/>
      </c>
      <c r="AT8" s="84" t="str">
        <f aca="false">IF(INT(AT$3)=INT($C8), TEXT($C8, "dd-mmm"), "")</f>
        <v/>
      </c>
      <c r="AU8" s="84" t="str">
        <f aca="false">IF(INT(AU$3)=INT($C8), TEXT($C8, "dd-mmm"), "")</f>
        <v/>
      </c>
      <c r="AV8" s="84" t="str">
        <f aca="false">IF(INT(AV$3)=INT($C8), TEXT($C8, "dd-mmm"), "")</f>
        <v/>
      </c>
      <c r="AW8" s="84" t="str">
        <f aca="false">IF(INT(AW$3)=INT($C8), TEXT($C8, "dd-mmm"), "")</f>
        <v/>
      </c>
      <c r="AX8" s="84" t="str">
        <f aca="false">IF(INT(AX$3)=INT($C8), TEXT($C8, "dd-mmm"), "")</f>
        <v/>
      </c>
      <c r="AY8" s="84" t="str">
        <f aca="false">IF(INT(AY$3)=INT($C8), TEXT($C8, "dd-mmm"), "")</f>
        <v/>
      </c>
      <c r="AZ8" s="84" t="str">
        <f aca="false">IF(INT(AZ$3)=INT($C8), TEXT($C8, "dd-mmm"), "")</f>
        <v/>
      </c>
      <c r="BA8" s="84" t="str">
        <f aca="false">IF(INT(BA$3)=INT($C8), TEXT($C8, "dd-mmm"), "")</f>
        <v/>
      </c>
      <c r="BB8" s="84" t="str">
        <f aca="false">IF(INT(BB$3)=INT($C8), TEXT($C8, "dd-mmm"), "")</f>
        <v/>
      </c>
      <c r="BC8" s="84" t="str">
        <f aca="false">IF(INT(BC$3)=INT($C8), TEXT($C8, "dd-mmm"), "")</f>
        <v/>
      </c>
      <c r="BD8" s="84" t="str">
        <f aca="false">IF(INT(BD$3)=INT($C8), TEXT($C8, "dd-mmm"), "")</f>
        <v/>
      </c>
      <c r="BE8" s="84" t="str">
        <f aca="false">IF(INT(BE$3)=INT($C8), TEXT($C8, "dd-mmm"), "")</f>
        <v/>
      </c>
      <c r="BF8" s="84" t="str">
        <f aca="false">IF(INT(BF$3)=INT($C8), TEXT($C8, "dd-mmm"), "")</f>
        <v/>
      </c>
      <c r="BG8" s="84" t="str">
        <f aca="false">IF(INT(BG$3)=INT($C8), TEXT($C8, "dd-mmm"), "")</f>
        <v/>
      </c>
      <c r="BH8" s="84" t="str">
        <f aca="false">IF(INT(BH$3)=INT($C8), TEXT($C8, "dd-mmm"), "")</f>
        <v/>
      </c>
      <c r="BI8" s="84" t="str">
        <f aca="false">IF(INT(BI$3)=INT($C8), TEXT($C8, "dd-mmm"), "")</f>
        <v/>
      </c>
      <c r="BJ8" s="84" t="str">
        <f aca="false">IF(INT(BJ$3)=INT($C8), TEXT($C8, "dd-mmm"), "")</f>
        <v/>
      </c>
      <c r="BK8" s="84" t="str">
        <f aca="false">IF(INT(BK$3)=INT($C8), TEXT($C8, "dd-mmm"), "")</f>
        <v/>
      </c>
      <c r="BL8" s="84" t="str">
        <f aca="false">IF(INT(BL$3)=INT($C8), TEXT($C8, "dd-mmm"), "")</f>
        <v/>
      </c>
      <c r="BM8" s="84" t="str">
        <f aca="false">IF(INT(BM$3)=INT($C8), TEXT($C8, "dd-mmm"), "")</f>
        <v/>
      </c>
      <c r="BN8" s="84" t="str">
        <f aca="false">IF(INT(BN$3)=INT($C8), TEXT($C8, "dd-mmm"), "")</f>
        <v/>
      </c>
    </row>
    <row r="9" customFormat="false" ht="15" hidden="false" customHeight="true" outlineLevel="0" collapsed="false">
      <c r="A9" s="4" t="str">
        <f aca="false">Machine_List!A9</f>
        <v>SPM</v>
      </c>
      <c r="B9" s="4" t="str">
        <f aca="false">Machine_List!B9</f>
        <v>SPM-MC-02</v>
      </c>
      <c r="C9" s="12" t="n">
        <f aca="false">Machine_List!C9</f>
        <v>46459</v>
      </c>
      <c r="D9" s="4" t="n">
        <f aca="false">Machine_List!D9</f>
        <v>6</v>
      </c>
      <c r="E9" s="4" t="n">
        <f aca="true">C9-TODAY()</f>
        <v>341</v>
      </c>
      <c r="F9" s="4" t="str">
        <f aca="false">IF(E9&lt;0,"OVERDUE",IF(E9&lt;=5,"DUE SOON","OK"))</f>
        <v>OK</v>
      </c>
      <c r="G9" s="84" t="str">
        <f aca="false">IF(INT(G$3)=INT($C9), TEXT($C9, "dd-mmm"), "")</f>
        <v/>
      </c>
      <c r="H9" s="84" t="str">
        <f aca="false">IF(INT(H$3)=INT($C9), TEXT($C9, "dd-mmm"), "")</f>
        <v/>
      </c>
      <c r="I9" s="84" t="str">
        <f aca="false">IF(INT(I$3)=INT($C9), TEXT($C9, "dd-mmm"), "")</f>
        <v/>
      </c>
      <c r="J9" s="84" t="str">
        <f aca="false">IF(INT(J$3)=INT($C9), TEXT($C9, "dd-mmm"), "")</f>
        <v/>
      </c>
      <c r="K9" s="84" t="str">
        <f aca="false">IF(INT(K$3)=INT($C9), TEXT($C9, "dd-mmm"), "")</f>
        <v/>
      </c>
      <c r="L9" s="84" t="str">
        <f aca="false">IF(INT(L$3)=INT($C9), TEXT($C9, "dd-mmm"), "")</f>
        <v/>
      </c>
      <c r="M9" s="84" t="str">
        <f aca="false">IF(INT(M$3)=INT($C9), TEXT($C9, "dd-mmm"), "")</f>
        <v/>
      </c>
      <c r="N9" s="84" t="str">
        <f aca="false">IF(INT(N$3)=INT($C9), TEXT($C9, "dd-mmm"), "")</f>
        <v/>
      </c>
      <c r="O9" s="84" t="str">
        <f aca="false">IF(INT(O$3)=INT($C9), TEXT($C9, "dd-mmm"), "")</f>
        <v/>
      </c>
      <c r="P9" s="84" t="str">
        <f aca="false">IF(INT(P$3)=INT($C9), TEXT($C9, "dd-mmm"), "")</f>
        <v/>
      </c>
      <c r="Q9" s="84" t="str">
        <f aca="false">IF(INT(Q$3)=INT($C9), TEXT($C9, "dd-mmm"), "")</f>
        <v/>
      </c>
      <c r="R9" s="84" t="str">
        <f aca="false">IF(INT(R$3)=INT($C9), TEXT($C9, "dd-mmm"), "")</f>
        <v/>
      </c>
      <c r="S9" s="84" t="str">
        <f aca="false">IF(INT(S$3)=INT($C9), TEXT($C9, "dd-mmm"), "")</f>
        <v/>
      </c>
      <c r="T9" s="84" t="str">
        <f aca="false">IF(INT(T$3)=INT($C9), TEXT($C9, "dd-mmm"), "")</f>
        <v/>
      </c>
      <c r="U9" s="84" t="str">
        <f aca="false">IF(INT(U$3)=INT($C9), TEXT($C9, "dd-mmm"), "")</f>
        <v/>
      </c>
      <c r="V9" s="84" t="str">
        <f aca="false">IF(INT(V$3)=INT($C9), TEXT($C9, "dd-mmm"), "")</f>
        <v/>
      </c>
      <c r="W9" s="84" t="str">
        <f aca="false">IF(INT(W$3)=INT($C9), TEXT($C9, "dd-mmm"), "")</f>
        <v/>
      </c>
      <c r="X9" s="84" t="str">
        <f aca="false">IF(INT(X$3)=INT($C9), TEXT($C9, "dd-mmm"), "")</f>
        <v/>
      </c>
      <c r="Y9" s="84" t="str">
        <f aca="false">IF(INT(Y$3)=INT($C9), TEXT($C9, "dd-mmm"), "")</f>
        <v/>
      </c>
      <c r="Z9" s="84" t="str">
        <f aca="false">IF(INT(Z$3)=INT($C9), TEXT($C9, "dd-mmm"), "")</f>
        <v/>
      </c>
      <c r="AA9" s="84" t="str">
        <f aca="false">IF(INT(AA$3)=INT($C9), TEXT($C9, "dd-mmm"), "")</f>
        <v/>
      </c>
      <c r="AB9" s="84" t="str">
        <f aca="false">IF(INT(AB$3)=INT($C9), TEXT($C9, "dd-mmm"), "")</f>
        <v/>
      </c>
      <c r="AC9" s="84" t="str">
        <f aca="false">IF(INT(AC$3)=INT($C9), TEXT($C9, "dd-mmm"), "")</f>
        <v/>
      </c>
      <c r="AD9" s="84" t="str">
        <f aca="false">IF(INT(AD$3)=INT($C9), TEXT($C9, "dd-mmm"), "")</f>
        <v/>
      </c>
      <c r="AE9" s="84" t="str">
        <f aca="false">IF(INT(AE$3)=INT($C9), TEXT($C9, "dd-mmm"), "")</f>
        <v/>
      </c>
      <c r="AF9" s="84" t="str">
        <f aca="false">IF(INT(AF$3)=INT($C9), TEXT($C9, "dd-mmm"), "")</f>
        <v/>
      </c>
      <c r="AG9" s="84" t="str">
        <f aca="false">IF(INT(AG$3)=INT($C9), TEXT($C9, "dd-mmm"), "")</f>
        <v/>
      </c>
      <c r="AH9" s="84" t="str">
        <f aca="false">IF(INT(AH$3)=INT($C9), TEXT($C9, "dd-mmm"), "")</f>
        <v/>
      </c>
      <c r="AI9" s="84" t="str">
        <f aca="false">IF(INT(AI$3)=INT($C9), TEXT($C9, "dd-mmm"), "")</f>
        <v/>
      </c>
      <c r="AJ9" s="84" t="str">
        <f aca="false">IF(INT(AJ$3)=INT($C9), TEXT($C9, "dd-mmm"), "")</f>
        <v/>
      </c>
      <c r="AK9" s="84" t="str">
        <f aca="false">IF(INT(AK$3)=INT($C9), TEXT($C9, "dd-mmm"), "")</f>
        <v/>
      </c>
      <c r="AL9" s="84" t="str">
        <f aca="false">IF(INT(AL$3)=INT($C9), TEXT($C9, "dd-mmm"), "")</f>
        <v/>
      </c>
      <c r="AM9" s="84" t="str">
        <f aca="false">IF(INT(AM$3)=INT($C9), TEXT($C9, "dd-mmm"), "")</f>
        <v/>
      </c>
      <c r="AN9" s="84" t="str">
        <f aca="false">IF(INT(AN$3)=INT($C9), TEXT($C9, "dd-mmm"), "")</f>
        <v/>
      </c>
      <c r="AO9" s="84" t="str">
        <f aca="false">IF(INT(AO$3)=INT($C9), TEXT($C9, "dd-mmm"), "")</f>
        <v/>
      </c>
      <c r="AP9" s="84" t="str">
        <f aca="false">IF(INT(AP$3)=INT($C9), TEXT($C9, "dd-mmm"), "")</f>
        <v/>
      </c>
      <c r="AQ9" s="84" t="str">
        <f aca="false">IF(INT(AQ$3)=INT($C9), TEXT($C9, "dd-mmm"), "")</f>
        <v/>
      </c>
      <c r="AR9" s="84" t="str">
        <f aca="false">IF(INT(AR$3)=INT($C9), TEXT($C9, "dd-mmm"), "")</f>
        <v/>
      </c>
      <c r="AS9" s="84" t="str">
        <f aca="false">IF(INT(AS$3)=INT($C9), TEXT($C9, "dd-mmm"), "")</f>
        <v/>
      </c>
      <c r="AT9" s="84" t="str">
        <f aca="false">IF(INT(AT$3)=INT($C9), TEXT($C9, "dd-mmm"), "")</f>
        <v/>
      </c>
      <c r="AU9" s="84" t="str">
        <f aca="false">IF(INT(AU$3)=INT($C9), TEXT($C9, "dd-mmm"), "")</f>
        <v/>
      </c>
      <c r="AV9" s="84" t="str">
        <f aca="false">IF(INT(AV$3)=INT($C9), TEXT($C9, "dd-mmm"), "")</f>
        <v/>
      </c>
      <c r="AW9" s="84" t="str">
        <f aca="false">IF(INT(AW$3)=INT($C9), TEXT($C9, "dd-mmm"), "")</f>
        <v/>
      </c>
      <c r="AX9" s="84" t="str">
        <f aca="false">IF(INT(AX$3)=INT($C9), TEXT($C9, "dd-mmm"), "")</f>
        <v/>
      </c>
      <c r="AY9" s="84" t="str">
        <f aca="false">IF(INT(AY$3)=INT($C9), TEXT($C9, "dd-mmm"), "")</f>
        <v/>
      </c>
      <c r="AZ9" s="84" t="str">
        <f aca="false">IF(INT(AZ$3)=INT($C9), TEXT($C9, "dd-mmm"), "")</f>
        <v/>
      </c>
      <c r="BA9" s="84" t="str">
        <f aca="false">IF(INT(BA$3)=INT($C9), TEXT($C9, "dd-mmm"), "")</f>
        <v/>
      </c>
      <c r="BB9" s="84" t="str">
        <f aca="false">IF(INT(BB$3)=INT($C9), TEXT($C9, "dd-mmm"), "")</f>
        <v/>
      </c>
      <c r="BC9" s="84" t="str">
        <f aca="false">IF(INT(BC$3)=INT($C9), TEXT($C9, "dd-mmm"), "")</f>
        <v/>
      </c>
      <c r="BD9" s="84" t="str">
        <f aca="false">IF(INT(BD$3)=INT($C9), TEXT($C9, "dd-mmm"), "")</f>
        <v/>
      </c>
      <c r="BE9" s="84" t="str">
        <f aca="false">IF(INT(BE$3)=INT($C9), TEXT($C9, "dd-mmm"), "")</f>
        <v/>
      </c>
      <c r="BF9" s="84" t="str">
        <f aca="false">IF(INT(BF$3)=INT($C9), TEXT($C9, "dd-mmm"), "")</f>
        <v/>
      </c>
      <c r="BG9" s="84" t="str">
        <f aca="false">IF(INT(BG$3)=INT($C9), TEXT($C9, "dd-mmm"), "")</f>
        <v/>
      </c>
      <c r="BH9" s="84" t="str">
        <f aca="false">IF(INT(BH$3)=INT($C9), TEXT($C9, "dd-mmm"), "")</f>
        <v/>
      </c>
      <c r="BI9" s="84" t="str">
        <f aca="false">IF(INT(BI$3)=INT($C9), TEXT($C9, "dd-mmm"), "")</f>
        <v/>
      </c>
      <c r="BJ9" s="84" t="str">
        <f aca="false">IF(INT(BJ$3)=INT($C9), TEXT($C9, "dd-mmm"), "")</f>
        <v/>
      </c>
      <c r="BK9" s="84" t="str">
        <f aca="false">IF(INT(BK$3)=INT($C9), TEXT($C9, "dd-mmm"), "")</f>
        <v/>
      </c>
      <c r="BL9" s="84" t="str">
        <f aca="false">IF(INT(BL$3)=INT($C9), TEXT($C9, "dd-mmm"), "")</f>
        <v/>
      </c>
      <c r="BM9" s="84" t="str">
        <f aca="false">IF(INT(BM$3)=INT($C9), TEXT($C9, "dd-mmm"), "")</f>
        <v/>
      </c>
      <c r="BN9" s="84" t="str">
        <f aca="false">IF(INT(BN$3)=INT($C9), TEXT($C9, "dd-mmm"), "")</f>
        <v/>
      </c>
    </row>
    <row r="10" customFormat="false" ht="15" hidden="false" customHeight="true" outlineLevel="0" collapsed="false">
      <c r="A10" s="4" t="str">
        <f aca="false">Machine_List!A10</f>
        <v>SPM</v>
      </c>
      <c r="B10" s="4" t="str">
        <f aca="false">Machine_List!B10</f>
        <v>SPM-MC-03</v>
      </c>
      <c r="C10" s="12" t="n">
        <f aca="false">Machine_List!C10</f>
        <v>46104</v>
      </c>
      <c r="D10" s="4" t="n">
        <f aca="false">Machine_List!D10</f>
        <v>6</v>
      </c>
      <c r="E10" s="4" t="n">
        <f aca="true">C10-TODAY()</f>
        <v>-14</v>
      </c>
      <c r="F10" s="4" t="str">
        <f aca="false">IF(E10&lt;0,"OVERDUE",IF(E10&lt;=5,"DUE SOON","OK"))</f>
        <v>OVERDUE</v>
      </c>
      <c r="G10" s="84" t="str">
        <f aca="false">IF(INT(G$3)=INT($C10), TEXT($C10, "dd-mmm"), "")</f>
        <v/>
      </c>
      <c r="H10" s="84" t="str">
        <f aca="false">IF(INT(H$3)=INT($C10), TEXT($C10, "dd-mmm"), "")</f>
        <v/>
      </c>
      <c r="I10" s="84" t="str">
        <f aca="false">IF(INT(I$3)=INT($C10), TEXT($C10, "dd-mmm"), "")</f>
        <v/>
      </c>
      <c r="J10" s="84" t="str">
        <f aca="false">IF(INT(J$3)=INT($C10), TEXT($C10, "dd-mmm"), "")</f>
        <v/>
      </c>
      <c r="K10" s="84" t="str">
        <f aca="false">IF(INT(K$3)=INT($C10), TEXT($C10, "dd-mmm"), "")</f>
        <v/>
      </c>
      <c r="L10" s="84" t="str">
        <f aca="false">IF(INT(L$3)=INT($C10), TEXT($C10, "dd-mmm"), "")</f>
        <v/>
      </c>
      <c r="M10" s="84" t="str">
        <f aca="false">IF(INT(M$3)=INT($C10), TEXT($C10, "dd-mmm"), "")</f>
        <v/>
      </c>
      <c r="N10" s="84" t="str">
        <f aca="false">IF(INT(N$3)=INT($C10), TEXT($C10, "dd-mmm"), "")</f>
        <v/>
      </c>
      <c r="O10" s="84" t="str">
        <f aca="false">IF(INT(O$3)=INT($C10), TEXT($C10, "dd-mmm"), "")</f>
        <v/>
      </c>
      <c r="P10" s="84" t="str">
        <f aca="false">IF(INT(P$3)=INT($C10), TEXT($C10, "dd-mmm"), "")</f>
        <v/>
      </c>
      <c r="Q10" s="84" t="str">
        <f aca="false">IF(INT(Q$3)=INT($C10), TEXT($C10, "dd-mmm"), "")</f>
        <v/>
      </c>
      <c r="R10" s="84" t="str">
        <f aca="false">IF(INT(R$3)=INT($C10), TEXT($C10, "dd-mmm"), "")</f>
        <v/>
      </c>
      <c r="S10" s="84" t="str">
        <f aca="false">IF(INT(S$3)=INT($C10), TEXT($C10, "dd-mmm"), "")</f>
        <v/>
      </c>
      <c r="T10" s="84" t="str">
        <f aca="false">IF(INT(T$3)=INT($C10), TEXT($C10, "dd-mmm"), "")</f>
        <v/>
      </c>
      <c r="U10" s="84" t="str">
        <f aca="false">IF(INT(U$3)=INT($C10), TEXT($C10, "dd-mmm"), "")</f>
        <v/>
      </c>
      <c r="V10" s="84" t="str">
        <f aca="false">IF(INT(V$3)=INT($C10), TEXT($C10, "dd-mmm"), "")</f>
        <v/>
      </c>
      <c r="W10" s="84" t="str">
        <f aca="false">IF(INT(W$3)=INT($C10), TEXT($C10, "dd-mmm"), "")</f>
        <v/>
      </c>
      <c r="X10" s="84" t="str">
        <f aca="false">IF(INT(X$3)=INT($C10), TEXT($C10, "dd-mmm"), "")</f>
        <v/>
      </c>
      <c r="Y10" s="84" t="str">
        <f aca="false">IF(INT(Y$3)=INT($C10), TEXT($C10, "dd-mmm"), "")</f>
        <v/>
      </c>
      <c r="Z10" s="84" t="str">
        <f aca="false">IF(INT(Z$3)=INT($C10), TEXT($C10, "dd-mmm"), "")</f>
        <v/>
      </c>
      <c r="AA10" s="84" t="str">
        <f aca="false">IF(INT(AA$3)=INT($C10), TEXT($C10, "dd-mmm"), "")</f>
        <v/>
      </c>
      <c r="AB10" s="84" t="str">
        <f aca="false">IF(INT(AB$3)=INT($C10), TEXT($C10, "dd-mmm"), "")</f>
        <v/>
      </c>
      <c r="AC10" s="84" t="str">
        <f aca="false">IF(INT(AC$3)=INT($C10), TEXT($C10, "dd-mmm"), "")</f>
        <v/>
      </c>
      <c r="AD10" s="84" t="str">
        <f aca="false">IF(INT(AD$3)=INT($C10), TEXT($C10, "dd-mmm"), "")</f>
        <v/>
      </c>
      <c r="AE10" s="84" t="str">
        <f aca="false">IF(INT(AE$3)=INT($C10), TEXT($C10, "dd-mmm"), "")</f>
        <v/>
      </c>
      <c r="AF10" s="84" t="str">
        <f aca="false">IF(INT(AF$3)=INT($C10), TEXT($C10, "dd-mmm"), "")</f>
        <v/>
      </c>
      <c r="AG10" s="84" t="str">
        <f aca="false">IF(INT(AG$3)=INT($C10), TEXT($C10, "dd-mmm"), "")</f>
        <v/>
      </c>
      <c r="AH10" s="84" t="str">
        <f aca="false">IF(INT(AH$3)=INT($C10), TEXT($C10, "dd-mmm"), "")</f>
        <v/>
      </c>
      <c r="AI10" s="84" t="str">
        <f aca="false">IF(INT(AI$3)=INT($C10), TEXT($C10, "dd-mmm"), "")</f>
        <v/>
      </c>
      <c r="AJ10" s="84" t="str">
        <f aca="false">IF(INT(AJ$3)=INT($C10), TEXT($C10, "dd-mmm"), "")</f>
        <v/>
      </c>
      <c r="AK10" s="84" t="str">
        <f aca="false">IF(INT(AK$3)=INT($C10), TEXT($C10, "dd-mmm"), "")</f>
        <v/>
      </c>
      <c r="AL10" s="84" t="str">
        <f aca="false">IF(INT(AL$3)=INT($C10), TEXT($C10, "dd-mmm"), "")</f>
        <v/>
      </c>
      <c r="AM10" s="84" t="str">
        <f aca="false">IF(INT(AM$3)=INT($C10), TEXT($C10, "dd-mmm"), "")</f>
        <v/>
      </c>
      <c r="AN10" s="84" t="str">
        <f aca="false">IF(INT(AN$3)=INT($C10), TEXT($C10, "dd-mmm"), "")</f>
        <v/>
      </c>
      <c r="AO10" s="84" t="str">
        <f aca="false">IF(INT(AO$3)=INT($C10), TEXT($C10, "dd-mmm"), "")</f>
        <v/>
      </c>
      <c r="AP10" s="84" t="str">
        <f aca="false">IF(INT(AP$3)=INT($C10), TEXT($C10, "dd-mmm"), "")</f>
        <v/>
      </c>
      <c r="AQ10" s="84" t="str">
        <f aca="false">IF(INT(AQ$3)=INT($C10), TEXT($C10, "dd-mmm"), "")</f>
        <v/>
      </c>
      <c r="AR10" s="84" t="str">
        <f aca="false">IF(INT(AR$3)=INT($C10), TEXT($C10, "dd-mmm"), "")</f>
        <v/>
      </c>
      <c r="AS10" s="84" t="str">
        <f aca="false">IF(INT(AS$3)=INT($C10), TEXT($C10, "dd-mmm"), "")</f>
        <v/>
      </c>
      <c r="AT10" s="84" t="str">
        <f aca="false">IF(INT(AT$3)=INT($C10), TEXT($C10, "dd-mmm"), "")</f>
        <v/>
      </c>
      <c r="AU10" s="84" t="str">
        <f aca="false">IF(INT(AU$3)=INT($C10), TEXT($C10, "dd-mmm"), "")</f>
        <v/>
      </c>
      <c r="AV10" s="84" t="str">
        <f aca="false">IF(INT(AV$3)=INT($C10), TEXT($C10, "dd-mmm"), "")</f>
        <v/>
      </c>
      <c r="AW10" s="84" t="str">
        <f aca="false">IF(INT(AW$3)=INT($C10), TEXT($C10, "dd-mmm"), "")</f>
        <v/>
      </c>
      <c r="AX10" s="84" t="str">
        <f aca="false">IF(INT(AX$3)=INT($C10), TEXT($C10, "dd-mmm"), "")</f>
        <v/>
      </c>
      <c r="AY10" s="84" t="str">
        <f aca="false">IF(INT(AY$3)=INT($C10), TEXT($C10, "dd-mmm"), "")</f>
        <v/>
      </c>
      <c r="AZ10" s="84" t="str">
        <f aca="false">IF(INT(AZ$3)=INT($C10), TEXT($C10, "dd-mmm"), "")</f>
        <v/>
      </c>
      <c r="BA10" s="84" t="str">
        <f aca="false">IF(INT(BA$3)=INT($C10), TEXT($C10, "dd-mmm"), "")</f>
        <v/>
      </c>
      <c r="BB10" s="84" t="str">
        <f aca="false">IF(INT(BB$3)=INT($C10), TEXT($C10, "dd-mmm"), "")</f>
        <v/>
      </c>
      <c r="BC10" s="84" t="str">
        <f aca="false">IF(INT(BC$3)=INT($C10), TEXT($C10, "dd-mmm"), "")</f>
        <v/>
      </c>
      <c r="BD10" s="84" t="str">
        <f aca="false">IF(INT(BD$3)=INT($C10), TEXT($C10, "dd-mmm"), "")</f>
        <v/>
      </c>
      <c r="BE10" s="84" t="str">
        <f aca="false">IF(INT(BE$3)=INT($C10), TEXT($C10, "dd-mmm"), "")</f>
        <v/>
      </c>
      <c r="BF10" s="84" t="str">
        <f aca="false">IF(INT(BF$3)=INT($C10), TEXT($C10, "dd-mmm"), "")</f>
        <v/>
      </c>
      <c r="BG10" s="84" t="str">
        <f aca="false">IF(INT(BG$3)=INT($C10), TEXT($C10, "dd-mmm"), "")</f>
        <v/>
      </c>
      <c r="BH10" s="84" t="str">
        <f aca="false">IF(INT(BH$3)=INT($C10), TEXT($C10, "dd-mmm"), "")</f>
        <v/>
      </c>
      <c r="BI10" s="84" t="str">
        <f aca="false">IF(INT(BI$3)=INT($C10), TEXT($C10, "dd-mmm"), "")</f>
        <v/>
      </c>
      <c r="BJ10" s="84" t="str">
        <f aca="false">IF(INT(BJ$3)=INT($C10), TEXT($C10, "dd-mmm"), "")</f>
        <v/>
      </c>
      <c r="BK10" s="84" t="str">
        <f aca="false">IF(INT(BK$3)=INT($C10), TEXT($C10, "dd-mmm"), "")</f>
        <v/>
      </c>
      <c r="BL10" s="84" t="str">
        <f aca="false">IF(INT(BL$3)=INT($C10), TEXT($C10, "dd-mmm"), "")</f>
        <v/>
      </c>
      <c r="BM10" s="84" t="str">
        <f aca="false">IF(INT(BM$3)=INT($C10), TEXT($C10, "dd-mmm"), "")</f>
        <v/>
      </c>
      <c r="BN10" s="84" t="str">
        <f aca="false">IF(INT(BN$3)=INT($C10), TEXT($C10, "dd-mmm"), "")</f>
        <v/>
      </c>
    </row>
    <row r="11" customFormat="false" ht="15" hidden="false" customHeight="true" outlineLevel="0" collapsed="false">
      <c r="A11" s="4" t="str">
        <f aca="false">Machine_List!A11</f>
        <v>SPM</v>
      </c>
      <c r="B11" s="4" t="str">
        <f aca="false">Machine_List!B11</f>
        <v>SPM-MC-04</v>
      </c>
      <c r="C11" s="12" t="n">
        <f aca="false">Machine_List!C11</f>
        <v>46197</v>
      </c>
      <c r="D11" s="4" t="n">
        <f aca="false">Machine_List!D11</f>
        <v>6</v>
      </c>
      <c r="E11" s="4" t="n">
        <f aca="true">C11-TODAY()</f>
        <v>79</v>
      </c>
      <c r="F11" s="4" t="str">
        <f aca="false">IF(E11&lt;0,"OVERDUE",IF(E11&lt;=5,"DUE SOON","OK"))</f>
        <v>OK</v>
      </c>
      <c r="G11" s="84" t="str">
        <f aca="false">IF(INT(G$3)=INT($C11), TEXT($C11, "dd-mmm"), "")</f>
        <v/>
      </c>
      <c r="H11" s="84" t="str">
        <f aca="false">IF(INT(H$3)=INT($C11), TEXT($C11, "dd-mmm"), "")</f>
        <v/>
      </c>
      <c r="I11" s="84" t="str">
        <f aca="false">IF(INT(I$3)=INT($C11), TEXT($C11, "dd-mmm"), "")</f>
        <v/>
      </c>
      <c r="J11" s="84" t="str">
        <f aca="false">IF(INT(J$3)=INT($C11), TEXT($C11, "dd-mmm"), "")</f>
        <v/>
      </c>
      <c r="K11" s="84" t="str">
        <f aca="false">IF(INT(K$3)=INT($C11), TEXT($C11, "dd-mmm"), "")</f>
        <v/>
      </c>
      <c r="L11" s="84" t="str">
        <f aca="false">IF(INT(L$3)=INT($C11), TEXT($C11, "dd-mmm"), "")</f>
        <v/>
      </c>
      <c r="M11" s="84" t="str">
        <f aca="false">IF(INT(M$3)=INT($C11), TEXT($C11, "dd-mmm"), "")</f>
        <v/>
      </c>
      <c r="N11" s="84" t="str">
        <f aca="false">IF(INT(N$3)=INT($C11), TEXT($C11, "dd-mmm"), "")</f>
        <v/>
      </c>
      <c r="O11" s="84" t="str">
        <f aca="false">IF(INT(O$3)=INT($C11), TEXT($C11, "dd-mmm"), "")</f>
        <v/>
      </c>
      <c r="P11" s="84" t="str">
        <f aca="false">IF(INT(P$3)=INT($C11), TEXT($C11, "dd-mmm"), "")</f>
        <v/>
      </c>
      <c r="Q11" s="84" t="str">
        <f aca="false">IF(INT(Q$3)=INT($C11), TEXT($C11, "dd-mmm"), "")</f>
        <v/>
      </c>
      <c r="R11" s="84" t="str">
        <f aca="false">IF(INT(R$3)=INT($C11), TEXT($C11, "dd-mmm"), "")</f>
        <v/>
      </c>
      <c r="S11" s="84" t="str">
        <f aca="false">IF(INT(S$3)=INT($C11), TEXT($C11, "dd-mmm"), "")</f>
        <v/>
      </c>
      <c r="T11" s="84" t="str">
        <f aca="false">IF(INT(T$3)=INT($C11), TEXT($C11, "dd-mmm"), "")</f>
        <v/>
      </c>
      <c r="U11" s="84" t="str">
        <f aca="false">IF(INT(U$3)=INT($C11), TEXT($C11, "dd-mmm"), "")</f>
        <v/>
      </c>
      <c r="V11" s="84" t="str">
        <f aca="false">IF(INT(V$3)=INT($C11), TEXT($C11, "dd-mmm"), "")</f>
        <v/>
      </c>
      <c r="W11" s="84" t="str">
        <f aca="false">IF(INT(W$3)=INT($C11), TEXT($C11, "dd-mmm"), "")</f>
        <v/>
      </c>
      <c r="X11" s="84" t="str">
        <f aca="false">IF(INT(X$3)=INT($C11), TEXT($C11, "dd-mmm"), "")</f>
        <v/>
      </c>
      <c r="Y11" s="84" t="str">
        <f aca="false">IF(INT(Y$3)=INT($C11), TEXT($C11, "dd-mmm"), "")</f>
        <v/>
      </c>
      <c r="Z11" s="84" t="str">
        <f aca="false">IF(INT(Z$3)=INT($C11), TEXT($C11, "dd-mmm"), "")</f>
        <v/>
      </c>
      <c r="AA11" s="84" t="str">
        <f aca="false">IF(INT(AA$3)=INT($C11), TEXT($C11, "dd-mmm"), "")</f>
        <v/>
      </c>
      <c r="AB11" s="84" t="str">
        <f aca="false">IF(INT(AB$3)=INT($C11), TEXT($C11, "dd-mmm"), "")</f>
        <v/>
      </c>
      <c r="AC11" s="84" t="str">
        <f aca="false">IF(INT(AC$3)=INT($C11), TEXT($C11, "dd-mmm"), "")</f>
        <v/>
      </c>
      <c r="AD11" s="84" t="str">
        <f aca="false">IF(INT(AD$3)=INT($C11), TEXT($C11, "dd-mmm"), "")</f>
        <v/>
      </c>
      <c r="AE11" s="84" t="str">
        <f aca="false">IF(INT(AE$3)=INT($C11), TEXT($C11, "dd-mmm"), "")</f>
        <v/>
      </c>
      <c r="AF11" s="84" t="str">
        <f aca="false">IF(INT(AF$3)=INT($C11), TEXT($C11, "dd-mmm"), "")</f>
        <v/>
      </c>
      <c r="AG11" s="84" t="str">
        <f aca="false">IF(INT(AG$3)=INT($C11), TEXT($C11, "dd-mmm"), "")</f>
        <v/>
      </c>
      <c r="AH11" s="84" t="str">
        <f aca="false">IF(INT(AH$3)=INT($C11), TEXT($C11, "dd-mmm"), "")</f>
        <v/>
      </c>
      <c r="AI11" s="84" t="str">
        <f aca="false">IF(INT(AI$3)=INT($C11), TEXT($C11, "dd-mmm"), "")</f>
        <v/>
      </c>
      <c r="AJ11" s="84" t="str">
        <f aca="false">IF(INT(AJ$3)=INT($C11), TEXT($C11, "dd-mmm"), "")</f>
        <v/>
      </c>
      <c r="AK11" s="84" t="str">
        <f aca="false">IF(INT(AK$3)=INT($C11), TEXT($C11, "dd-mmm"), "")</f>
        <v/>
      </c>
      <c r="AL11" s="84" t="str">
        <f aca="false">IF(INT(AL$3)=INT($C11), TEXT($C11, "dd-mmm"), "")</f>
        <v/>
      </c>
      <c r="AM11" s="84" t="str">
        <f aca="false">IF(INT(AM$3)=INT($C11), TEXT($C11, "dd-mmm"), "")</f>
        <v/>
      </c>
      <c r="AN11" s="84" t="str">
        <f aca="false">IF(INT(AN$3)=INT($C11), TEXT($C11, "dd-mmm"), "")</f>
        <v/>
      </c>
      <c r="AO11" s="84" t="str">
        <f aca="false">IF(INT(AO$3)=INT($C11), TEXT($C11, "dd-mmm"), "")</f>
        <v/>
      </c>
      <c r="AP11" s="84" t="str">
        <f aca="false">IF(INT(AP$3)=INT($C11), TEXT($C11, "dd-mmm"), "")</f>
        <v/>
      </c>
      <c r="AQ11" s="84" t="str">
        <f aca="false">IF(INT(AQ$3)=INT($C11), TEXT($C11, "dd-mmm"), "")</f>
        <v/>
      </c>
      <c r="AR11" s="84" t="str">
        <f aca="false">IF(INT(AR$3)=INT($C11), TEXT($C11, "dd-mmm"), "")</f>
        <v/>
      </c>
      <c r="AS11" s="84" t="str">
        <f aca="false">IF(INT(AS$3)=INT($C11), TEXT($C11, "dd-mmm"), "")</f>
        <v/>
      </c>
      <c r="AT11" s="84" t="str">
        <f aca="false">IF(INT(AT$3)=INT($C11), TEXT($C11, "dd-mmm"), "")</f>
        <v/>
      </c>
      <c r="AU11" s="84" t="str">
        <f aca="false">IF(INT(AU$3)=INT($C11), TEXT($C11, "dd-mmm"), "")</f>
        <v/>
      </c>
      <c r="AV11" s="84" t="str">
        <f aca="false">IF(INT(AV$3)=INT($C11), TEXT($C11, "dd-mmm"), "")</f>
        <v/>
      </c>
      <c r="AW11" s="84" t="str">
        <f aca="false">IF(INT(AW$3)=INT($C11), TEXT($C11, "dd-mmm"), "")</f>
        <v/>
      </c>
      <c r="AX11" s="84" t="str">
        <f aca="false">IF(INT(AX$3)=INT($C11), TEXT($C11, "dd-mmm"), "")</f>
        <v/>
      </c>
      <c r="AY11" s="84" t="str">
        <f aca="false">IF(INT(AY$3)=INT($C11), TEXT($C11, "dd-mmm"), "")</f>
        <v/>
      </c>
      <c r="AZ11" s="84" t="str">
        <f aca="false">IF(INT(AZ$3)=INT($C11), TEXT($C11, "dd-mmm"), "")</f>
        <v/>
      </c>
      <c r="BA11" s="84" t="str">
        <f aca="false">IF(INT(BA$3)=INT($C11), TEXT($C11, "dd-mmm"), "")</f>
        <v/>
      </c>
      <c r="BB11" s="84" t="str">
        <f aca="false">IF(INT(BB$3)=INT($C11), TEXT($C11, "dd-mmm"), "")</f>
        <v/>
      </c>
      <c r="BC11" s="84" t="str">
        <f aca="false">IF(INT(BC$3)=INT($C11), TEXT($C11, "dd-mmm"), "")</f>
        <v/>
      </c>
      <c r="BD11" s="84" t="str">
        <f aca="false">IF(INT(BD$3)=INT($C11), TEXT($C11, "dd-mmm"), "")</f>
        <v/>
      </c>
      <c r="BE11" s="84" t="str">
        <f aca="false">IF(INT(BE$3)=INT($C11), TEXT($C11, "dd-mmm"), "")</f>
        <v/>
      </c>
      <c r="BF11" s="84" t="str">
        <f aca="false">IF(INT(BF$3)=INT($C11), TEXT($C11, "dd-mmm"), "")</f>
        <v/>
      </c>
      <c r="BG11" s="84" t="str">
        <f aca="false">IF(INT(BG$3)=INT($C11), TEXT($C11, "dd-mmm"), "")</f>
        <v/>
      </c>
      <c r="BH11" s="84" t="str">
        <f aca="false">IF(INT(BH$3)=INT($C11), TEXT($C11, "dd-mmm"), "")</f>
        <v/>
      </c>
      <c r="BI11" s="84" t="str">
        <f aca="false">IF(INT(BI$3)=INT($C11), TEXT($C11, "dd-mmm"), "")</f>
        <v/>
      </c>
      <c r="BJ11" s="84" t="str">
        <f aca="false">IF(INT(BJ$3)=INT($C11), TEXT($C11, "dd-mmm"), "")</f>
        <v/>
      </c>
      <c r="BK11" s="84" t="str">
        <f aca="false">IF(INT(BK$3)=INT($C11), TEXT($C11, "dd-mmm"), "")</f>
        <v/>
      </c>
      <c r="BL11" s="84" t="str">
        <f aca="false">IF(INT(BL$3)=INT($C11), TEXT($C11, "dd-mmm"), "")</f>
        <v/>
      </c>
      <c r="BM11" s="84" t="str">
        <f aca="false">IF(INT(BM$3)=INT($C11), TEXT($C11, "dd-mmm"), "")</f>
        <v/>
      </c>
      <c r="BN11" s="84" t="str">
        <f aca="false">IF(INT(BN$3)=INT($C11), TEXT($C11, "dd-mmm"), "")</f>
        <v/>
      </c>
    </row>
    <row r="12" customFormat="false" ht="15" hidden="false" customHeight="true" outlineLevel="0" collapsed="false">
      <c r="A12" s="4" t="str">
        <f aca="false">Machine_List!A12</f>
        <v>SPM</v>
      </c>
      <c r="B12" s="4" t="str">
        <f aca="false">Machine_List!B12</f>
        <v>SPM-MC-05</v>
      </c>
      <c r="C12" s="12" t="n">
        <f aca="false">Machine_List!C12</f>
        <v>46271</v>
      </c>
      <c r="D12" s="4" t="n">
        <f aca="false">Machine_List!D12</f>
        <v>6</v>
      </c>
      <c r="E12" s="4" t="n">
        <f aca="true">C12-TODAY()</f>
        <v>153</v>
      </c>
      <c r="F12" s="4" t="str">
        <f aca="false">IF(E12&lt;0,"OVERDUE",IF(E12&lt;=5,"DUE SOON","OK"))</f>
        <v>OK</v>
      </c>
      <c r="G12" s="84" t="str">
        <f aca="false">IF(INT(G$3)=INT($C12), TEXT($C12, "dd-mmm"), "")</f>
        <v/>
      </c>
      <c r="H12" s="84" t="str">
        <f aca="false">IF(INT(H$3)=INT($C12), TEXT($C12, "dd-mmm"), "")</f>
        <v/>
      </c>
      <c r="I12" s="84" t="str">
        <f aca="false">IF(INT(I$3)=INT($C12), TEXT($C12, "dd-mmm"), "")</f>
        <v/>
      </c>
      <c r="J12" s="84" t="str">
        <f aca="false">IF(INT(J$3)=INT($C12), TEXT($C12, "dd-mmm"), "")</f>
        <v/>
      </c>
      <c r="K12" s="84" t="str">
        <f aca="false">IF(INT(K$3)=INT($C12), TEXT($C12, "dd-mmm"), "")</f>
        <v/>
      </c>
      <c r="L12" s="84" t="str">
        <f aca="false">IF(INT(L$3)=INT($C12), TEXT($C12, "dd-mmm"), "")</f>
        <v/>
      </c>
      <c r="M12" s="84" t="str">
        <f aca="false">IF(INT(M$3)=INT($C12), TEXT($C12, "dd-mmm"), "")</f>
        <v/>
      </c>
      <c r="N12" s="84" t="str">
        <f aca="false">IF(INT(N$3)=INT($C12), TEXT($C12, "dd-mmm"), "")</f>
        <v/>
      </c>
      <c r="O12" s="84" t="str">
        <f aca="false">IF(INT(O$3)=INT($C12), TEXT($C12, "dd-mmm"), "")</f>
        <v/>
      </c>
      <c r="P12" s="84" t="str">
        <f aca="false">IF(INT(P$3)=INT($C12), TEXT($C12, "dd-mmm"), "")</f>
        <v/>
      </c>
      <c r="Q12" s="84" t="str">
        <f aca="false">IF(INT(Q$3)=INT($C12), TEXT($C12, "dd-mmm"), "")</f>
        <v/>
      </c>
      <c r="R12" s="84" t="str">
        <f aca="false">IF(INT(R$3)=INT($C12), TEXT($C12, "dd-mmm"), "")</f>
        <v/>
      </c>
      <c r="S12" s="84" t="str">
        <f aca="false">IF(INT(S$3)=INT($C12), TEXT($C12, "dd-mmm"), "")</f>
        <v/>
      </c>
      <c r="T12" s="84" t="str">
        <f aca="false">IF(INT(T$3)=INT($C12), TEXT($C12, "dd-mmm"), "")</f>
        <v/>
      </c>
      <c r="U12" s="84" t="str">
        <f aca="false">IF(INT(U$3)=INT($C12), TEXT($C12, "dd-mmm"), "")</f>
        <v/>
      </c>
      <c r="V12" s="84" t="str">
        <f aca="false">IF(INT(V$3)=INT($C12), TEXT($C12, "dd-mmm"), "")</f>
        <v/>
      </c>
      <c r="W12" s="84" t="str">
        <f aca="false">IF(INT(W$3)=INT($C12), TEXT($C12, "dd-mmm"), "")</f>
        <v/>
      </c>
      <c r="X12" s="84" t="str">
        <f aca="false">IF(INT(X$3)=INT($C12), TEXT($C12, "dd-mmm"), "")</f>
        <v/>
      </c>
      <c r="Y12" s="84" t="str">
        <f aca="false">IF(INT(Y$3)=INT($C12), TEXT($C12, "dd-mmm"), "")</f>
        <v/>
      </c>
      <c r="Z12" s="84" t="str">
        <f aca="false">IF(INT(Z$3)=INT($C12), TEXT($C12, "dd-mmm"), "")</f>
        <v/>
      </c>
      <c r="AA12" s="84" t="str">
        <f aca="false">IF(INT(AA$3)=INT($C12), TEXT($C12, "dd-mmm"), "")</f>
        <v/>
      </c>
      <c r="AB12" s="84" t="str">
        <f aca="false">IF(INT(AB$3)=INT($C12), TEXT($C12, "dd-mmm"), "")</f>
        <v/>
      </c>
      <c r="AC12" s="84" t="str">
        <f aca="false">IF(INT(AC$3)=INT($C12), TEXT($C12, "dd-mmm"), "")</f>
        <v/>
      </c>
      <c r="AD12" s="84" t="str">
        <f aca="false">IF(INT(AD$3)=INT($C12), TEXT($C12, "dd-mmm"), "")</f>
        <v/>
      </c>
      <c r="AE12" s="84" t="str">
        <f aca="false">IF(INT(AE$3)=INT($C12), TEXT($C12, "dd-mmm"), "")</f>
        <v/>
      </c>
      <c r="AF12" s="84" t="str">
        <f aca="false">IF(INT(AF$3)=INT($C12), TEXT($C12, "dd-mmm"), "")</f>
        <v/>
      </c>
      <c r="AG12" s="84" t="str">
        <f aca="false">IF(INT(AG$3)=INT($C12), TEXT($C12, "dd-mmm"), "")</f>
        <v/>
      </c>
      <c r="AH12" s="84" t="str">
        <f aca="false">IF(INT(AH$3)=INT($C12), TEXT($C12, "dd-mmm"), "")</f>
        <v/>
      </c>
      <c r="AI12" s="84" t="str">
        <f aca="false">IF(INT(AI$3)=INT($C12), TEXT($C12, "dd-mmm"), "")</f>
        <v/>
      </c>
      <c r="AJ12" s="84" t="str">
        <f aca="false">IF(INT(AJ$3)=INT($C12), TEXT($C12, "dd-mmm"), "")</f>
        <v/>
      </c>
      <c r="AK12" s="84" t="str">
        <f aca="false">IF(INT(AK$3)=INT($C12), TEXT($C12, "dd-mmm"), "")</f>
        <v/>
      </c>
      <c r="AL12" s="84" t="str">
        <f aca="false">IF(INT(AL$3)=INT($C12), TEXT($C12, "dd-mmm"), "")</f>
        <v/>
      </c>
      <c r="AM12" s="84" t="str">
        <f aca="false">IF(INT(AM$3)=INT($C12), TEXT($C12, "dd-mmm"), "")</f>
        <v/>
      </c>
      <c r="AN12" s="84" t="str">
        <f aca="false">IF(INT(AN$3)=INT($C12), TEXT($C12, "dd-mmm"), "")</f>
        <v/>
      </c>
      <c r="AO12" s="84" t="str">
        <f aca="false">IF(INT(AO$3)=INT($C12), TEXT($C12, "dd-mmm"), "")</f>
        <v/>
      </c>
      <c r="AP12" s="84" t="str">
        <f aca="false">IF(INT(AP$3)=INT($C12), TEXT($C12, "dd-mmm"), "")</f>
        <v/>
      </c>
      <c r="AQ12" s="84" t="str">
        <f aca="false">IF(INT(AQ$3)=INT($C12), TEXT($C12, "dd-mmm"), "")</f>
        <v/>
      </c>
      <c r="AR12" s="84" t="str">
        <f aca="false">IF(INT(AR$3)=INT($C12), TEXT($C12, "dd-mmm"), "")</f>
        <v/>
      </c>
      <c r="AS12" s="84" t="str">
        <f aca="false">IF(INT(AS$3)=INT($C12), TEXT($C12, "dd-mmm"), "")</f>
        <v/>
      </c>
      <c r="AT12" s="84" t="str">
        <f aca="false">IF(INT(AT$3)=INT($C12), TEXT($C12, "dd-mmm"), "")</f>
        <v/>
      </c>
      <c r="AU12" s="84" t="str">
        <f aca="false">IF(INT(AU$3)=INT($C12), TEXT($C12, "dd-mmm"), "")</f>
        <v/>
      </c>
      <c r="AV12" s="84" t="str">
        <f aca="false">IF(INT(AV$3)=INT($C12), TEXT($C12, "dd-mmm"), "")</f>
        <v/>
      </c>
      <c r="AW12" s="84" t="str">
        <f aca="false">IF(INT(AW$3)=INT($C12), TEXT($C12, "dd-mmm"), "")</f>
        <v/>
      </c>
      <c r="AX12" s="84" t="str">
        <f aca="false">IF(INT(AX$3)=INT($C12), TEXT($C12, "dd-mmm"), "")</f>
        <v/>
      </c>
      <c r="AY12" s="84" t="str">
        <f aca="false">IF(INT(AY$3)=INT($C12), TEXT($C12, "dd-mmm"), "")</f>
        <v/>
      </c>
      <c r="AZ12" s="84" t="str">
        <f aca="false">IF(INT(AZ$3)=INT($C12), TEXT($C12, "dd-mmm"), "")</f>
        <v/>
      </c>
      <c r="BA12" s="84" t="str">
        <f aca="false">IF(INT(BA$3)=INT($C12), TEXT($C12, "dd-mmm"), "")</f>
        <v/>
      </c>
      <c r="BB12" s="84" t="str">
        <f aca="false">IF(INT(BB$3)=INT($C12), TEXT($C12, "dd-mmm"), "")</f>
        <v/>
      </c>
      <c r="BC12" s="84" t="str">
        <f aca="false">IF(INT(BC$3)=INT($C12), TEXT($C12, "dd-mmm"), "")</f>
        <v/>
      </c>
      <c r="BD12" s="84" t="str">
        <f aca="false">IF(INT(BD$3)=INT($C12), TEXT($C12, "dd-mmm"), "")</f>
        <v/>
      </c>
      <c r="BE12" s="84" t="str">
        <f aca="false">IF(INT(BE$3)=INT($C12), TEXT($C12, "dd-mmm"), "")</f>
        <v/>
      </c>
      <c r="BF12" s="84" t="str">
        <f aca="false">IF(INT(BF$3)=INT($C12), TEXT($C12, "dd-mmm"), "")</f>
        <v/>
      </c>
      <c r="BG12" s="84" t="str">
        <f aca="false">IF(INT(BG$3)=INT($C12), TEXT($C12, "dd-mmm"), "")</f>
        <v/>
      </c>
      <c r="BH12" s="84" t="str">
        <f aca="false">IF(INT(BH$3)=INT($C12), TEXT($C12, "dd-mmm"), "")</f>
        <v/>
      </c>
      <c r="BI12" s="84" t="str">
        <f aca="false">IF(INT(BI$3)=INT($C12), TEXT($C12, "dd-mmm"), "")</f>
        <v/>
      </c>
      <c r="BJ12" s="84" t="str">
        <f aca="false">IF(INT(BJ$3)=INT($C12), TEXT($C12, "dd-mmm"), "")</f>
        <v/>
      </c>
      <c r="BK12" s="84" t="str">
        <f aca="false">IF(INT(BK$3)=INT($C12), TEXT($C12, "dd-mmm"), "")</f>
        <v/>
      </c>
      <c r="BL12" s="84" t="str">
        <f aca="false">IF(INT(BL$3)=INT($C12), TEXT($C12, "dd-mmm"), "")</f>
        <v/>
      </c>
      <c r="BM12" s="84" t="str">
        <f aca="false">IF(INT(BM$3)=INT($C12), TEXT($C12, "dd-mmm"), "")</f>
        <v/>
      </c>
      <c r="BN12" s="84" t="str">
        <f aca="false">IF(INT(BN$3)=INT($C12), TEXT($C12, "dd-mmm"), "")</f>
        <v/>
      </c>
    </row>
    <row r="13" customFormat="false" ht="15" hidden="false" customHeight="true" outlineLevel="0" collapsed="false">
      <c r="A13" s="4" t="str">
        <f aca="false">Machine_List!A13</f>
        <v>SPM</v>
      </c>
      <c r="B13" s="4" t="str">
        <f aca="false">Machine_List!B13</f>
        <v>SPM-MC-06</v>
      </c>
      <c r="C13" s="12" t="n">
        <f aca="false">Machine_List!C13</f>
        <v>46176</v>
      </c>
      <c r="D13" s="4" t="n">
        <f aca="false">Machine_List!D13</f>
        <v>6</v>
      </c>
      <c r="E13" s="4" t="n">
        <f aca="true">C13-TODAY()</f>
        <v>58</v>
      </c>
      <c r="F13" s="4" t="str">
        <f aca="false">IF(E13&lt;0,"OVERDUE",IF(E13&lt;=5,"DUE SOON","OK"))</f>
        <v>OK</v>
      </c>
      <c r="G13" s="84" t="str">
        <f aca="false">IF(INT(G$3)=INT($C13), TEXT($C13, "dd-mmm"), "")</f>
        <v/>
      </c>
      <c r="H13" s="84" t="str">
        <f aca="false">IF(INT(H$3)=INT($C13), TEXT($C13, "dd-mmm"), "")</f>
        <v/>
      </c>
      <c r="I13" s="84" t="str">
        <f aca="false">IF(INT(I$3)=INT($C13), TEXT($C13, "dd-mmm"), "")</f>
        <v/>
      </c>
      <c r="J13" s="84" t="str">
        <f aca="false">IF(INT(J$3)=INT($C13), TEXT($C13, "dd-mmm"), "")</f>
        <v/>
      </c>
      <c r="K13" s="84" t="str">
        <f aca="false">IF(INT(K$3)=INT($C13), TEXT($C13, "dd-mmm"), "")</f>
        <v/>
      </c>
      <c r="L13" s="84" t="str">
        <f aca="false">IF(INT(L$3)=INT($C13), TEXT($C13, "dd-mmm"), "")</f>
        <v/>
      </c>
      <c r="M13" s="84" t="str">
        <f aca="false">IF(INT(M$3)=INT($C13), TEXT($C13, "dd-mmm"), "")</f>
        <v/>
      </c>
      <c r="N13" s="84" t="str">
        <f aca="false">IF(INT(N$3)=INT($C13), TEXT($C13, "dd-mmm"), "")</f>
        <v/>
      </c>
      <c r="O13" s="84" t="str">
        <f aca="false">IF(INT(O$3)=INT($C13), TEXT($C13, "dd-mmm"), "")</f>
        <v/>
      </c>
      <c r="P13" s="84" t="str">
        <f aca="false">IF(INT(P$3)=INT($C13), TEXT($C13, "dd-mmm"), "")</f>
        <v/>
      </c>
      <c r="Q13" s="84" t="str">
        <f aca="false">IF(INT(Q$3)=INT($C13), TEXT($C13, "dd-mmm"), "")</f>
        <v/>
      </c>
      <c r="R13" s="84" t="str">
        <f aca="false">IF(INT(R$3)=INT($C13), TEXT($C13, "dd-mmm"), "")</f>
        <v/>
      </c>
      <c r="S13" s="84" t="str">
        <f aca="false">IF(INT(S$3)=INT($C13), TEXT($C13, "dd-mmm"), "")</f>
        <v/>
      </c>
      <c r="T13" s="84" t="str">
        <f aca="false">IF(INT(T$3)=INT($C13), TEXT($C13, "dd-mmm"), "")</f>
        <v/>
      </c>
      <c r="U13" s="84" t="str">
        <f aca="false">IF(INT(U$3)=INT($C13), TEXT($C13, "dd-mmm"), "")</f>
        <v/>
      </c>
      <c r="V13" s="84" t="str">
        <f aca="false">IF(INT(V$3)=INT($C13), TEXT($C13, "dd-mmm"), "")</f>
        <v/>
      </c>
      <c r="W13" s="84" t="str">
        <f aca="false">IF(INT(W$3)=INT($C13), TEXT($C13, "dd-mmm"), "")</f>
        <v/>
      </c>
      <c r="X13" s="84" t="str">
        <f aca="false">IF(INT(X$3)=INT($C13), TEXT($C13, "dd-mmm"), "")</f>
        <v/>
      </c>
      <c r="Y13" s="84" t="str">
        <f aca="false">IF(INT(Y$3)=INT($C13), TEXT($C13, "dd-mmm"), "")</f>
        <v/>
      </c>
      <c r="Z13" s="84" t="str">
        <f aca="false">IF(INT(Z$3)=INT($C13), TEXT($C13, "dd-mmm"), "")</f>
        <v/>
      </c>
      <c r="AA13" s="84" t="str">
        <f aca="false">IF(INT(AA$3)=INT($C13), TEXT($C13, "dd-mmm"), "")</f>
        <v/>
      </c>
      <c r="AB13" s="84" t="str">
        <f aca="false">IF(INT(AB$3)=INT($C13), TEXT($C13, "dd-mmm"), "")</f>
        <v/>
      </c>
      <c r="AC13" s="84" t="str">
        <f aca="false">IF(INT(AC$3)=INT($C13), TEXT($C13, "dd-mmm"), "")</f>
        <v/>
      </c>
      <c r="AD13" s="84" t="str">
        <f aca="false">IF(INT(AD$3)=INT($C13), TEXT($C13, "dd-mmm"), "")</f>
        <v/>
      </c>
      <c r="AE13" s="84" t="str">
        <f aca="false">IF(INT(AE$3)=INT($C13), TEXT($C13, "dd-mmm"), "")</f>
        <v/>
      </c>
      <c r="AF13" s="84" t="str">
        <f aca="false">IF(INT(AF$3)=INT($C13), TEXT($C13, "dd-mmm"), "")</f>
        <v/>
      </c>
      <c r="AG13" s="84" t="str">
        <f aca="false">IF(INT(AG$3)=INT($C13), TEXT($C13, "dd-mmm"), "")</f>
        <v/>
      </c>
      <c r="AH13" s="84" t="str">
        <f aca="false">IF(INT(AH$3)=INT($C13), TEXT($C13, "dd-mmm"), "")</f>
        <v/>
      </c>
      <c r="AI13" s="84" t="str">
        <f aca="false">IF(INT(AI$3)=INT($C13), TEXT($C13, "dd-mmm"), "")</f>
        <v/>
      </c>
      <c r="AJ13" s="84" t="str">
        <f aca="false">IF(INT(AJ$3)=INT($C13), TEXT($C13, "dd-mmm"), "")</f>
        <v/>
      </c>
      <c r="AK13" s="84" t="str">
        <f aca="false">IF(INT(AK$3)=INT($C13), TEXT($C13, "dd-mmm"), "")</f>
        <v/>
      </c>
      <c r="AL13" s="84" t="str">
        <f aca="false">IF(INT(AL$3)=INT($C13), TEXT($C13, "dd-mmm"), "")</f>
        <v/>
      </c>
      <c r="AM13" s="84" t="str">
        <f aca="false">IF(INT(AM$3)=INT($C13), TEXT($C13, "dd-mmm"), "")</f>
        <v/>
      </c>
      <c r="AN13" s="84" t="str">
        <f aca="false">IF(INT(AN$3)=INT($C13), TEXT($C13, "dd-mmm"), "")</f>
        <v/>
      </c>
      <c r="AO13" s="84" t="str">
        <f aca="false">IF(INT(AO$3)=INT($C13), TEXT($C13, "dd-mmm"), "")</f>
        <v/>
      </c>
      <c r="AP13" s="84" t="str">
        <f aca="false">IF(INT(AP$3)=INT($C13), TEXT($C13, "dd-mmm"), "")</f>
        <v/>
      </c>
      <c r="AQ13" s="84" t="str">
        <f aca="false">IF(INT(AQ$3)=INT($C13), TEXT($C13, "dd-mmm"), "")</f>
        <v/>
      </c>
      <c r="AR13" s="84" t="str">
        <f aca="false">IF(INT(AR$3)=INT($C13), TEXT($C13, "dd-mmm"), "")</f>
        <v/>
      </c>
      <c r="AS13" s="84" t="str">
        <f aca="false">IF(INT(AS$3)=INT($C13), TEXT($C13, "dd-mmm"), "")</f>
        <v/>
      </c>
      <c r="AT13" s="84" t="str">
        <f aca="false">IF(INT(AT$3)=INT($C13), TEXT($C13, "dd-mmm"), "")</f>
        <v/>
      </c>
      <c r="AU13" s="84" t="str">
        <f aca="false">IF(INT(AU$3)=INT($C13), TEXT($C13, "dd-mmm"), "")</f>
        <v/>
      </c>
      <c r="AV13" s="84" t="str">
        <f aca="false">IF(INT(AV$3)=INT($C13), TEXT($C13, "dd-mmm"), "")</f>
        <v/>
      </c>
      <c r="AW13" s="84" t="str">
        <f aca="false">IF(INT(AW$3)=INT($C13), TEXT($C13, "dd-mmm"), "")</f>
        <v/>
      </c>
      <c r="AX13" s="84" t="str">
        <f aca="false">IF(INT(AX$3)=INT($C13), TEXT($C13, "dd-mmm"), "")</f>
        <v/>
      </c>
      <c r="AY13" s="84" t="str">
        <f aca="false">IF(INT(AY$3)=INT($C13), TEXT($C13, "dd-mmm"), "")</f>
        <v/>
      </c>
      <c r="AZ13" s="84" t="str">
        <f aca="false">IF(INT(AZ$3)=INT($C13), TEXT($C13, "dd-mmm"), "")</f>
        <v/>
      </c>
      <c r="BA13" s="84" t="str">
        <f aca="false">IF(INT(BA$3)=INT($C13), TEXT($C13, "dd-mmm"), "")</f>
        <v/>
      </c>
      <c r="BB13" s="84" t="str">
        <f aca="false">IF(INT(BB$3)=INT($C13), TEXT($C13, "dd-mmm"), "")</f>
        <v/>
      </c>
      <c r="BC13" s="84" t="str">
        <f aca="false">IF(INT(BC$3)=INT($C13), TEXT($C13, "dd-mmm"), "")</f>
        <v/>
      </c>
      <c r="BD13" s="84" t="str">
        <f aca="false">IF(INT(BD$3)=INT($C13), TEXT($C13, "dd-mmm"), "")</f>
        <v/>
      </c>
      <c r="BE13" s="84" t="str">
        <f aca="false">IF(INT(BE$3)=INT($C13), TEXT($C13, "dd-mmm"), "")</f>
        <v/>
      </c>
      <c r="BF13" s="84" t="str">
        <f aca="false">IF(INT(BF$3)=INT($C13), TEXT($C13, "dd-mmm"), "")</f>
        <v/>
      </c>
      <c r="BG13" s="84" t="str">
        <f aca="false">IF(INT(BG$3)=INT($C13), TEXT($C13, "dd-mmm"), "")</f>
        <v/>
      </c>
      <c r="BH13" s="84" t="str">
        <f aca="false">IF(INT(BH$3)=INT($C13), TEXT($C13, "dd-mmm"), "")</f>
        <v/>
      </c>
      <c r="BI13" s="84" t="str">
        <f aca="false">IF(INT(BI$3)=INT($C13), TEXT($C13, "dd-mmm"), "")</f>
        <v/>
      </c>
      <c r="BJ13" s="84" t="str">
        <f aca="false">IF(INT(BJ$3)=INT($C13), TEXT($C13, "dd-mmm"), "")</f>
        <v/>
      </c>
      <c r="BK13" s="84" t="str">
        <f aca="false">IF(INT(BK$3)=INT($C13), TEXT($C13, "dd-mmm"), "")</f>
        <v/>
      </c>
      <c r="BL13" s="84" t="str">
        <f aca="false">IF(INT(BL$3)=INT($C13), TEXT($C13, "dd-mmm"), "")</f>
        <v/>
      </c>
      <c r="BM13" s="84" t="str">
        <f aca="false">IF(INT(BM$3)=INT($C13), TEXT($C13, "dd-mmm"), "")</f>
        <v/>
      </c>
      <c r="BN13" s="84" t="str">
        <f aca="false">IF(INT(BN$3)=INT($C13), TEXT($C13, "dd-mmm"), "")</f>
        <v/>
      </c>
    </row>
    <row r="14" customFormat="false" ht="15" hidden="false" customHeight="true" outlineLevel="0" collapsed="false">
      <c r="A14" s="4" t="str">
        <f aca="false">Machine_List!A14</f>
        <v>CARVING</v>
      </c>
      <c r="B14" s="4" t="str">
        <f aca="false">Machine_List!B14</f>
        <v>CARVING-MC-01</v>
      </c>
      <c r="C14" s="12" t="n">
        <f aca="false">Machine_List!C14</f>
        <v>46418</v>
      </c>
      <c r="D14" s="4" t="n">
        <f aca="false">Machine_List!D14</f>
        <v>6</v>
      </c>
      <c r="E14" s="4" t="n">
        <f aca="true">C14-TODAY()</f>
        <v>300</v>
      </c>
      <c r="F14" s="4" t="str">
        <f aca="false">IF(E14&lt;0,"OVERDUE",IF(E14&lt;=5,"DUE SOON","OK"))</f>
        <v>OK</v>
      </c>
      <c r="G14" s="84" t="str">
        <f aca="false">IF(INT(G$3)=INT($C14), TEXT($C14, "dd-mmm"), "")</f>
        <v/>
      </c>
      <c r="H14" s="84" t="str">
        <f aca="false">IF(INT(H$3)=INT($C14), TEXT($C14, "dd-mmm"), "")</f>
        <v/>
      </c>
      <c r="I14" s="84" t="str">
        <f aca="false">IF(INT(I$3)=INT($C14), TEXT($C14, "dd-mmm"), "")</f>
        <v/>
      </c>
      <c r="J14" s="84" t="str">
        <f aca="false">IF(INT(J$3)=INT($C14), TEXT($C14, "dd-mmm"), "")</f>
        <v/>
      </c>
      <c r="K14" s="84" t="str">
        <f aca="false">IF(INT(K$3)=INT($C14), TEXT($C14, "dd-mmm"), "")</f>
        <v/>
      </c>
      <c r="L14" s="84" t="str">
        <f aca="false">IF(INT(L$3)=INT($C14), TEXT($C14, "dd-mmm"), "")</f>
        <v/>
      </c>
      <c r="M14" s="84" t="str">
        <f aca="false">IF(INT(M$3)=INT($C14), TEXT($C14, "dd-mmm"), "")</f>
        <v/>
      </c>
      <c r="N14" s="84" t="str">
        <f aca="false">IF(INT(N$3)=INT($C14), TEXT($C14, "dd-mmm"), "")</f>
        <v/>
      </c>
      <c r="O14" s="84" t="str">
        <f aca="false">IF(INT(O$3)=INT($C14), TEXT($C14, "dd-mmm"), "")</f>
        <v/>
      </c>
      <c r="P14" s="84" t="str">
        <f aca="false">IF(INT(P$3)=INT($C14), TEXT($C14, "dd-mmm"), "")</f>
        <v/>
      </c>
      <c r="Q14" s="84" t="str">
        <f aca="false">IF(INT(Q$3)=INT($C14), TEXT($C14, "dd-mmm"), "")</f>
        <v/>
      </c>
      <c r="R14" s="84" t="str">
        <f aca="false">IF(INT(R$3)=INT($C14), TEXT($C14, "dd-mmm"), "")</f>
        <v/>
      </c>
      <c r="S14" s="84" t="str">
        <f aca="false">IF(INT(S$3)=INT($C14), TEXT($C14, "dd-mmm"), "")</f>
        <v/>
      </c>
      <c r="T14" s="84" t="str">
        <f aca="false">IF(INT(T$3)=INT($C14), TEXT($C14, "dd-mmm"), "")</f>
        <v/>
      </c>
      <c r="U14" s="84" t="str">
        <f aca="false">IF(INT(U$3)=INT($C14), TEXT($C14, "dd-mmm"), "")</f>
        <v/>
      </c>
      <c r="V14" s="84" t="str">
        <f aca="false">IF(INT(V$3)=INT($C14), TEXT($C14, "dd-mmm"), "")</f>
        <v/>
      </c>
      <c r="W14" s="84" t="str">
        <f aca="false">IF(INT(W$3)=INT($C14), TEXT($C14, "dd-mmm"), "")</f>
        <v/>
      </c>
      <c r="X14" s="84" t="str">
        <f aca="false">IF(INT(X$3)=INT($C14), TEXT($C14, "dd-mmm"), "")</f>
        <v/>
      </c>
      <c r="Y14" s="84" t="str">
        <f aca="false">IF(INT(Y$3)=INT($C14), TEXT($C14, "dd-mmm"), "")</f>
        <v/>
      </c>
      <c r="Z14" s="84" t="str">
        <f aca="false">IF(INT(Z$3)=INT($C14), TEXT($C14, "dd-mmm"), "")</f>
        <v/>
      </c>
      <c r="AA14" s="84" t="str">
        <f aca="false">IF(INT(AA$3)=INT($C14), TEXT($C14, "dd-mmm"), "")</f>
        <v/>
      </c>
      <c r="AB14" s="84" t="str">
        <f aca="false">IF(INT(AB$3)=INT($C14), TEXT($C14, "dd-mmm"), "")</f>
        <v/>
      </c>
      <c r="AC14" s="84" t="str">
        <f aca="false">IF(INT(AC$3)=INT($C14), TEXT($C14, "dd-mmm"), "")</f>
        <v/>
      </c>
      <c r="AD14" s="84" t="str">
        <f aca="false">IF(INT(AD$3)=INT($C14), TEXT($C14, "dd-mmm"), "")</f>
        <v/>
      </c>
      <c r="AE14" s="84" t="str">
        <f aca="false">IF(INT(AE$3)=INT($C14), TEXT($C14, "dd-mmm"), "")</f>
        <v/>
      </c>
      <c r="AF14" s="84" t="str">
        <f aca="false">IF(INT(AF$3)=INT($C14), TEXT($C14, "dd-mmm"), "")</f>
        <v/>
      </c>
      <c r="AG14" s="84" t="str">
        <f aca="false">IF(INT(AG$3)=INT($C14), TEXT($C14, "dd-mmm"), "")</f>
        <v/>
      </c>
      <c r="AH14" s="84" t="str">
        <f aca="false">IF(INT(AH$3)=INT($C14), TEXT($C14, "dd-mmm"), "")</f>
        <v/>
      </c>
      <c r="AI14" s="84" t="str">
        <f aca="false">IF(INT(AI$3)=INT($C14), TEXT($C14, "dd-mmm"), "")</f>
        <v/>
      </c>
      <c r="AJ14" s="84" t="str">
        <f aca="false">IF(INT(AJ$3)=INT($C14), TEXT($C14, "dd-mmm"), "")</f>
        <v/>
      </c>
      <c r="AK14" s="84" t="str">
        <f aca="false">IF(INT(AK$3)=INT($C14), TEXT($C14, "dd-mmm"), "")</f>
        <v/>
      </c>
      <c r="AL14" s="84" t="str">
        <f aca="false">IF(INT(AL$3)=INT($C14), TEXT($C14, "dd-mmm"), "")</f>
        <v/>
      </c>
      <c r="AM14" s="84" t="str">
        <f aca="false">IF(INT(AM$3)=INT($C14), TEXT($C14, "dd-mmm"), "")</f>
        <v/>
      </c>
      <c r="AN14" s="84" t="str">
        <f aca="false">IF(INT(AN$3)=INT($C14), TEXT($C14, "dd-mmm"), "")</f>
        <v/>
      </c>
      <c r="AO14" s="84" t="str">
        <f aca="false">IF(INT(AO$3)=INT($C14), TEXT($C14, "dd-mmm"), "")</f>
        <v/>
      </c>
      <c r="AP14" s="84" t="str">
        <f aca="false">IF(INT(AP$3)=INT($C14), TEXT($C14, "dd-mmm"), "")</f>
        <v/>
      </c>
      <c r="AQ14" s="84" t="str">
        <f aca="false">IF(INT(AQ$3)=INT($C14), TEXT($C14, "dd-mmm"), "")</f>
        <v/>
      </c>
      <c r="AR14" s="84" t="str">
        <f aca="false">IF(INT(AR$3)=INT($C14), TEXT($C14, "dd-mmm"), "")</f>
        <v/>
      </c>
      <c r="AS14" s="84" t="str">
        <f aca="false">IF(INT(AS$3)=INT($C14), TEXT($C14, "dd-mmm"), "")</f>
        <v/>
      </c>
      <c r="AT14" s="84" t="str">
        <f aca="false">IF(INT(AT$3)=INT($C14), TEXT($C14, "dd-mmm"), "")</f>
        <v/>
      </c>
      <c r="AU14" s="84" t="str">
        <f aca="false">IF(INT(AU$3)=INT($C14), TEXT($C14, "dd-mmm"), "")</f>
        <v/>
      </c>
      <c r="AV14" s="84" t="str">
        <f aca="false">IF(INT(AV$3)=INT($C14), TEXT($C14, "dd-mmm"), "")</f>
        <v/>
      </c>
      <c r="AW14" s="84" t="str">
        <f aca="false">IF(INT(AW$3)=INT($C14), TEXT($C14, "dd-mmm"), "")</f>
        <v/>
      </c>
      <c r="AX14" s="84" t="str">
        <f aca="false">IF(INT(AX$3)=INT($C14), TEXT($C14, "dd-mmm"), "")</f>
        <v/>
      </c>
      <c r="AY14" s="84" t="str">
        <f aca="false">IF(INT(AY$3)=INT($C14), TEXT($C14, "dd-mmm"), "")</f>
        <v/>
      </c>
      <c r="AZ14" s="84" t="str">
        <f aca="false">IF(INT(AZ$3)=INT($C14), TEXT($C14, "dd-mmm"), "")</f>
        <v/>
      </c>
      <c r="BA14" s="84" t="str">
        <f aca="false">IF(INT(BA$3)=INT($C14), TEXT($C14, "dd-mmm"), "")</f>
        <v/>
      </c>
      <c r="BB14" s="84" t="str">
        <f aca="false">IF(INT(BB$3)=INT($C14), TEXT($C14, "dd-mmm"), "")</f>
        <v/>
      </c>
      <c r="BC14" s="84" t="str">
        <f aca="false">IF(INT(BC$3)=INT($C14), TEXT($C14, "dd-mmm"), "")</f>
        <v/>
      </c>
      <c r="BD14" s="84" t="str">
        <f aca="false">IF(INT(BD$3)=INT($C14), TEXT($C14, "dd-mmm"), "")</f>
        <v/>
      </c>
      <c r="BE14" s="84" t="str">
        <f aca="false">IF(INT(BE$3)=INT($C14), TEXT($C14, "dd-mmm"), "")</f>
        <v/>
      </c>
      <c r="BF14" s="84" t="str">
        <f aca="false">IF(INT(BF$3)=INT($C14), TEXT($C14, "dd-mmm"), "")</f>
        <v/>
      </c>
      <c r="BG14" s="84" t="str">
        <f aca="false">IF(INT(BG$3)=INT($C14), TEXT($C14, "dd-mmm"), "")</f>
        <v/>
      </c>
      <c r="BH14" s="84" t="str">
        <f aca="false">IF(INT(BH$3)=INT($C14), TEXT($C14, "dd-mmm"), "")</f>
        <v/>
      </c>
      <c r="BI14" s="84" t="str">
        <f aca="false">IF(INT(BI$3)=INT($C14), TEXT($C14, "dd-mmm"), "")</f>
        <v/>
      </c>
      <c r="BJ14" s="84" t="str">
        <f aca="false">IF(INT(BJ$3)=INT($C14), TEXT($C14, "dd-mmm"), "")</f>
        <v/>
      </c>
      <c r="BK14" s="84" t="str">
        <f aca="false">IF(INT(BK$3)=INT($C14), TEXT($C14, "dd-mmm"), "")</f>
        <v/>
      </c>
      <c r="BL14" s="84" t="str">
        <f aca="false">IF(INT(BL$3)=INT($C14), TEXT($C14, "dd-mmm"), "")</f>
        <v/>
      </c>
      <c r="BM14" s="84" t="str">
        <f aca="false">IF(INT(BM$3)=INT($C14), TEXT($C14, "dd-mmm"), "")</f>
        <v/>
      </c>
      <c r="BN14" s="84" t="str">
        <f aca="false">IF(INT(BN$3)=INT($C14), TEXT($C14, "dd-mmm"), "")</f>
        <v/>
      </c>
    </row>
    <row r="15" customFormat="false" ht="15" hidden="false" customHeight="true" outlineLevel="0" collapsed="false">
      <c r="A15" s="4" t="str">
        <f aca="false">Machine_List!A15</f>
        <v>CARVING</v>
      </c>
      <c r="B15" s="4" t="str">
        <f aca="false">Machine_List!B15</f>
        <v>CARVING-MC-02</v>
      </c>
      <c r="C15" s="12" t="n">
        <f aca="false">Machine_List!C15</f>
        <v>46282</v>
      </c>
      <c r="D15" s="4" t="n">
        <f aca="false">Machine_List!D15</f>
        <v>6</v>
      </c>
      <c r="E15" s="4" t="n">
        <f aca="true">C15-TODAY()</f>
        <v>164</v>
      </c>
      <c r="F15" s="4" t="str">
        <f aca="false">IF(E15&lt;0,"OVERDUE",IF(E15&lt;=5,"DUE SOON","OK"))</f>
        <v>OK</v>
      </c>
      <c r="G15" s="84" t="str">
        <f aca="false">IF(INT(G$3)=INT($C15), TEXT($C15, "dd-mmm"), "")</f>
        <v/>
      </c>
      <c r="H15" s="84" t="str">
        <f aca="false">IF(INT(H$3)=INT($C15), TEXT($C15, "dd-mmm"), "")</f>
        <v/>
      </c>
      <c r="I15" s="84" t="str">
        <f aca="false">IF(INT(I$3)=INT($C15), TEXT($C15, "dd-mmm"), "")</f>
        <v/>
      </c>
      <c r="J15" s="84" t="str">
        <f aca="false">IF(INT(J$3)=INT($C15), TEXT($C15, "dd-mmm"), "")</f>
        <v/>
      </c>
      <c r="K15" s="84" t="str">
        <f aca="false">IF(INT(K$3)=INT($C15), TEXT($C15, "dd-mmm"), "")</f>
        <v/>
      </c>
      <c r="L15" s="84" t="str">
        <f aca="false">IF(INT(L$3)=INT($C15), TEXT($C15, "dd-mmm"), "")</f>
        <v/>
      </c>
      <c r="M15" s="84" t="str">
        <f aca="false">IF(INT(M$3)=INT($C15), TEXT($C15, "dd-mmm"), "")</f>
        <v/>
      </c>
      <c r="N15" s="84" t="str">
        <f aca="false">IF(INT(N$3)=INT($C15), TEXT($C15, "dd-mmm"), "")</f>
        <v/>
      </c>
      <c r="O15" s="84" t="str">
        <f aca="false">IF(INT(O$3)=INT($C15), TEXT($C15, "dd-mmm"), "")</f>
        <v/>
      </c>
      <c r="P15" s="84" t="str">
        <f aca="false">IF(INT(P$3)=INT($C15), TEXT($C15, "dd-mmm"), "")</f>
        <v/>
      </c>
      <c r="Q15" s="84" t="str">
        <f aca="false">IF(INT(Q$3)=INT($C15), TEXT($C15, "dd-mmm"), "")</f>
        <v/>
      </c>
      <c r="R15" s="84" t="str">
        <f aca="false">IF(INT(R$3)=INT($C15), TEXT($C15, "dd-mmm"), "")</f>
        <v/>
      </c>
      <c r="S15" s="84" t="str">
        <f aca="false">IF(INT(S$3)=INT($C15), TEXT($C15, "dd-mmm"), "")</f>
        <v/>
      </c>
      <c r="T15" s="84" t="str">
        <f aca="false">IF(INT(T$3)=INT($C15), TEXT($C15, "dd-mmm"), "")</f>
        <v/>
      </c>
      <c r="U15" s="84" t="str">
        <f aca="false">IF(INT(U$3)=INT($C15), TEXT($C15, "dd-mmm"), "")</f>
        <v/>
      </c>
      <c r="V15" s="84" t="str">
        <f aca="false">IF(INT(V$3)=INT($C15), TEXT($C15, "dd-mmm"), "")</f>
        <v/>
      </c>
      <c r="W15" s="84" t="str">
        <f aca="false">IF(INT(W$3)=INT($C15), TEXT($C15, "dd-mmm"), "")</f>
        <v/>
      </c>
      <c r="X15" s="84" t="str">
        <f aca="false">IF(INT(X$3)=INT($C15), TEXT($C15, "dd-mmm"), "")</f>
        <v/>
      </c>
      <c r="Y15" s="84" t="str">
        <f aca="false">IF(INT(Y$3)=INT($C15), TEXT($C15, "dd-mmm"), "")</f>
        <v/>
      </c>
      <c r="Z15" s="84" t="str">
        <f aca="false">IF(INT(Z$3)=INT($C15), TEXT($C15, "dd-mmm"), "")</f>
        <v/>
      </c>
      <c r="AA15" s="84" t="str">
        <f aca="false">IF(INT(AA$3)=INT($C15), TEXT($C15, "dd-mmm"), "")</f>
        <v/>
      </c>
      <c r="AB15" s="84" t="str">
        <f aca="false">IF(INT(AB$3)=INT($C15), TEXT($C15, "dd-mmm"), "")</f>
        <v/>
      </c>
      <c r="AC15" s="84" t="str">
        <f aca="false">IF(INT(AC$3)=INT($C15), TEXT($C15, "dd-mmm"), "")</f>
        <v/>
      </c>
      <c r="AD15" s="84" t="str">
        <f aca="false">IF(INT(AD$3)=INT($C15), TEXT($C15, "dd-mmm"), "")</f>
        <v/>
      </c>
      <c r="AE15" s="84" t="str">
        <f aca="false">IF(INT(AE$3)=INT($C15), TEXT($C15, "dd-mmm"), "")</f>
        <v/>
      </c>
      <c r="AF15" s="84" t="str">
        <f aca="false">IF(INT(AF$3)=INT($C15), TEXT($C15, "dd-mmm"), "")</f>
        <v/>
      </c>
      <c r="AG15" s="84" t="str">
        <f aca="false">IF(INT(AG$3)=INT($C15), TEXT($C15, "dd-mmm"), "")</f>
        <v/>
      </c>
      <c r="AH15" s="84" t="str">
        <f aca="false">IF(INT(AH$3)=INT($C15), TEXT($C15, "dd-mmm"), "")</f>
        <v/>
      </c>
      <c r="AI15" s="84" t="str">
        <f aca="false">IF(INT(AI$3)=INT($C15), TEXT($C15, "dd-mmm"), "")</f>
        <v/>
      </c>
      <c r="AJ15" s="84" t="str">
        <f aca="false">IF(INT(AJ$3)=INT($C15), TEXT($C15, "dd-mmm"), "")</f>
        <v/>
      </c>
      <c r="AK15" s="84" t="str">
        <f aca="false">IF(INT(AK$3)=INT($C15), TEXT($C15, "dd-mmm"), "")</f>
        <v/>
      </c>
      <c r="AL15" s="84" t="str">
        <f aca="false">IF(INT(AL$3)=INT($C15), TEXT($C15, "dd-mmm"), "")</f>
        <v/>
      </c>
      <c r="AM15" s="84" t="str">
        <f aca="false">IF(INT(AM$3)=INT($C15), TEXT($C15, "dd-mmm"), "")</f>
        <v/>
      </c>
      <c r="AN15" s="84" t="str">
        <f aca="false">IF(INT(AN$3)=INT($C15), TEXT($C15, "dd-mmm"), "")</f>
        <v/>
      </c>
      <c r="AO15" s="84" t="str">
        <f aca="false">IF(INT(AO$3)=INT($C15), TEXT($C15, "dd-mmm"), "")</f>
        <v/>
      </c>
      <c r="AP15" s="84" t="str">
        <f aca="false">IF(INT(AP$3)=INT($C15), TEXT($C15, "dd-mmm"), "")</f>
        <v/>
      </c>
      <c r="AQ15" s="84" t="str">
        <f aca="false">IF(INT(AQ$3)=INT($C15), TEXT($C15, "dd-mmm"), "")</f>
        <v/>
      </c>
      <c r="AR15" s="84" t="str">
        <f aca="false">IF(INT(AR$3)=INT($C15), TEXT($C15, "dd-mmm"), "")</f>
        <v/>
      </c>
      <c r="AS15" s="84" t="str">
        <f aca="false">IF(INT(AS$3)=INT($C15), TEXT($C15, "dd-mmm"), "")</f>
        <v/>
      </c>
      <c r="AT15" s="84" t="str">
        <f aca="false">IF(INT(AT$3)=INT($C15), TEXT($C15, "dd-mmm"), "")</f>
        <v/>
      </c>
      <c r="AU15" s="84" t="str">
        <f aca="false">IF(INT(AU$3)=INT($C15), TEXT($C15, "dd-mmm"), "")</f>
        <v/>
      </c>
      <c r="AV15" s="84" t="str">
        <f aca="false">IF(INT(AV$3)=INT($C15), TEXT($C15, "dd-mmm"), "")</f>
        <v/>
      </c>
      <c r="AW15" s="84" t="str">
        <f aca="false">IF(INT(AW$3)=INT($C15), TEXT($C15, "dd-mmm"), "")</f>
        <v/>
      </c>
      <c r="AX15" s="84" t="str">
        <f aca="false">IF(INT(AX$3)=INT($C15), TEXT($C15, "dd-mmm"), "")</f>
        <v/>
      </c>
      <c r="AY15" s="84" t="str">
        <f aca="false">IF(INT(AY$3)=INT($C15), TEXT($C15, "dd-mmm"), "")</f>
        <v/>
      </c>
      <c r="AZ15" s="84" t="str">
        <f aca="false">IF(INT(AZ$3)=INT($C15), TEXT($C15, "dd-mmm"), "")</f>
        <v/>
      </c>
      <c r="BA15" s="84" t="str">
        <f aca="false">IF(INT(BA$3)=INT($C15), TEXT($C15, "dd-mmm"), "")</f>
        <v/>
      </c>
      <c r="BB15" s="84" t="str">
        <f aca="false">IF(INT(BB$3)=INT($C15), TEXT($C15, "dd-mmm"), "")</f>
        <v/>
      </c>
      <c r="BC15" s="84" t="str">
        <f aca="false">IF(INT(BC$3)=INT($C15), TEXT($C15, "dd-mmm"), "")</f>
        <v/>
      </c>
      <c r="BD15" s="84" t="str">
        <f aca="false">IF(INT(BD$3)=INT($C15), TEXT($C15, "dd-mmm"), "")</f>
        <v/>
      </c>
      <c r="BE15" s="84" t="str">
        <f aca="false">IF(INT(BE$3)=INT($C15), TEXT($C15, "dd-mmm"), "")</f>
        <v/>
      </c>
      <c r="BF15" s="84" t="str">
        <f aca="false">IF(INT(BF$3)=INT($C15), TEXT($C15, "dd-mmm"), "")</f>
        <v/>
      </c>
      <c r="BG15" s="84" t="str">
        <f aca="false">IF(INT(BG$3)=INT($C15), TEXT($C15, "dd-mmm"), "")</f>
        <v/>
      </c>
      <c r="BH15" s="84" t="str">
        <f aca="false">IF(INT(BH$3)=INT($C15), TEXT($C15, "dd-mmm"), "")</f>
        <v/>
      </c>
      <c r="BI15" s="84" t="str">
        <f aca="false">IF(INT(BI$3)=INT($C15), TEXT($C15, "dd-mmm"), "")</f>
        <v/>
      </c>
      <c r="BJ15" s="84" t="str">
        <f aca="false">IF(INT(BJ$3)=INT($C15), TEXT($C15, "dd-mmm"), "")</f>
        <v/>
      </c>
      <c r="BK15" s="84" t="str">
        <f aca="false">IF(INT(BK$3)=INT($C15), TEXT($C15, "dd-mmm"), "")</f>
        <v/>
      </c>
      <c r="BL15" s="84" t="str">
        <f aca="false">IF(INT(BL$3)=INT($C15), TEXT($C15, "dd-mmm"), "")</f>
        <v/>
      </c>
      <c r="BM15" s="84" t="str">
        <f aca="false">IF(INT(BM$3)=INT($C15), TEXT($C15, "dd-mmm"), "")</f>
        <v/>
      </c>
      <c r="BN15" s="84" t="str">
        <f aca="false">IF(INT(BN$3)=INT($C15), TEXT($C15, "dd-mmm"), "")</f>
        <v/>
      </c>
    </row>
    <row r="16" customFormat="false" ht="15" hidden="false" customHeight="true" outlineLevel="0" collapsed="false">
      <c r="A16" s="4" t="str">
        <f aca="false">Machine_List!A16</f>
        <v>CARVING</v>
      </c>
      <c r="B16" s="4" t="str">
        <f aca="false">Machine_List!B16</f>
        <v>CARVING-MC-03</v>
      </c>
      <c r="C16" s="12" t="n">
        <f aca="false">Machine_List!C16</f>
        <v>46296</v>
      </c>
      <c r="D16" s="4" t="n">
        <f aca="false">Machine_List!D16</f>
        <v>6</v>
      </c>
      <c r="E16" s="4" t="n">
        <f aca="true">C16-TODAY()</f>
        <v>178</v>
      </c>
      <c r="F16" s="4" t="str">
        <f aca="false">IF(E16&lt;0,"OVERDUE",IF(E16&lt;=5,"DUE SOON","OK"))</f>
        <v>OK</v>
      </c>
      <c r="G16" s="84" t="str">
        <f aca="false">IF(INT(G$3)=INT($C16), TEXT($C16, "dd-mmm"), "")</f>
        <v/>
      </c>
      <c r="H16" s="84" t="str">
        <f aca="false">IF(INT(H$3)=INT($C16), TEXT($C16, "dd-mmm"), "")</f>
        <v/>
      </c>
      <c r="I16" s="84" t="str">
        <f aca="false">IF(INT(I$3)=INT($C16), TEXT($C16, "dd-mmm"), "")</f>
        <v/>
      </c>
      <c r="J16" s="84" t="str">
        <f aca="false">IF(INT(J$3)=INT($C16), TEXT($C16, "dd-mmm"), "")</f>
        <v/>
      </c>
      <c r="K16" s="84" t="str">
        <f aca="false">IF(INT(K$3)=INT($C16), TEXT($C16, "dd-mmm"), "")</f>
        <v/>
      </c>
      <c r="L16" s="84" t="str">
        <f aca="false">IF(INT(L$3)=INT($C16), TEXT($C16, "dd-mmm"), "")</f>
        <v/>
      </c>
      <c r="M16" s="84" t="str">
        <f aca="false">IF(INT(M$3)=INT($C16), TEXT($C16, "dd-mmm"), "")</f>
        <v/>
      </c>
      <c r="N16" s="84" t="str">
        <f aca="false">IF(INT(N$3)=INT($C16), TEXT($C16, "dd-mmm"), "")</f>
        <v/>
      </c>
      <c r="O16" s="84" t="str">
        <f aca="false">IF(INT(O$3)=INT($C16), TEXT($C16, "dd-mmm"), "")</f>
        <v/>
      </c>
      <c r="P16" s="84" t="str">
        <f aca="false">IF(INT(P$3)=INT($C16), TEXT($C16, "dd-mmm"), "")</f>
        <v/>
      </c>
      <c r="Q16" s="84" t="str">
        <f aca="false">IF(INT(Q$3)=INT($C16), TEXT($C16, "dd-mmm"), "")</f>
        <v/>
      </c>
      <c r="R16" s="84" t="str">
        <f aca="false">IF(INT(R$3)=INT($C16), TEXT($C16, "dd-mmm"), "")</f>
        <v/>
      </c>
      <c r="S16" s="84" t="str">
        <f aca="false">IF(INT(S$3)=INT($C16), TEXT($C16, "dd-mmm"), "")</f>
        <v/>
      </c>
      <c r="T16" s="84" t="str">
        <f aca="false">IF(INT(T$3)=INT($C16), TEXT($C16, "dd-mmm"), "")</f>
        <v/>
      </c>
      <c r="U16" s="84" t="str">
        <f aca="false">IF(INT(U$3)=INT($C16), TEXT($C16, "dd-mmm"), "")</f>
        <v/>
      </c>
      <c r="V16" s="84" t="str">
        <f aca="false">IF(INT(V$3)=INT($C16), TEXT($C16, "dd-mmm"), "")</f>
        <v/>
      </c>
      <c r="W16" s="84" t="str">
        <f aca="false">IF(INT(W$3)=INT($C16), TEXT($C16, "dd-mmm"), "")</f>
        <v/>
      </c>
      <c r="X16" s="84" t="str">
        <f aca="false">IF(INT(X$3)=INT($C16), TEXT($C16, "dd-mmm"), "")</f>
        <v/>
      </c>
      <c r="Y16" s="84" t="str">
        <f aca="false">IF(INT(Y$3)=INT($C16), TEXT($C16, "dd-mmm"), "")</f>
        <v/>
      </c>
      <c r="Z16" s="84" t="str">
        <f aca="false">IF(INT(Z$3)=INT($C16), TEXT($C16, "dd-mmm"), "")</f>
        <v/>
      </c>
      <c r="AA16" s="84" t="str">
        <f aca="false">IF(INT(AA$3)=INT($C16), TEXT($C16, "dd-mmm"), "")</f>
        <v/>
      </c>
      <c r="AB16" s="84" t="str">
        <f aca="false">IF(INT(AB$3)=INT($C16), TEXT($C16, "dd-mmm"), "")</f>
        <v/>
      </c>
      <c r="AC16" s="84" t="str">
        <f aca="false">IF(INT(AC$3)=INT($C16), TEXT($C16, "dd-mmm"), "")</f>
        <v/>
      </c>
      <c r="AD16" s="84" t="str">
        <f aca="false">IF(INT(AD$3)=INT($C16), TEXT($C16, "dd-mmm"), "")</f>
        <v/>
      </c>
      <c r="AE16" s="84" t="str">
        <f aca="false">IF(INT(AE$3)=INT($C16), TEXT($C16, "dd-mmm"), "")</f>
        <v/>
      </c>
      <c r="AF16" s="84" t="str">
        <f aca="false">IF(INT(AF$3)=INT($C16), TEXT($C16, "dd-mmm"), "")</f>
        <v/>
      </c>
      <c r="AG16" s="84" t="str">
        <f aca="false">IF(INT(AG$3)=INT($C16), TEXT($C16, "dd-mmm"), "")</f>
        <v/>
      </c>
      <c r="AH16" s="84" t="str">
        <f aca="false">IF(INT(AH$3)=INT($C16), TEXT($C16, "dd-mmm"), "")</f>
        <v/>
      </c>
      <c r="AI16" s="84" t="str">
        <f aca="false">IF(INT(AI$3)=INT($C16), TEXT($C16, "dd-mmm"), "")</f>
        <v/>
      </c>
      <c r="AJ16" s="84" t="str">
        <f aca="false">IF(INT(AJ$3)=INT($C16), TEXT($C16, "dd-mmm"), "")</f>
        <v/>
      </c>
      <c r="AK16" s="84" t="str">
        <f aca="false">IF(INT(AK$3)=INT($C16), TEXT($C16, "dd-mmm"), "")</f>
        <v/>
      </c>
      <c r="AL16" s="84" t="str">
        <f aca="false">IF(INT(AL$3)=INT($C16), TEXT($C16, "dd-mmm"), "")</f>
        <v/>
      </c>
      <c r="AM16" s="84" t="str">
        <f aca="false">IF(INT(AM$3)=INT($C16), TEXT($C16, "dd-mmm"), "")</f>
        <v/>
      </c>
      <c r="AN16" s="84" t="str">
        <f aca="false">IF(INT(AN$3)=INT($C16), TEXT($C16, "dd-mmm"), "")</f>
        <v/>
      </c>
      <c r="AO16" s="84" t="str">
        <f aca="false">IF(INT(AO$3)=INT($C16), TEXT($C16, "dd-mmm"), "")</f>
        <v/>
      </c>
      <c r="AP16" s="84" t="str">
        <f aca="false">IF(INT(AP$3)=INT($C16), TEXT($C16, "dd-mmm"), "")</f>
        <v/>
      </c>
      <c r="AQ16" s="84" t="str">
        <f aca="false">IF(INT(AQ$3)=INT($C16), TEXT($C16, "dd-mmm"), "")</f>
        <v/>
      </c>
      <c r="AR16" s="84" t="str">
        <f aca="false">IF(INT(AR$3)=INT($C16), TEXT($C16, "dd-mmm"), "")</f>
        <v/>
      </c>
      <c r="AS16" s="84" t="str">
        <f aca="false">IF(INT(AS$3)=INT($C16), TEXT($C16, "dd-mmm"), "")</f>
        <v/>
      </c>
      <c r="AT16" s="84" t="str">
        <f aca="false">IF(INT(AT$3)=INT($C16), TEXT($C16, "dd-mmm"), "")</f>
        <v/>
      </c>
      <c r="AU16" s="84" t="str">
        <f aca="false">IF(INT(AU$3)=INT($C16), TEXT($C16, "dd-mmm"), "")</f>
        <v/>
      </c>
      <c r="AV16" s="84" t="str">
        <f aca="false">IF(INT(AV$3)=INT($C16), TEXT($C16, "dd-mmm"), "")</f>
        <v/>
      </c>
      <c r="AW16" s="84" t="str">
        <f aca="false">IF(INT(AW$3)=INT($C16), TEXT($C16, "dd-mmm"), "")</f>
        <v/>
      </c>
      <c r="AX16" s="84" t="str">
        <f aca="false">IF(INT(AX$3)=INT($C16), TEXT($C16, "dd-mmm"), "")</f>
        <v/>
      </c>
      <c r="AY16" s="84" t="str">
        <f aca="false">IF(INT(AY$3)=INT($C16), TEXT($C16, "dd-mmm"), "")</f>
        <v/>
      </c>
      <c r="AZ16" s="84" t="str">
        <f aca="false">IF(INT(AZ$3)=INT($C16), TEXT($C16, "dd-mmm"), "")</f>
        <v/>
      </c>
      <c r="BA16" s="84" t="str">
        <f aca="false">IF(INT(BA$3)=INT($C16), TEXT($C16, "dd-mmm"), "")</f>
        <v/>
      </c>
      <c r="BB16" s="84" t="str">
        <f aca="false">IF(INT(BB$3)=INT($C16), TEXT($C16, "dd-mmm"), "")</f>
        <v/>
      </c>
      <c r="BC16" s="84" t="str">
        <f aca="false">IF(INT(BC$3)=INT($C16), TEXT($C16, "dd-mmm"), "")</f>
        <v/>
      </c>
      <c r="BD16" s="84" t="str">
        <f aca="false">IF(INT(BD$3)=INT($C16), TEXT($C16, "dd-mmm"), "")</f>
        <v/>
      </c>
      <c r="BE16" s="84" t="str">
        <f aca="false">IF(INT(BE$3)=INT($C16), TEXT($C16, "dd-mmm"), "")</f>
        <v/>
      </c>
      <c r="BF16" s="84" t="str">
        <f aca="false">IF(INT(BF$3)=INT($C16), TEXT($C16, "dd-mmm"), "")</f>
        <v/>
      </c>
      <c r="BG16" s="84" t="str">
        <f aca="false">IF(INT(BG$3)=INT($C16), TEXT($C16, "dd-mmm"), "")</f>
        <v/>
      </c>
      <c r="BH16" s="84" t="str">
        <f aca="false">IF(INT(BH$3)=INT($C16), TEXT($C16, "dd-mmm"), "")</f>
        <v/>
      </c>
      <c r="BI16" s="84" t="str">
        <f aca="false">IF(INT(BI$3)=INT($C16), TEXT($C16, "dd-mmm"), "")</f>
        <v/>
      </c>
      <c r="BJ16" s="84" t="str">
        <f aca="false">IF(INT(BJ$3)=INT($C16), TEXT($C16, "dd-mmm"), "")</f>
        <v/>
      </c>
      <c r="BK16" s="84" t="str">
        <f aca="false">IF(INT(BK$3)=INT($C16), TEXT($C16, "dd-mmm"), "")</f>
        <v/>
      </c>
      <c r="BL16" s="84" t="str">
        <f aca="false">IF(INT(BL$3)=INT($C16), TEXT($C16, "dd-mmm"), "")</f>
        <v/>
      </c>
      <c r="BM16" s="84" t="str">
        <f aca="false">IF(INT(BM$3)=INT($C16), TEXT($C16, "dd-mmm"), "")</f>
        <v/>
      </c>
      <c r="BN16" s="84" t="str">
        <f aca="false">IF(INT(BN$3)=INT($C16), TEXT($C16, "dd-mmm"), "")</f>
        <v/>
      </c>
    </row>
    <row r="17" customFormat="false" ht="15" hidden="false" customHeight="true" outlineLevel="0" collapsed="false">
      <c r="A17" s="4" t="str">
        <f aca="false">Machine_List!A17</f>
        <v>CARVING</v>
      </c>
      <c r="B17" s="4" t="str">
        <f aca="false">Machine_List!B17</f>
        <v>CARVING-MC-04</v>
      </c>
      <c r="C17" s="12" t="n">
        <f aca="false">Machine_List!C17</f>
        <v>46237</v>
      </c>
      <c r="D17" s="4" t="n">
        <f aca="false">Machine_List!D17</f>
        <v>6</v>
      </c>
      <c r="E17" s="4" t="n">
        <f aca="true">C17-TODAY()</f>
        <v>119</v>
      </c>
      <c r="F17" s="4" t="str">
        <f aca="false">IF(E17&lt;0,"OVERDUE",IF(E17&lt;=5,"DUE SOON","OK"))</f>
        <v>OK</v>
      </c>
      <c r="G17" s="84" t="str">
        <f aca="false">IF(INT(G$3)=INT($C17), TEXT($C17, "dd-mmm"), "")</f>
        <v/>
      </c>
      <c r="H17" s="84" t="str">
        <f aca="false">IF(INT(H$3)=INT($C17), TEXT($C17, "dd-mmm"), "")</f>
        <v/>
      </c>
      <c r="I17" s="84" t="str">
        <f aca="false">IF(INT(I$3)=INT($C17), TEXT($C17, "dd-mmm"), "")</f>
        <v/>
      </c>
      <c r="J17" s="84" t="str">
        <f aca="false">IF(INT(J$3)=INT($C17), TEXT($C17, "dd-mmm"), "")</f>
        <v/>
      </c>
      <c r="K17" s="84" t="str">
        <f aca="false">IF(INT(K$3)=INT($C17), TEXT($C17, "dd-mmm"), "")</f>
        <v/>
      </c>
      <c r="L17" s="84" t="str">
        <f aca="false">IF(INT(L$3)=INT($C17), TEXT($C17, "dd-mmm"), "")</f>
        <v/>
      </c>
      <c r="M17" s="84" t="str">
        <f aca="false">IF(INT(M$3)=INT($C17), TEXT($C17, "dd-mmm"), "")</f>
        <v/>
      </c>
      <c r="N17" s="84" t="str">
        <f aca="false">IF(INT(N$3)=INT($C17), TEXT($C17, "dd-mmm"), "")</f>
        <v/>
      </c>
      <c r="O17" s="84" t="str">
        <f aca="false">IF(INT(O$3)=INT($C17), TEXT($C17, "dd-mmm"), "")</f>
        <v/>
      </c>
      <c r="P17" s="84" t="str">
        <f aca="false">IF(INT(P$3)=INT($C17), TEXT($C17, "dd-mmm"), "")</f>
        <v/>
      </c>
      <c r="Q17" s="84" t="str">
        <f aca="false">IF(INT(Q$3)=INT($C17), TEXT($C17, "dd-mmm"), "")</f>
        <v/>
      </c>
      <c r="R17" s="84" t="str">
        <f aca="false">IF(INT(R$3)=INT($C17), TEXT($C17, "dd-mmm"), "")</f>
        <v/>
      </c>
      <c r="S17" s="84" t="str">
        <f aca="false">IF(INT(S$3)=INT($C17), TEXT($C17, "dd-mmm"), "")</f>
        <v/>
      </c>
      <c r="T17" s="84" t="str">
        <f aca="false">IF(INT(T$3)=INT($C17), TEXT($C17, "dd-mmm"), "")</f>
        <v/>
      </c>
      <c r="U17" s="84" t="str">
        <f aca="false">IF(INT(U$3)=INT($C17), TEXT($C17, "dd-mmm"), "")</f>
        <v/>
      </c>
      <c r="V17" s="84" t="str">
        <f aca="false">IF(INT(V$3)=INT($C17), TEXT($C17, "dd-mmm"), "")</f>
        <v/>
      </c>
      <c r="W17" s="84" t="str">
        <f aca="false">IF(INT(W$3)=INT($C17), TEXT($C17, "dd-mmm"), "")</f>
        <v/>
      </c>
      <c r="X17" s="84" t="str">
        <f aca="false">IF(INT(X$3)=INT($C17), TEXT($C17, "dd-mmm"), "")</f>
        <v/>
      </c>
      <c r="Y17" s="84" t="str">
        <f aca="false">IF(INT(Y$3)=INT($C17), TEXT($C17, "dd-mmm"), "")</f>
        <v/>
      </c>
      <c r="Z17" s="84" t="str">
        <f aca="false">IF(INT(Z$3)=INT($C17), TEXT($C17, "dd-mmm"), "")</f>
        <v/>
      </c>
      <c r="AA17" s="84" t="str">
        <f aca="false">IF(INT(AA$3)=INT($C17), TEXT($C17, "dd-mmm"), "")</f>
        <v/>
      </c>
      <c r="AB17" s="84" t="str">
        <f aca="false">IF(INT(AB$3)=INT($C17), TEXT($C17, "dd-mmm"), "")</f>
        <v/>
      </c>
      <c r="AC17" s="84" t="str">
        <f aca="false">IF(INT(AC$3)=INT($C17), TEXT($C17, "dd-mmm"), "")</f>
        <v/>
      </c>
      <c r="AD17" s="84" t="str">
        <f aca="false">IF(INT(AD$3)=INT($C17), TEXT($C17, "dd-mmm"), "")</f>
        <v/>
      </c>
      <c r="AE17" s="84" t="str">
        <f aca="false">IF(INT(AE$3)=INT($C17), TEXT($C17, "dd-mmm"), "")</f>
        <v/>
      </c>
      <c r="AF17" s="84" t="str">
        <f aca="false">IF(INT(AF$3)=INT($C17), TEXT($C17, "dd-mmm"), "")</f>
        <v/>
      </c>
      <c r="AG17" s="84" t="str">
        <f aca="false">IF(INT(AG$3)=INT($C17), TEXT($C17, "dd-mmm"), "")</f>
        <v/>
      </c>
      <c r="AH17" s="84" t="str">
        <f aca="false">IF(INT(AH$3)=INT($C17), TEXT($C17, "dd-mmm"), "")</f>
        <v/>
      </c>
      <c r="AI17" s="84" t="str">
        <f aca="false">IF(INT(AI$3)=INT($C17), TEXT($C17, "dd-mmm"), "")</f>
        <v/>
      </c>
      <c r="AJ17" s="84" t="str">
        <f aca="false">IF(INT(AJ$3)=INT($C17), TEXT($C17, "dd-mmm"), "")</f>
        <v/>
      </c>
      <c r="AK17" s="84" t="str">
        <f aca="false">IF(INT(AK$3)=INT($C17), TEXT($C17, "dd-mmm"), "")</f>
        <v/>
      </c>
      <c r="AL17" s="84" t="str">
        <f aca="false">IF(INT(AL$3)=INT($C17), TEXT($C17, "dd-mmm"), "")</f>
        <v/>
      </c>
      <c r="AM17" s="84" t="str">
        <f aca="false">IF(INT(AM$3)=INT($C17), TEXT($C17, "dd-mmm"), "")</f>
        <v/>
      </c>
      <c r="AN17" s="84" t="str">
        <f aca="false">IF(INT(AN$3)=INT($C17), TEXT($C17, "dd-mmm"), "")</f>
        <v/>
      </c>
      <c r="AO17" s="84" t="str">
        <f aca="false">IF(INT(AO$3)=INT($C17), TEXT($C17, "dd-mmm"), "")</f>
        <v/>
      </c>
      <c r="AP17" s="84" t="str">
        <f aca="false">IF(INT(AP$3)=INT($C17), TEXT($C17, "dd-mmm"), "")</f>
        <v/>
      </c>
      <c r="AQ17" s="84" t="str">
        <f aca="false">IF(INT(AQ$3)=INT($C17), TEXT($C17, "dd-mmm"), "")</f>
        <v/>
      </c>
      <c r="AR17" s="84" t="str">
        <f aca="false">IF(INT(AR$3)=INT($C17), TEXT($C17, "dd-mmm"), "")</f>
        <v/>
      </c>
      <c r="AS17" s="84" t="str">
        <f aca="false">IF(INT(AS$3)=INT($C17), TEXT($C17, "dd-mmm"), "")</f>
        <v/>
      </c>
      <c r="AT17" s="84" t="str">
        <f aca="false">IF(INT(AT$3)=INT($C17), TEXT($C17, "dd-mmm"), "")</f>
        <v/>
      </c>
      <c r="AU17" s="84" t="str">
        <f aca="false">IF(INT(AU$3)=INT($C17), TEXT($C17, "dd-mmm"), "")</f>
        <v/>
      </c>
      <c r="AV17" s="84" t="str">
        <f aca="false">IF(INT(AV$3)=INT($C17), TEXT($C17, "dd-mmm"), "")</f>
        <v/>
      </c>
      <c r="AW17" s="84" t="str">
        <f aca="false">IF(INT(AW$3)=INT($C17), TEXT($C17, "dd-mmm"), "")</f>
        <v/>
      </c>
      <c r="AX17" s="84" t="str">
        <f aca="false">IF(INT(AX$3)=INT($C17), TEXT($C17, "dd-mmm"), "")</f>
        <v/>
      </c>
      <c r="AY17" s="84" t="str">
        <f aca="false">IF(INT(AY$3)=INT($C17), TEXT($C17, "dd-mmm"), "")</f>
        <v/>
      </c>
      <c r="AZ17" s="84" t="str">
        <f aca="false">IF(INT(AZ$3)=INT($C17), TEXT($C17, "dd-mmm"), "")</f>
        <v/>
      </c>
      <c r="BA17" s="84" t="str">
        <f aca="false">IF(INT(BA$3)=INT($C17), TEXT($C17, "dd-mmm"), "")</f>
        <v/>
      </c>
      <c r="BB17" s="84" t="str">
        <f aca="false">IF(INT(BB$3)=INT($C17), TEXT($C17, "dd-mmm"), "")</f>
        <v/>
      </c>
      <c r="BC17" s="84" t="str">
        <f aca="false">IF(INT(BC$3)=INT($C17), TEXT($C17, "dd-mmm"), "")</f>
        <v/>
      </c>
      <c r="BD17" s="84" t="str">
        <f aca="false">IF(INT(BD$3)=INT($C17), TEXT($C17, "dd-mmm"), "")</f>
        <v/>
      </c>
      <c r="BE17" s="84" t="str">
        <f aca="false">IF(INT(BE$3)=INT($C17), TEXT($C17, "dd-mmm"), "")</f>
        <v/>
      </c>
      <c r="BF17" s="84" t="str">
        <f aca="false">IF(INT(BF$3)=INT($C17), TEXT($C17, "dd-mmm"), "")</f>
        <v/>
      </c>
      <c r="BG17" s="84" t="str">
        <f aca="false">IF(INT(BG$3)=INT($C17), TEXT($C17, "dd-mmm"), "")</f>
        <v/>
      </c>
      <c r="BH17" s="84" t="str">
        <f aca="false">IF(INT(BH$3)=INT($C17), TEXT($C17, "dd-mmm"), "")</f>
        <v/>
      </c>
      <c r="BI17" s="84" t="str">
        <f aca="false">IF(INT(BI$3)=INT($C17), TEXT($C17, "dd-mmm"), "")</f>
        <v/>
      </c>
      <c r="BJ17" s="84" t="str">
        <f aca="false">IF(INT(BJ$3)=INT($C17), TEXT($C17, "dd-mmm"), "")</f>
        <v/>
      </c>
      <c r="BK17" s="84" t="str">
        <f aca="false">IF(INT(BK$3)=INT($C17), TEXT($C17, "dd-mmm"), "")</f>
        <v/>
      </c>
      <c r="BL17" s="84" t="str">
        <f aca="false">IF(INT(BL$3)=INT($C17), TEXT($C17, "dd-mmm"), "")</f>
        <v/>
      </c>
      <c r="BM17" s="84" t="str">
        <f aca="false">IF(INT(BM$3)=INT($C17), TEXT($C17, "dd-mmm"), "")</f>
        <v/>
      </c>
      <c r="BN17" s="84" t="str">
        <f aca="false">IF(INT(BN$3)=INT($C17), TEXT($C17, "dd-mmm"), "")</f>
        <v/>
      </c>
    </row>
    <row r="18" customFormat="false" ht="15" hidden="false" customHeight="true" outlineLevel="0" collapsed="false">
      <c r="A18" s="4" t="str">
        <f aca="false">Machine_List!A18</f>
        <v>CARVING</v>
      </c>
      <c r="B18" s="4" t="str">
        <f aca="false">Machine_List!B18</f>
        <v>CARVING-MC-05</v>
      </c>
      <c r="C18" s="12" t="n">
        <f aca="false">Machine_List!C18</f>
        <v>46238</v>
      </c>
      <c r="D18" s="4" t="n">
        <f aca="false">Machine_List!D18</f>
        <v>6</v>
      </c>
      <c r="E18" s="4" t="n">
        <f aca="true">C18-TODAY()</f>
        <v>120</v>
      </c>
      <c r="F18" s="4" t="str">
        <f aca="false">IF(E18&lt;0,"OVERDUE",IF(E18&lt;=5,"DUE SOON","OK"))</f>
        <v>OK</v>
      </c>
      <c r="G18" s="84" t="str">
        <f aca="false">IF(INT(G$3)=INT($C18), TEXT($C18, "dd-mmm"), "")</f>
        <v/>
      </c>
      <c r="H18" s="84" t="str">
        <f aca="false">IF(INT(H$3)=INT($C18), TEXT($C18, "dd-mmm"), "")</f>
        <v/>
      </c>
      <c r="I18" s="84" t="str">
        <f aca="false">IF(INT(I$3)=INT($C18), TEXT($C18, "dd-mmm"), "")</f>
        <v/>
      </c>
      <c r="J18" s="84" t="str">
        <f aca="false">IF(INT(J$3)=INT($C18), TEXT($C18, "dd-mmm"), "")</f>
        <v/>
      </c>
      <c r="K18" s="84" t="str">
        <f aca="false">IF(INT(K$3)=INT($C18), TEXT($C18, "dd-mmm"), "")</f>
        <v/>
      </c>
      <c r="L18" s="84" t="str">
        <f aca="false">IF(INT(L$3)=INT($C18), TEXT($C18, "dd-mmm"), "")</f>
        <v/>
      </c>
      <c r="M18" s="84" t="str">
        <f aca="false">IF(INT(M$3)=INT($C18), TEXT($C18, "dd-mmm"), "")</f>
        <v/>
      </c>
      <c r="N18" s="84" t="str">
        <f aca="false">IF(INT(N$3)=INT($C18), TEXT($C18, "dd-mmm"), "")</f>
        <v/>
      </c>
      <c r="O18" s="84" t="str">
        <f aca="false">IF(INT(O$3)=INT($C18), TEXT($C18, "dd-mmm"), "")</f>
        <v/>
      </c>
      <c r="P18" s="84" t="str">
        <f aca="false">IF(INT(P$3)=INT($C18), TEXT($C18, "dd-mmm"), "")</f>
        <v/>
      </c>
      <c r="Q18" s="84" t="str">
        <f aca="false">IF(INT(Q$3)=INT($C18), TEXT($C18, "dd-mmm"), "")</f>
        <v/>
      </c>
      <c r="R18" s="84" t="str">
        <f aca="false">IF(INT(R$3)=INT($C18), TEXT($C18, "dd-mmm"), "")</f>
        <v/>
      </c>
      <c r="S18" s="84" t="str">
        <f aca="false">IF(INT(S$3)=INT($C18), TEXT($C18, "dd-mmm"), "")</f>
        <v/>
      </c>
      <c r="T18" s="84" t="str">
        <f aca="false">IF(INT(T$3)=INT($C18), TEXT($C18, "dd-mmm"), "")</f>
        <v/>
      </c>
      <c r="U18" s="84" t="str">
        <f aca="false">IF(INT(U$3)=INT($C18), TEXT($C18, "dd-mmm"), "")</f>
        <v/>
      </c>
      <c r="V18" s="84" t="str">
        <f aca="false">IF(INT(V$3)=INT($C18), TEXT($C18, "dd-mmm"), "")</f>
        <v/>
      </c>
      <c r="W18" s="84" t="str">
        <f aca="false">IF(INT(W$3)=INT($C18), TEXT($C18, "dd-mmm"), "")</f>
        <v/>
      </c>
      <c r="X18" s="84" t="str">
        <f aca="false">IF(INT(X$3)=INT($C18), TEXT($C18, "dd-mmm"), "")</f>
        <v/>
      </c>
      <c r="Y18" s="84" t="str">
        <f aca="false">IF(INT(Y$3)=INT($C18), TEXT($C18, "dd-mmm"), "")</f>
        <v/>
      </c>
      <c r="Z18" s="84" t="str">
        <f aca="false">IF(INT(Z$3)=INT($C18), TEXT($C18, "dd-mmm"), "")</f>
        <v/>
      </c>
      <c r="AA18" s="84" t="str">
        <f aca="false">IF(INT(AA$3)=INT($C18), TEXT($C18, "dd-mmm"), "")</f>
        <v/>
      </c>
      <c r="AB18" s="84" t="str">
        <f aca="false">IF(INT(AB$3)=INT($C18), TEXT($C18, "dd-mmm"), "")</f>
        <v/>
      </c>
      <c r="AC18" s="84" t="str">
        <f aca="false">IF(INT(AC$3)=INT($C18), TEXT($C18, "dd-mmm"), "")</f>
        <v/>
      </c>
      <c r="AD18" s="84" t="str">
        <f aca="false">IF(INT(AD$3)=INT($C18), TEXT($C18, "dd-mmm"), "")</f>
        <v/>
      </c>
      <c r="AE18" s="84" t="str">
        <f aca="false">IF(INT(AE$3)=INT($C18), TEXT($C18, "dd-mmm"), "")</f>
        <v/>
      </c>
      <c r="AF18" s="84" t="str">
        <f aca="false">IF(INT(AF$3)=INT($C18), TEXT($C18, "dd-mmm"), "")</f>
        <v/>
      </c>
      <c r="AG18" s="84" t="str">
        <f aca="false">IF(INT(AG$3)=INT($C18), TEXT($C18, "dd-mmm"), "")</f>
        <v/>
      </c>
      <c r="AH18" s="84" t="str">
        <f aca="false">IF(INT(AH$3)=INT($C18), TEXT($C18, "dd-mmm"), "")</f>
        <v/>
      </c>
      <c r="AI18" s="84" t="str">
        <f aca="false">IF(INT(AI$3)=INT($C18), TEXT($C18, "dd-mmm"), "")</f>
        <v/>
      </c>
      <c r="AJ18" s="84" t="str">
        <f aca="false">IF(INT(AJ$3)=INT($C18), TEXT($C18, "dd-mmm"), "")</f>
        <v/>
      </c>
      <c r="AK18" s="84" t="str">
        <f aca="false">IF(INT(AK$3)=INT($C18), TEXT($C18, "dd-mmm"), "")</f>
        <v/>
      </c>
      <c r="AL18" s="84" t="str">
        <f aca="false">IF(INT(AL$3)=INT($C18), TEXT($C18, "dd-mmm"), "")</f>
        <v/>
      </c>
      <c r="AM18" s="84" t="str">
        <f aca="false">IF(INT(AM$3)=INT($C18), TEXT($C18, "dd-mmm"), "")</f>
        <v/>
      </c>
      <c r="AN18" s="84" t="str">
        <f aca="false">IF(INT(AN$3)=INT($C18), TEXT($C18, "dd-mmm"), "")</f>
        <v/>
      </c>
      <c r="AO18" s="84" t="str">
        <f aca="false">IF(INT(AO$3)=INT($C18), TEXT($C18, "dd-mmm"), "")</f>
        <v/>
      </c>
      <c r="AP18" s="84" t="str">
        <f aca="false">IF(INT(AP$3)=INT($C18), TEXT($C18, "dd-mmm"), "")</f>
        <v/>
      </c>
      <c r="AQ18" s="84" t="str">
        <f aca="false">IF(INT(AQ$3)=INT($C18), TEXT($C18, "dd-mmm"), "")</f>
        <v/>
      </c>
      <c r="AR18" s="84" t="str">
        <f aca="false">IF(INT(AR$3)=INT($C18), TEXT($C18, "dd-mmm"), "")</f>
        <v/>
      </c>
      <c r="AS18" s="84" t="str">
        <f aca="false">IF(INT(AS$3)=INT($C18), TEXT($C18, "dd-mmm"), "")</f>
        <v/>
      </c>
      <c r="AT18" s="84" t="str">
        <f aca="false">IF(INT(AT$3)=INT($C18), TEXT($C18, "dd-mmm"), "")</f>
        <v/>
      </c>
      <c r="AU18" s="84" t="str">
        <f aca="false">IF(INT(AU$3)=INT($C18), TEXT($C18, "dd-mmm"), "")</f>
        <v/>
      </c>
      <c r="AV18" s="84" t="str">
        <f aca="false">IF(INT(AV$3)=INT($C18), TEXT($C18, "dd-mmm"), "")</f>
        <v/>
      </c>
      <c r="AW18" s="84" t="str">
        <f aca="false">IF(INT(AW$3)=INT($C18), TEXT($C18, "dd-mmm"), "")</f>
        <v/>
      </c>
      <c r="AX18" s="84" t="str">
        <f aca="false">IF(INT(AX$3)=INT($C18), TEXT($C18, "dd-mmm"), "")</f>
        <v/>
      </c>
      <c r="AY18" s="84" t="str">
        <f aca="false">IF(INT(AY$3)=INT($C18), TEXT($C18, "dd-mmm"), "")</f>
        <v/>
      </c>
      <c r="AZ18" s="84" t="str">
        <f aca="false">IF(INT(AZ$3)=INT($C18), TEXT($C18, "dd-mmm"), "")</f>
        <v/>
      </c>
      <c r="BA18" s="84" t="str">
        <f aca="false">IF(INT(BA$3)=INT($C18), TEXT($C18, "dd-mmm"), "")</f>
        <v/>
      </c>
      <c r="BB18" s="84" t="str">
        <f aca="false">IF(INT(BB$3)=INT($C18), TEXT($C18, "dd-mmm"), "")</f>
        <v/>
      </c>
      <c r="BC18" s="84" t="str">
        <f aca="false">IF(INT(BC$3)=INT($C18), TEXT($C18, "dd-mmm"), "")</f>
        <v/>
      </c>
      <c r="BD18" s="84" t="str">
        <f aca="false">IF(INT(BD$3)=INT($C18), TEXT($C18, "dd-mmm"), "")</f>
        <v/>
      </c>
      <c r="BE18" s="84" t="str">
        <f aca="false">IF(INT(BE$3)=INT($C18), TEXT($C18, "dd-mmm"), "")</f>
        <v/>
      </c>
      <c r="BF18" s="84" t="str">
        <f aca="false">IF(INT(BF$3)=INT($C18), TEXT($C18, "dd-mmm"), "")</f>
        <v/>
      </c>
      <c r="BG18" s="84" t="str">
        <f aca="false">IF(INT(BG$3)=INT($C18), TEXT($C18, "dd-mmm"), "")</f>
        <v/>
      </c>
      <c r="BH18" s="84" t="str">
        <f aca="false">IF(INT(BH$3)=INT($C18), TEXT($C18, "dd-mmm"), "")</f>
        <v/>
      </c>
      <c r="BI18" s="84" t="str">
        <f aca="false">IF(INT(BI$3)=INT($C18), TEXT($C18, "dd-mmm"), "")</f>
        <v/>
      </c>
      <c r="BJ18" s="84" t="str">
        <f aca="false">IF(INT(BJ$3)=INT($C18), TEXT($C18, "dd-mmm"), "")</f>
        <v/>
      </c>
      <c r="BK18" s="84" t="str">
        <f aca="false">IF(INT(BK$3)=INT($C18), TEXT($C18, "dd-mmm"), "")</f>
        <v/>
      </c>
      <c r="BL18" s="84" t="str">
        <f aca="false">IF(INT(BL$3)=INT($C18), TEXT($C18, "dd-mmm"), "")</f>
        <v/>
      </c>
      <c r="BM18" s="84" t="str">
        <f aca="false">IF(INT(BM$3)=INT($C18), TEXT($C18, "dd-mmm"), "")</f>
        <v/>
      </c>
      <c r="BN18" s="84" t="str">
        <f aca="false">IF(INT(BN$3)=INT($C18), TEXT($C18, "dd-mmm"), "")</f>
        <v/>
      </c>
    </row>
    <row r="19" customFormat="false" ht="15" hidden="false" customHeight="true" outlineLevel="0" collapsed="false">
      <c r="A19" s="4" t="str">
        <f aca="false">Machine_List!A19</f>
        <v>CARVING</v>
      </c>
      <c r="B19" s="4" t="str">
        <f aca="false">Machine_List!B19</f>
        <v>CARVING-MC-06</v>
      </c>
      <c r="C19" s="12" t="n">
        <f aca="false">Machine_List!C19</f>
        <v>46397</v>
      </c>
      <c r="D19" s="4" t="n">
        <f aca="false">Machine_List!D19</f>
        <v>6</v>
      </c>
      <c r="E19" s="4" t="n">
        <f aca="true">C19-TODAY()</f>
        <v>279</v>
      </c>
      <c r="F19" s="4" t="str">
        <f aca="false">IF(E19&lt;0,"OVERDUE",IF(E19&lt;=5,"DUE SOON","OK"))</f>
        <v>OK</v>
      </c>
      <c r="G19" s="84" t="str">
        <f aca="false">IF(INT(G$3)=INT($C19), TEXT($C19, "dd-mmm"), "")</f>
        <v/>
      </c>
      <c r="H19" s="84" t="str">
        <f aca="false">IF(INT(H$3)=INT($C19), TEXT($C19, "dd-mmm"), "")</f>
        <v/>
      </c>
      <c r="I19" s="84" t="str">
        <f aca="false">IF(INT(I$3)=INT($C19), TEXT($C19, "dd-mmm"), "")</f>
        <v/>
      </c>
      <c r="J19" s="84" t="str">
        <f aca="false">IF(INT(J$3)=INT($C19), TEXT($C19, "dd-mmm"), "")</f>
        <v/>
      </c>
      <c r="K19" s="84" t="str">
        <f aca="false">IF(INT(K$3)=INT($C19), TEXT($C19, "dd-mmm"), "")</f>
        <v/>
      </c>
      <c r="L19" s="84" t="str">
        <f aca="false">IF(INT(L$3)=INT($C19), TEXT($C19, "dd-mmm"), "")</f>
        <v/>
      </c>
      <c r="M19" s="84" t="str">
        <f aca="false">IF(INT(M$3)=INT($C19), TEXT($C19, "dd-mmm"), "")</f>
        <v/>
      </c>
      <c r="N19" s="84" t="str">
        <f aca="false">IF(INT(N$3)=INT($C19), TEXT($C19, "dd-mmm"), "")</f>
        <v/>
      </c>
      <c r="O19" s="84" t="str">
        <f aca="false">IF(INT(O$3)=INT($C19), TEXT($C19, "dd-mmm"), "")</f>
        <v/>
      </c>
      <c r="P19" s="84" t="str">
        <f aca="false">IF(INT(P$3)=INT($C19), TEXT($C19, "dd-mmm"), "")</f>
        <v/>
      </c>
      <c r="Q19" s="84" t="str">
        <f aca="false">IF(INT(Q$3)=INT($C19), TEXT($C19, "dd-mmm"), "")</f>
        <v/>
      </c>
      <c r="R19" s="84" t="str">
        <f aca="false">IF(INT(R$3)=INT($C19), TEXT($C19, "dd-mmm"), "")</f>
        <v/>
      </c>
      <c r="S19" s="84" t="str">
        <f aca="false">IF(INT(S$3)=INT($C19), TEXT($C19, "dd-mmm"), "")</f>
        <v/>
      </c>
      <c r="T19" s="84" t="str">
        <f aca="false">IF(INT(T$3)=INT($C19), TEXT($C19, "dd-mmm"), "")</f>
        <v/>
      </c>
      <c r="U19" s="84" t="str">
        <f aca="false">IF(INT(U$3)=INT($C19), TEXT($C19, "dd-mmm"), "")</f>
        <v/>
      </c>
      <c r="V19" s="84" t="str">
        <f aca="false">IF(INT(V$3)=INT($C19), TEXT($C19, "dd-mmm"), "")</f>
        <v/>
      </c>
      <c r="W19" s="84" t="str">
        <f aca="false">IF(INT(W$3)=INT($C19), TEXT($C19, "dd-mmm"), "")</f>
        <v/>
      </c>
      <c r="X19" s="84" t="str">
        <f aca="false">IF(INT(X$3)=INT($C19), TEXT($C19, "dd-mmm"), "")</f>
        <v/>
      </c>
      <c r="Y19" s="84" t="str">
        <f aca="false">IF(INT(Y$3)=INT($C19), TEXT($C19, "dd-mmm"), "")</f>
        <v/>
      </c>
      <c r="Z19" s="84" t="str">
        <f aca="false">IF(INT(Z$3)=INT($C19), TEXT($C19, "dd-mmm"), "")</f>
        <v/>
      </c>
      <c r="AA19" s="84" t="str">
        <f aca="false">IF(INT(AA$3)=INT($C19), TEXT($C19, "dd-mmm"), "")</f>
        <v/>
      </c>
      <c r="AB19" s="84" t="str">
        <f aca="false">IF(INT(AB$3)=INT($C19), TEXT($C19, "dd-mmm"), "")</f>
        <v/>
      </c>
      <c r="AC19" s="84" t="str">
        <f aca="false">IF(INT(AC$3)=INT($C19), TEXT($C19, "dd-mmm"), "")</f>
        <v/>
      </c>
      <c r="AD19" s="84" t="str">
        <f aca="false">IF(INT(AD$3)=INT($C19), TEXT($C19, "dd-mmm"), "")</f>
        <v/>
      </c>
      <c r="AE19" s="84" t="str">
        <f aca="false">IF(INT(AE$3)=INT($C19), TEXT($C19, "dd-mmm"), "")</f>
        <v/>
      </c>
      <c r="AF19" s="84" t="str">
        <f aca="false">IF(INT(AF$3)=INT($C19), TEXT($C19, "dd-mmm"), "")</f>
        <v/>
      </c>
      <c r="AG19" s="84" t="str">
        <f aca="false">IF(INT(AG$3)=INT($C19), TEXT($C19, "dd-mmm"), "")</f>
        <v/>
      </c>
      <c r="AH19" s="84" t="str">
        <f aca="false">IF(INT(AH$3)=INT($C19), TEXT($C19, "dd-mmm"), "")</f>
        <v/>
      </c>
      <c r="AI19" s="84" t="str">
        <f aca="false">IF(INT(AI$3)=INT($C19), TEXT($C19, "dd-mmm"), "")</f>
        <v/>
      </c>
      <c r="AJ19" s="84" t="str">
        <f aca="false">IF(INT(AJ$3)=INT($C19), TEXT($C19, "dd-mmm"), "")</f>
        <v/>
      </c>
      <c r="AK19" s="84" t="str">
        <f aca="false">IF(INT(AK$3)=INT($C19), TEXT($C19, "dd-mmm"), "")</f>
        <v/>
      </c>
      <c r="AL19" s="84" t="str">
        <f aca="false">IF(INT(AL$3)=INT($C19), TEXT($C19, "dd-mmm"), "")</f>
        <v/>
      </c>
      <c r="AM19" s="84" t="str">
        <f aca="false">IF(INT(AM$3)=INT($C19), TEXT($C19, "dd-mmm"), "")</f>
        <v/>
      </c>
      <c r="AN19" s="84" t="str">
        <f aca="false">IF(INT(AN$3)=INT($C19), TEXT($C19, "dd-mmm"), "")</f>
        <v/>
      </c>
      <c r="AO19" s="84" t="str">
        <f aca="false">IF(INT(AO$3)=INT($C19), TEXT($C19, "dd-mmm"), "")</f>
        <v/>
      </c>
      <c r="AP19" s="84" t="str">
        <f aca="false">IF(INT(AP$3)=INT($C19), TEXT($C19, "dd-mmm"), "")</f>
        <v/>
      </c>
      <c r="AQ19" s="84" t="str">
        <f aca="false">IF(INT(AQ$3)=INT($C19), TEXT($C19, "dd-mmm"), "")</f>
        <v/>
      </c>
      <c r="AR19" s="84" t="str">
        <f aca="false">IF(INT(AR$3)=INT($C19), TEXT($C19, "dd-mmm"), "")</f>
        <v/>
      </c>
      <c r="AS19" s="84" t="str">
        <f aca="false">IF(INT(AS$3)=INT($C19), TEXT($C19, "dd-mmm"), "")</f>
        <v/>
      </c>
      <c r="AT19" s="84" t="str">
        <f aca="false">IF(INT(AT$3)=INT($C19), TEXT($C19, "dd-mmm"), "")</f>
        <v/>
      </c>
      <c r="AU19" s="84" t="str">
        <f aca="false">IF(INT(AU$3)=INT($C19), TEXT($C19, "dd-mmm"), "")</f>
        <v/>
      </c>
      <c r="AV19" s="84" t="str">
        <f aca="false">IF(INT(AV$3)=INT($C19), TEXT($C19, "dd-mmm"), "")</f>
        <v/>
      </c>
      <c r="AW19" s="84" t="str">
        <f aca="false">IF(INT(AW$3)=INT($C19), TEXT($C19, "dd-mmm"), "")</f>
        <v/>
      </c>
      <c r="AX19" s="84" t="str">
        <f aca="false">IF(INT(AX$3)=INT($C19), TEXT($C19, "dd-mmm"), "")</f>
        <v/>
      </c>
      <c r="AY19" s="84" t="str">
        <f aca="false">IF(INT(AY$3)=INT($C19), TEXT($C19, "dd-mmm"), "")</f>
        <v/>
      </c>
      <c r="AZ19" s="84" t="str">
        <f aca="false">IF(INT(AZ$3)=INT($C19), TEXT($C19, "dd-mmm"), "")</f>
        <v/>
      </c>
      <c r="BA19" s="84" t="str">
        <f aca="false">IF(INT(BA$3)=INT($C19), TEXT($C19, "dd-mmm"), "")</f>
        <v/>
      </c>
      <c r="BB19" s="84" t="str">
        <f aca="false">IF(INT(BB$3)=INT($C19), TEXT($C19, "dd-mmm"), "")</f>
        <v/>
      </c>
      <c r="BC19" s="84" t="str">
        <f aca="false">IF(INT(BC$3)=INT($C19), TEXT($C19, "dd-mmm"), "")</f>
        <v/>
      </c>
      <c r="BD19" s="84" t="str">
        <f aca="false">IF(INT(BD$3)=INT($C19), TEXT($C19, "dd-mmm"), "")</f>
        <v/>
      </c>
      <c r="BE19" s="84" t="str">
        <f aca="false">IF(INT(BE$3)=INT($C19), TEXT($C19, "dd-mmm"), "")</f>
        <v/>
      </c>
      <c r="BF19" s="84" t="str">
        <f aca="false">IF(INT(BF$3)=INT($C19), TEXT($C19, "dd-mmm"), "")</f>
        <v/>
      </c>
      <c r="BG19" s="84" t="str">
        <f aca="false">IF(INT(BG$3)=INT($C19), TEXT($C19, "dd-mmm"), "")</f>
        <v/>
      </c>
      <c r="BH19" s="84" t="str">
        <f aca="false">IF(INT(BH$3)=INT($C19), TEXT($C19, "dd-mmm"), "")</f>
        <v/>
      </c>
      <c r="BI19" s="84" t="str">
        <f aca="false">IF(INT(BI$3)=INT($C19), TEXT($C19, "dd-mmm"), "")</f>
        <v/>
      </c>
      <c r="BJ19" s="84" t="str">
        <f aca="false">IF(INT(BJ$3)=INT($C19), TEXT($C19, "dd-mmm"), "")</f>
        <v/>
      </c>
      <c r="BK19" s="84" t="str">
        <f aca="false">IF(INT(BK$3)=INT($C19), TEXT($C19, "dd-mmm"), "")</f>
        <v/>
      </c>
      <c r="BL19" s="84" t="str">
        <f aca="false">IF(INT(BL$3)=INT($C19), TEXT($C19, "dd-mmm"), "")</f>
        <v/>
      </c>
      <c r="BM19" s="84" t="str">
        <f aca="false">IF(INT(BM$3)=INT($C19), TEXT($C19, "dd-mmm"), "")</f>
        <v/>
      </c>
      <c r="BN19" s="84" t="str">
        <f aca="false">IF(INT(BN$3)=INT($C19), TEXT($C19, "dd-mmm"), "")</f>
        <v/>
      </c>
    </row>
    <row r="20" customFormat="false" ht="15" hidden="false" customHeight="true" outlineLevel="0" collapsed="false">
      <c r="A20" s="4" t="str">
        <f aca="false">Machine_List!A20</f>
        <v>EDM</v>
      </c>
      <c r="B20" s="4" t="str">
        <f aca="false">Machine_List!B20</f>
        <v>EDM-MC-01</v>
      </c>
      <c r="C20" s="12" t="n">
        <f aca="false">Machine_List!C20</f>
        <v>46092</v>
      </c>
      <c r="D20" s="4" t="n">
        <f aca="false">Machine_List!D20</f>
        <v>6</v>
      </c>
      <c r="E20" s="4" t="n">
        <f aca="true">C20-TODAY()</f>
        <v>-26</v>
      </c>
      <c r="F20" s="4" t="str">
        <f aca="false">IF(E20&lt;0,"OVERDUE",IF(E20&lt;=5,"DUE SOON","OK"))</f>
        <v>OVERDUE</v>
      </c>
      <c r="G20" s="84" t="str">
        <f aca="false">IF(INT(G$3)=INT($C20), TEXT($C20, "dd-mmm"), "")</f>
        <v/>
      </c>
      <c r="H20" s="84" t="str">
        <f aca="false">IF(INT(H$3)=INT($C20), TEXT($C20, "dd-mmm"), "")</f>
        <v/>
      </c>
      <c r="I20" s="84" t="str">
        <f aca="false">IF(INT(I$3)=INT($C20), TEXT($C20, "dd-mmm"), "")</f>
        <v/>
      </c>
      <c r="J20" s="84" t="str">
        <f aca="false">IF(INT(J$3)=INT($C20), TEXT($C20, "dd-mmm"), "")</f>
        <v/>
      </c>
      <c r="K20" s="84" t="str">
        <f aca="false">IF(INT(K$3)=INT($C20), TEXT($C20, "dd-mmm"), "")</f>
        <v/>
      </c>
      <c r="L20" s="84" t="str">
        <f aca="false">IF(INT(L$3)=INT($C20), TEXT($C20, "dd-mmm"), "")</f>
        <v/>
      </c>
      <c r="M20" s="84" t="str">
        <f aca="false">IF(INT(M$3)=INT($C20), TEXT($C20, "dd-mmm"), "")</f>
        <v/>
      </c>
      <c r="N20" s="84" t="str">
        <f aca="false">IF(INT(N$3)=INT($C20), TEXT($C20, "dd-mmm"), "")</f>
        <v/>
      </c>
      <c r="O20" s="84" t="str">
        <f aca="false">IF(INT(O$3)=INT($C20), TEXT($C20, "dd-mmm"), "")</f>
        <v/>
      </c>
      <c r="P20" s="84" t="str">
        <f aca="false">IF(INT(P$3)=INT($C20), TEXT($C20, "dd-mmm"), "")</f>
        <v/>
      </c>
      <c r="Q20" s="84" t="str">
        <f aca="false">IF(INT(Q$3)=INT($C20), TEXT($C20, "dd-mmm"), "")</f>
        <v/>
      </c>
      <c r="R20" s="84" t="str">
        <f aca="false">IF(INT(R$3)=INT($C20), TEXT($C20, "dd-mmm"), "")</f>
        <v/>
      </c>
      <c r="S20" s="84" t="str">
        <f aca="false">IF(INT(S$3)=INT($C20), TEXT($C20, "dd-mmm"), "")</f>
        <v/>
      </c>
      <c r="T20" s="84" t="str">
        <f aca="false">IF(INT(T$3)=INT($C20), TEXT($C20, "dd-mmm"), "")</f>
        <v/>
      </c>
      <c r="U20" s="84" t="str">
        <f aca="false">IF(INT(U$3)=INT($C20), TEXT($C20, "dd-mmm"), "")</f>
        <v/>
      </c>
      <c r="V20" s="84" t="str">
        <f aca="false">IF(INT(V$3)=INT($C20), TEXT($C20, "dd-mmm"), "")</f>
        <v/>
      </c>
      <c r="W20" s="84" t="str">
        <f aca="false">IF(INT(W$3)=INT($C20), TEXT($C20, "dd-mmm"), "")</f>
        <v/>
      </c>
      <c r="X20" s="84" t="str">
        <f aca="false">IF(INT(X$3)=INT($C20), TEXT($C20, "dd-mmm"), "")</f>
        <v/>
      </c>
      <c r="Y20" s="84" t="str">
        <f aca="false">IF(INT(Y$3)=INT($C20), TEXT($C20, "dd-mmm"), "")</f>
        <v/>
      </c>
      <c r="Z20" s="84" t="str">
        <f aca="false">IF(INT(Z$3)=INT($C20), TEXT($C20, "dd-mmm"), "")</f>
        <v/>
      </c>
      <c r="AA20" s="84" t="str">
        <f aca="false">IF(INT(AA$3)=INT($C20), TEXT($C20, "dd-mmm"), "")</f>
        <v/>
      </c>
      <c r="AB20" s="84" t="str">
        <f aca="false">IF(INT(AB$3)=INT($C20), TEXT($C20, "dd-mmm"), "")</f>
        <v/>
      </c>
      <c r="AC20" s="84" t="str">
        <f aca="false">IF(INT(AC$3)=INT($C20), TEXT($C20, "dd-mmm"), "")</f>
        <v/>
      </c>
      <c r="AD20" s="84" t="str">
        <f aca="false">IF(INT(AD$3)=INT($C20), TEXT($C20, "dd-mmm"), "")</f>
        <v/>
      </c>
      <c r="AE20" s="84" t="str">
        <f aca="false">IF(INT(AE$3)=INT($C20), TEXT($C20, "dd-mmm"), "")</f>
        <v/>
      </c>
      <c r="AF20" s="84" t="str">
        <f aca="false">IF(INT(AF$3)=INT($C20), TEXT($C20, "dd-mmm"), "")</f>
        <v/>
      </c>
      <c r="AG20" s="84" t="str">
        <f aca="false">IF(INT(AG$3)=INT($C20), TEXT($C20, "dd-mmm"), "")</f>
        <v/>
      </c>
      <c r="AH20" s="84" t="str">
        <f aca="false">IF(INT(AH$3)=INT($C20), TEXT($C20, "dd-mmm"), "")</f>
        <v/>
      </c>
      <c r="AI20" s="84" t="str">
        <f aca="false">IF(INT(AI$3)=INT($C20), TEXT($C20, "dd-mmm"), "")</f>
        <v/>
      </c>
      <c r="AJ20" s="84" t="str">
        <f aca="false">IF(INT(AJ$3)=INT($C20), TEXT($C20, "dd-mmm"), "")</f>
        <v/>
      </c>
      <c r="AK20" s="84" t="str">
        <f aca="false">IF(INT(AK$3)=INT($C20), TEXT($C20, "dd-mmm"), "")</f>
        <v/>
      </c>
      <c r="AL20" s="84" t="str">
        <f aca="false">IF(INT(AL$3)=INT($C20), TEXT($C20, "dd-mmm"), "")</f>
        <v/>
      </c>
      <c r="AM20" s="84" t="str">
        <f aca="false">IF(INT(AM$3)=INT($C20), TEXT($C20, "dd-mmm"), "")</f>
        <v/>
      </c>
      <c r="AN20" s="84" t="str">
        <f aca="false">IF(INT(AN$3)=INT($C20), TEXT($C20, "dd-mmm"), "")</f>
        <v/>
      </c>
      <c r="AO20" s="84" t="str">
        <f aca="false">IF(INT(AO$3)=INT($C20), TEXT($C20, "dd-mmm"), "")</f>
        <v/>
      </c>
      <c r="AP20" s="84" t="str">
        <f aca="false">IF(INT(AP$3)=INT($C20), TEXT($C20, "dd-mmm"), "")</f>
        <v/>
      </c>
      <c r="AQ20" s="84" t="str">
        <f aca="false">IF(INT(AQ$3)=INT($C20), TEXT($C20, "dd-mmm"), "")</f>
        <v/>
      </c>
      <c r="AR20" s="84" t="str">
        <f aca="false">IF(INT(AR$3)=INT($C20), TEXT($C20, "dd-mmm"), "")</f>
        <v/>
      </c>
      <c r="AS20" s="84" t="str">
        <f aca="false">IF(INT(AS$3)=INT($C20), TEXT($C20, "dd-mmm"), "")</f>
        <v/>
      </c>
      <c r="AT20" s="84" t="str">
        <f aca="false">IF(INT(AT$3)=INT($C20), TEXT($C20, "dd-mmm"), "")</f>
        <v/>
      </c>
      <c r="AU20" s="84" t="str">
        <f aca="false">IF(INT(AU$3)=INT($C20), TEXT($C20, "dd-mmm"), "")</f>
        <v/>
      </c>
      <c r="AV20" s="84" t="str">
        <f aca="false">IF(INT(AV$3)=INT($C20), TEXT($C20, "dd-mmm"), "")</f>
        <v/>
      </c>
      <c r="AW20" s="84" t="str">
        <f aca="false">IF(INT(AW$3)=INT($C20), TEXT($C20, "dd-mmm"), "")</f>
        <v/>
      </c>
      <c r="AX20" s="84" t="str">
        <f aca="false">IF(INT(AX$3)=INT($C20), TEXT($C20, "dd-mmm"), "")</f>
        <v/>
      </c>
      <c r="AY20" s="84" t="str">
        <f aca="false">IF(INT(AY$3)=INT($C20), TEXT($C20, "dd-mmm"), "")</f>
        <v/>
      </c>
      <c r="AZ20" s="84" t="str">
        <f aca="false">IF(INT(AZ$3)=INT($C20), TEXT($C20, "dd-mmm"), "")</f>
        <v/>
      </c>
      <c r="BA20" s="84" t="str">
        <f aca="false">IF(INT(BA$3)=INT($C20), TEXT($C20, "dd-mmm"), "")</f>
        <v/>
      </c>
      <c r="BB20" s="84" t="str">
        <f aca="false">IF(INT(BB$3)=INT($C20), TEXT($C20, "dd-mmm"), "")</f>
        <v/>
      </c>
      <c r="BC20" s="84" t="str">
        <f aca="false">IF(INT(BC$3)=INT($C20), TEXT($C20, "dd-mmm"), "")</f>
        <v/>
      </c>
      <c r="BD20" s="84" t="str">
        <f aca="false">IF(INT(BD$3)=INT($C20), TEXT($C20, "dd-mmm"), "")</f>
        <v/>
      </c>
      <c r="BE20" s="84" t="str">
        <f aca="false">IF(INT(BE$3)=INT($C20), TEXT($C20, "dd-mmm"), "")</f>
        <v/>
      </c>
      <c r="BF20" s="84" t="str">
        <f aca="false">IF(INT(BF$3)=INT($C20), TEXT($C20, "dd-mmm"), "")</f>
        <v/>
      </c>
      <c r="BG20" s="84" t="str">
        <f aca="false">IF(INT(BG$3)=INT($C20), TEXT($C20, "dd-mmm"), "")</f>
        <v/>
      </c>
      <c r="BH20" s="84" t="str">
        <f aca="false">IF(INT(BH$3)=INT($C20), TEXT($C20, "dd-mmm"), "")</f>
        <v/>
      </c>
      <c r="BI20" s="84" t="str">
        <f aca="false">IF(INT(BI$3)=INT($C20), TEXT($C20, "dd-mmm"), "")</f>
        <v/>
      </c>
      <c r="BJ20" s="84" t="str">
        <f aca="false">IF(INT(BJ$3)=INT($C20), TEXT($C20, "dd-mmm"), "")</f>
        <v/>
      </c>
      <c r="BK20" s="84" t="str">
        <f aca="false">IF(INT(BK$3)=INT($C20), TEXT($C20, "dd-mmm"), "")</f>
        <v/>
      </c>
      <c r="BL20" s="84" t="str">
        <f aca="false">IF(INT(BL$3)=INT($C20), TEXT($C20, "dd-mmm"), "")</f>
        <v/>
      </c>
      <c r="BM20" s="84" t="str">
        <f aca="false">IF(INT(BM$3)=INT($C20), TEXT($C20, "dd-mmm"), "")</f>
        <v/>
      </c>
      <c r="BN20" s="84" t="str">
        <f aca="false">IF(INT(BN$3)=INT($C20), TEXT($C20, "dd-mmm"), "")</f>
        <v/>
      </c>
    </row>
    <row r="21" customFormat="false" ht="15" hidden="false" customHeight="true" outlineLevel="0" collapsed="false">
      <c r="A21" s="4" t="str">
        <f aca="false">Machine_List!A21</f>
        <v>EDM</v>
      </c>
      <c r="B21" s="4" t="str">
        <f aca="false">Machine_List!B21</f>
        <v>EDM-MC-02</v>
      </c>
      <c r="C21" s="12" t="n">
        <f aca="false">Machine_List!C21</f>
        <v>46160</v>
      </c>
      <c r="D21" s="4" t="n">
        <f aca="false">Machine_List!D21</f>
        <v>6</v>
      </c>
      <c r="E21" s="4" t="n">
        <f aca="true">C21-TODAY()</f>
        <v>42</v>
      </c>
      <c r="F21" s="4" t="str">
        <f aca="false">IF(E21&lt;0,"OVERDUE",IF(E21&lt;=5,"DUE SOON","OK"))</f>
        <v>OK</v>
      </c>
      <c r="G21" s="84" t="str">
        <f aca="false">IF(INT(G$3)=INT($C21), TEXT($C21, "dd-mmm"), "")</f>
        <v/>
      </c>
      <c r="H21" s="84" t="str">
        <f aca="false">IF(INT(H$3)=INT($C21), TEXT($C21, "dd-mmm"), "")</f>
        <v/>
      </c>
      <c r="I21" s="84" t="str">
        <f aca="false">IF(INT(I$3)=INT($C21), TEXT($C21, "dd-mmm"), "")</f>
        <v/>
      </c>
      <c r="J21" s="84" t="str">
        <f aca="false">IF(INT(J$3)=INT($C21), TEXT($C21, "dd-mmm"), "")</f>
        <v/>
      </c>
      <c r="K21" s="84" t="str">
        <f aca="false">IF(INT(K$3)=INT($C21), TEXT($C21, "dd-mmm"), "")</f>
        <v/>
      </c>
      <c r="L21" s="84" t="str">
        <f aca="false">IF(INT(L$3)=INT($C21), TEXT($C21, "dd-mmm"), "")</f>
        <v/>
      </c>
      <c r="M21" s="84" t="str">
        <f aca="false">IF(INT(M$3)=INT($C21), TEXT($C21, "dd-mmm"), "")</f>
        <v/>
      </c>
      <c r="N21" s="84" t="str">
        <f aca="false">IF(INT(N$3)=INT($C21), TEXT($C21, "dd-mmm"), "")</f>
        <v/>
      </c>
      <c r="O21" s="84" t="str">
        <f aca="false">IF(INT(O$3)=INT($C21), TEXT($C21, "dd-mmm"), "")</f>
        <v/>
      </c>
      <c r="P21" s="84" t="str">
        <f aca="false">IF(INT(P$3)=INT($C21), TEXT($C21, "dd-mmm"), "")</f>
        <v/>
      </c>
      <c r="Q21" s="84" t="str">
        <f aca="false">IF(INT(Q$3)=INT($C21), TEXT($C21, "dd-mmm"), "")</f>
        <v/>
      </c>
      <c r="R21" s="84" t="str">
        <f aca="false">IF(INT(R$3)=INT($C21), TEXT($C21, "dd-mmm"), "")</f>
        <v/>
      </c>
      <c r="S21" s="84" t="str">
        <f aca="false">IF(INT(S$3)=INT($C21), TEXT($C21, "dd-mmm"), "")</f>
        <v/>
      </c>
      <c r="T21" s="84" t="str">
        <f aca="false">IF(INT(T$3)=INT($C21), TEXT($C21, "dd-mmm"), "")</f>
        <v/>
      </c>
      <c r="U21" s="84" t="str">
        <f aca="false">IF(INT(U$3)=INT($C21), TEXT($C21, "dd-mmm"), "")</f>
        <v/>
      </c>
      <c r="V21" s="84" t="str">
        <f aca="false">IF(INT(V$3)=INT($C21), TEXT($C21, "dd-mmm"), "")</f>
        <v/>
      </c>
      <c r="W21" s="84" t="str">
        <f aca="false">IF(INT(W$3)=INT($C21), TEXT($C21, "dd-mmm"), "")</f>
        <v/>
      </c>
      <c r="X21" s="84" t="str">
        <f aca="false">IF(INT(X$3)=INT($C21), TEXT($C21, "dd-mmm"), "")</f>
        <v/>
      </c>
      <c r="Y21" s="84" t="str">
        <f aca="false">IF(INT(Y$3)=INT($C21), TEXT($C21, "dd-mmm"), "")</f>
        <v/>
      </c>
      <c r="Z21" s="84" t="str">
        <f aca="false">IF(INT(Z$3)=INT($C21), TEXT($C21, "dd-mmm"), "")</f>
        <v/>
      </c>
      <c r="AA21" s="84" t="str">
        <f aca="false">IF(INT(AA$3)=INT($C21), TEXT($C21, "dd-mmm"), "")</f>
        <v/>
      </c>
      <c r="AB21" s="84" t="str">
        <f aca="false">IF(INT(AB$3)=INT($C21), TEXT($C21, "dd-mmm"), "")</f>
        <v/>
      </c>
      <c r="AC21" s="84" t="str">
        <f aca="false">IF(INT(AC$3)=INT($C21), TEXT($C21, "dd-mmm"), "")</f>
        <v/>
      </c>
      <c r="AD21" s="84" t="str">
        <f aca="false">IF(INT(AD$3)=INT($C21), TEXT($C21, "dd-mmm"), "")</f>
        <v/>
      </c>
      <c r="AE21" s="84" t="str">
        <f aca="false">IF(INT(AE$3)=INT($C21), TEXT($C21, "dd-mmm"), "")</f>
        <v/>
      </c>
      <c r="AF21" s="84" t="str">
        <f aca="false">IF(INT(AF$3)=INT($C21), TEXT($C21, "dd-mmm"), "")</f>
        <v/>
      </c>
      <c r="AG21" s="84" t="str">
        <f aca="false">IF(INT(AG$3)=INT($C21), TEXT($C21, "dd-mmm"), "")</f>
        <v/>
      </c>
      <c r="AH21" s="84" t="str">
        <f aca="false">IF(INT(AH$3)=INT($C21), TEXT($C21, "dd-mmm"), "")</f>
        <v/>
      </c>
      <c r="AI21" s="84" t="str">
        <f aca="false">IF(INT(AI$3)=INT($C21), TEXT($C21, "dd-mmm"), "")</f>
        <v/>
      </c>
      <c r="AJ21" s="84" t="str">
        <f aca="false">IF(INT(AJ$3)=INT($C21), TEXT($C21, "dd-mmm"), "")</f>
        <v/>
      </c>
      <c r="AK21" s="84" t="str">
        <f aca="false">IF(INT(AK$3)=INT($C21), TEXT($C21, "dd-mmm"), "")</f>
        <v/>
      </c>
      <c r="AL21" s="84" t="str">
        <f aca="false">IF(INT(AL$3)=INT($C21), TEXT($C21, "dd-mmm"), "")</f>
        <v/>
      </c>
      <c r="AM21" s="84" t="str">
        <f aca="false">IF(INT(AM$3)=INT($C21), TEXT($C21, "dd-mmm"), "")</f>
        <v/>
      </c>
      <c r="AN21" s="84" t="str">
        <f aca="false">IF(INT(AN$3)=INT($C21), TEXT($C21, "dd-mmm"), "")</f>
        <v/>
      </c>
      <c r="AO21" s="84" t="str">
        <f aca="false">IF(INT(AO$3)=INT($C21), TEXT($C21, "dd-mmm"), "")</f>
        <v/>
      </c>
      <c r="AP21" s="84" t="str">
        <f aca="false">IF(INT(AP$3)=INT($C21), TEXT($C21, "dd-mmm"), "")</f>
        <v/>
      </c>
      <c r="AQ21" s="84" t="str">
        <f aca="false">IF(INT(AQ$3)=INT($C21), TEXT($C21, "dd-mmm"), "")</f>
        <v/>
      </c>
      <c r="AR21" s="84" t="str">
        <f aca="false">IF(INT(AR$3)=INT($C21), TEXT($C21, "dd-mmm"), "")</f>
        <v/>
      </c>
      <c r="AS21" s="84" t="str">
        <f aca="false">IF(INT(AS$3)=INT($C21), TEXT($C21, "dd-mmm"), "")</f>
        <v/>
      </c>
      <c r="AT21" s="84" t="str">
        <f aca="false">IF(INT(AT$3)=INT($C21), TEXT($C21, "dd-mmm"), "")</f>
        <v/>
      </c>
      <c r="AU21" s="84" t="str">
        <f aca="false">IF(INT(AU$3)=INT($C21), TEXT($C21, "dd-mmm"), "")</f>
        <v/>
      </c>
      <c r="AV21" s="84" t="str">
        <f aca="false">IF(INT(AV$3)=INT($C21), TEXT($C21, "dd-mmm"), "")</f>
        <v/>
      </c>
      <c r="AW21" s="84" t="str">
        <f aca="false">IF(INT(AW$3)=INT($C21), TEXT($C21, "dd-mmm"), "")</f>
        <v/>
      </c>
      <c r="AX21" s="84" t="str">
        <f aca="false">IF(INT(AX$3)=INT($C21), TEXT($C21, "dd-mmm"), "")</f>
        <v/>
      </c>
      <c r="AY21" s="84" t="str">
        <f aca="false">IF(INT(AY$3)=INT($C21), TEXT($C21, "dd-mmm"), "")</f>
        <v/>
      </c>
      <c r="AZ21" s="84" t="str">
        <f aca="false">IF(INT(AZ$3)=INT($C21), TEXT($C21, "dd-mmm"), "")</f>
        <v/>
      </c>
      <c r="BA21" s="84" t="str">
        <f aca="false">IF(INT(BA$3)=INT($C21), TEXT($C21, "dd-mmm"), "")</f>
        <v/>
      </c>
      <c r="BB21" s="84" t="str">
        <f aca="false">IF(INT(BB$3)=INT($C21), TEXT($C21, "dd-mmm"), "")</f>
        <v>18-May</v>
      </c>
      <c r="BC21" s="84" t="str">
        <f aca="false">IF(INT(BC$3)=INT($C21), TEXT($C21, "dd-mmm"), "")</f>
        <v/>
      </c>
      <c r="BD21" s="84" t="str">
        <f aca="false">IF(INT(BD$3)=INT($C21), TEXT($C21, "dd-mmm"), "")</f>
        <v/>
      </c>
      <c r="BE21" s="84" t="str">
        <f aca="false">IF(INT(BE$3)=INT($C21), TEXT($C21, "dd-mmm"), "")</f>
        <v/>
      </c>
      <c r="BF21" s="84" t="str">
        <f aca="false">IF(INT(BF$3)=INT($C21), TEXT($C21, "dd-mmm"), "")</f>
        <v/>
      </c>
      <c r="BG21" s="84" t="str">
        <f aca="false">IF(INT(BG$3)=INT($C21), TEXT($C21, "dd-mmm"), "")</f>
        <v/>
      </c>
      <c r="BH21" s="84" t="str">
        <f aca="false">IF(INT(BH$3)=INT($C21), TEXT($C21, "dd-mmm"), "")</f>
        <v/>
      </c>
      <c r="BI21" s="84" t="str">
        <f aca="false">IF(INT(BI$3)=INT($C21), TEXT($C21, "dd-mmm"), "")</f>
        <v/>
      </c>
      <c r="BJ21" s="84" t="str">
        <f aca="false">IF(INT(BJ$3)=INT($C21), TEXT($C21, "dd-mmm"), "")</f>
        <v/>
      </c>
      <c r="BK21" s="84" t="str">
        <f aca="false">IF(INT(BK$3)=INT($C21), TEXT($C21, "dd-mmm"), "")</f>
        <v/>
      </c>
      <c r="BL21" s="84" t="str">
        <f aca="false">IF(INT(BL$3)=INT($C21), TEXT($C21, "dd-mmm"), "")</f>
        <v/>
      </c>
      <c r="BM21" s="84" t="str">
        <f aca="false">IF(INT(BM$3)=INT($C21), TEXT($C21, "dd-mmm"), "")</f>
        <v/>
      </c>
      <c r="BN21" s="84" t="str">
        <f aca="false">IF(INT(BN$3)=INT($C21), TEXT($C21, "dd-mmm"), "")</f>
        <v/>
      </c>
    </row>
    <row r="22" customFormat="false" ht="15" hidden="false" customHeight="true" outlineLevel="0" collapsed="false">
      <c r="A22" s="4" t="str">
        <f aca="false">Machine_List!A22</f>
        <v>EDM</v>
      </c>
      <c r="B22" s="4" t="str">
        <f aca="false">Machine_List!B22</f>
        <v>EDM-MC-03</v>
      </c>
      <c r="C22" s="12" t="n">
        <f aca="false">Machine_List!C22</f>
        <v>46057</v>
      </c>
      <c r="D22" s="4" t="n">
        <f aca="false">Machine_List!D22</f>
        <v>6</v>
      </c>
      <c r="E22" s="4" t="n">
        <f aca="true">C22-TODAY()</f>
        <v>-61</v>
      </c>
      <c r="F22" s="4" t="str">
        <f aca="false">IF(E22&lt;0,"OVERDUE",IF(E22&lt;=5,"DUE SOON","OK"))</f>
        <v>OVERDUE</v>
      </c>
      <c r="G22" s="84" t="str">
        <f aca="false">IF(INT(G$3)=INT($C22), TEXT($C22, "dd-mmm"), "")</f>
        <v/>
      </c>
      <c r="H22" s="84" t="str">
        <f aca="false">IF(INT(H$3)=INT($C22), TEXT($C22, "dd-mmm"), "")</f>
        <v/>
      </c>
      <c r="I22" s="84" t="str">
        <f aca="false">IF(INT(I$3)=INT($C22), TEXT($C22, "dd-mmm"), "")</f>
        <v/>
      </c>
      <c r="J22" s="84" t="str">
        <f aca="false">IF(INT(J$3)=INT($C22), TEXT($C22, "dd-mmm"), "")</f>
        <v/>
      </c>
      <c r="K22" s="84" t="str">
        <f aca="false">IF(INT(K$3)=INT($C22), TEXT($C22, "dd-mmm"), "")</f>
        <v/>
      </c>
      <c r="L22" s="84" t="str">
        <f aca="false">IF(INT(L$3)=INT($C22), TEXT($C22, "dd-mmm"), "")</f>
        <v/>
      </c>
      <c r="M22" s="84" t="str">
        <f aca="false">IF(INT(M$3)=INT($C22), TEXT($C22, "dd-mmm"), "")</f>
        <v/>
      </c>
      <c r="N22" s="84" t="str">
        <f aca="false">IF(INT(N$3)=INT($C22), TEXT($C22, "dd-mmm"), "")</f>
        <v/>
      </c>
      <c r="O22" s="84" t="str">
        <f aca="false">IF(INT(O$3)=INT($C22), TEXT($C22, "dd-mmm"), "")</f>
        <v/>
      </c>
      <c r="P22" s="84" t="str">
        <f aca="false">IF(INT(P$3)=INT($C22), TEXT($C22, "dd-mmm"), "")</f>
        <v/>
      </c>
      <c r="Q22" s="84" t="str">
        <f aca="false">IF(INT(Q$3)=INT($C22), TEXT($C22, "dd-mmm"), "")</f>
        <v/>
      </c>
      <c r="R22" s="84" t="str">
        <f aca="false">IF(INT(R$3)=INT($C22), TEXT($C22, "dd-mmm"), "")</f>
        <v/>
      </c>
      <c r="S22" s="84" t="str">
        <f aca="false">IF(INT(S$3)=INT($C22), TEXT($C22, "dd-mmm"), "")</f>
        <v/>
      </c>
      <c r="T22" s="84" t="str">
        <f aca="false">IF(INT(T$3)=INT($C22), TEXT($C22, "dd-mmm"), "")</f>
        <v/>
      </c>
      <c r="U22" s="84" t="str">
        <f aca="false">IF(INT(U$3)=INT($C22), TEXT($C22, "dd-mmm"), "")</f>
        <v/>
      </c>
      <c r="V22" s="84" t="str">
        <f aca="false">IF(INT(V$3)=INT($C22), TEXT($C22, "dd-mmm"), "")</f>
        <v/>
      </c>
      <c r="W22" s="84" t="str">
        <f aca="false">IF(INT(W$3)=INT($C22), TEXT($C22, "dd-mmm"), "")</f>
        <v/>
      </c>
      <c r="X22" s="84" t="str">
        <f aca="false">IF(INT(X$3)=INT($C22), TEXT($C22, "dd-mmm"), "")</f>
        <v/>
      </c>
      <c r="Y22" s="84" t="str">
        <f aca="false">IF(INT(Y$3)=INT($C22), TEXT($C22, "dd-mmm"), "")</f>
        <v/>
      </c>
      <c r="Z22" s="84" t="str">
        <f aca="false">IF(INT(Z$3)=INT($C22), TEXT($C22, "dd-mmm"), "")</f>
        <v/>
      </c>
      <c r="AA22" s="84" t="str">
        <f aca="false">IF(INT(AA$3)=INT($C22), TEXT($C22, "dd-mmm"), "")</f>
        <v/>
      </c>
      <c r="AB22" s="84" t="str">
        <f aca="false">IF(INT(AB$3)=INT($C22), TEXT($C22, "dd-mmm"), "")</f>
        <v/>
      </c>
      <c r="AC22" s="84" t="str">
        <f aca="false">IF(INT(AC$3)=INT($C22), TEXT($C22, "dd-mmm"), "")</f>
        <v/>
      </c>
      <c r="AD22" s="84" t="str">
        <f aca="false">IF(INT(AD$3)=INT($C22), TEXT($C22, "dd-mmm"), "")</f>
        <v/>
      </c>
      <c r="AE22" s="84" t="str">
        <f aca="false">IF(INT(AE$3)=INT($C22), TEXT($C22, "dd-mmm"), "")</f>
        <v/>
      </c>
      <c r="AF22" s="84" t="str">
        <f aca="false">IF(INT(AF$3)=INT($C22), TEXT($C22, "dd-mmm"), "")</f>
        <v/>
      </c>
      <c r="AG22" s="84" t="str">
        <f aca="false">IF(INT(AG$3)=INT($C22), TEXT($C22, "dd-mmm"), "")</f>
        <v/>
      </c>
      <c r="AH22" s="84" t="str">
        <f aca="false">IF(INT(AH$3)=INT($C22), TEXT($C22, "dd-mmm"), "")</f>
        <v/>
      </c>
      <c r="AI22" s="84" t="str">
        <f aca="false">IF(INT(AI$3)=INT($C22), TEXT($C22, "dd-mmm"), "")</f>
        <v/>
      </c>
      <c r="AJ22" s="84" t="str">
        <f aca="false">IF(INT(AJ$3)=INT($C22), TEXT($C22, "dd-mmm"), "")</f>
        <v/>
      </c>
      <c r="AK22" s="84" t="str">
        <f aca="false">IF(INT(AK$3)=INT($C22), TEXT($C22, "dd-mmm"), "")</f>
        <v/>
      </c>
      <c r="AL22" s="84" t="str">
        <f aca="false">IF(INT(AL$3)=INT($C22), TEXT($C22, "dd-mmm"), "")</f>
        <v/>
      </c>
      <c r="AM22" s="84" t="str">
        <f aca="false">IF(INT(AM$3)=INT($C22), TEXT($C22, "dd-mmm"), "")</f>
        <v/>
      </c>
      <c r="AN22" s="84" t="str">
        <f aca="false">IF(INT(AN$3)=INT($C22), TEXT($C22, "dd-mmm"), "")</f>
        <v/>
      </c>
      <c r="AO22" s="84" t="str">
        <f aca="false">IF(INT(AO$3)=INT($C22), TEXT($C22, "dd-mmm"), "")</f>
        <v/>
      </c>
      <c r="AP22" s="84" t="str">
        <f aca="false">IF(INT(AP$3)=INT($C22), TEXT($C22, "dd-mmm"), "")</f>
        <v/>
      </c>
      <c r="AQ22" s="84" t="str">
        <f aca="false">IF(INT(AQ$3)=INT($C22), TEXT($C22, "dd-mmm"), "")</f>
        <v/>
      </c>
      <c r="AR22" s="84" t="str">
        <f aca="false">IF(INT(AR$3)=INT($C22), TEXT($C22, "dd-mmm"), "")</f>
        <v/>
      </c>
      <c r="AS22" s="84" t="str">
        <f aca="false">IF(INT(AS$3)=INT($C22), TEXT($C22, "dd-mmm"), "")</f>
        <v/>
      </c>
      <c r="AT22" s="84" t="str">
        <f aca="false">IF(INT(AT$3)=INT($C22), TEXT($C22, "dd-mmm"), "")</f>
        <v/>
      </c>
      <c r="AU22" s="84" t="str">
        <f aca="false">IF(INT(AU$3)=INT($C22), TEXT($C22, "dd-mmm"), "")</f>
        <v/>
      </c>
      <c r="AV22" s="84" t="str">
        <f aca="false">IF(INT(AV$3)=INT($C22), TEXT($C22, "dd-mmm"), "")</f>
        <v/>
      </c>
      <c r="AW22" s="84" t="str">
        <f aca="false">IF(INT(AW$3)=INT($C22), TEXT($C22, "dd-mmm"), "")</f>
        <v/>
      </c>
      <c r="AX22" s="84" t="str">
        <f aca="false">IF(INT(AX$3)=INT($C22), TEXT($C22, "dd-mmm"), "")</f>
        <v/>
      </c>
      <c r="AY22" s="84" t="str">
        <f aca="false">IF(INT(AY$3)=INT($C22), TEXT($C22, "dd-mmm"), "")</f>
        <v/>
      </c>
      <c r="AZ22" s="84" t="str">
        <f aca="false">IF(INT(AZ$3)=INT($C22), TEXT($C22, "dd-mmm"), "")</f>
        <v/>
      </c>
      <c r="BA22" s="84" t="str">
        <f aca="false">IF(INT(BA$3)=INT($C22), TEXT($C22, "dd-mmm"), "")</f>
        <v/>
      </c>
      <c r="BB22" s="84" t="str">
        <f aca="false">IF(INT(BB$3)=INT($C22), TEXT($C22, "dd-mmm"), "")</f>
        <v/>
      </c>
      <c r="BC22" s="84" t="str">
        <f aca="false">IF(INT(BC$3)=INT($C22), TEXT($C22, "dd-mmm"), "")</f>
        <v/>
      </c>
      <c r="BD22" s="84" t="str">
        <f aca="false">IF(INT(BD$3)=INT($C22), TEXT($C22, "dd-mmm"), "")</f>
        <v/>
      </c>
      <c r="BE22" s="84" t="str">
        <f aca="false">IF(INT(BE$3)=INT($C22), TEXT($C22, "dd-mmm"), "")</f>
        <v/>
      </c>
      <c r="BF22" s="84" t="str">
        <f aca="false">IF(INT(BF$3)=INT($C22), TEXT($C22, "dd-mmm"), "")</f>
        <v/>
      </c>
      <c r="BG22" s="84" t="str">
        <f aca="false">IF(INT(BG$3)=INT($C22), TEXT($C22, "dd-mmm"), "")</f>
        <v/>
      </c>
      <c r="BH22" s="84" t="str">
        <f aca="false">IF(INT(BH$3)=INT($C22), TEXT($C22, "dd-mmm"), "")</f>
        <v/>
      </c>
      <c r="BI22" s="84" t="str">
        <f aca="false">IF(INT(BI$3)=INT($C22), TEXT($C22, "dd-mmm"), "")</f>
        <v/>
      </c>
      <c r="BJ22" s="84" t="str">
        <f aca="false">IF(INT(BJ$3)=INT($C22), TEXT($C22, "dd-mmm"), "")</f>
        <v/>
      </c>
      <c r="BK22" s="84" t="str">
        <f aca="false">IF(INT(BK$3)=INT($C22), TEXT($C22, "dd-mmm"), "")</f>
        <v/>
      </c>
      <c r="BL22" s="84" t="str">
        <f aca="false">IF(INT(BL$3)=INT($C22), TEXT($C22, "dd-mmm"), "")</f>
        <v/>
      </c>
      <c r="BM22" s="84" t="str">
        <f aca="false">IF(INT(BM$3)=INT($C22), TEXT($C22, "dd-mmm"), "")</f>
        <v/>
      </c>
      <c r="BN22" s="84" t="str">
        <f aca="false">IF(INT(BN$3)=INT($C22), TEXT($C22, "dd-mmm"), "")</f>
        <v/>
      </c>
    </row>
    <row r="23" customFormat="false" ht="15" hidden="false" customHeight="true" outlineLevel="0" collapsed="false">
      <c r="A23" s="4" t="str">
        <f aca="false">Machine_List!A23</f>
        <v>EDM</v>
      </c>
      <c r="B23" s="4" t="str">
        <f aca="false">Machine_List!B23</f>
        <v>EDM-MC-04</v>
      </c>
      <c r="C23" s="12" t="n">
        <f aca="false">Machine_List!C23</f>
        <v>46111</v>
      </c>
      <c r="D23" s="4" t="n">
        <f aca="false">Machine_List!D23</f>
        <v>6</v>
      </c>
      <c r="E23" s="4" t="n">
        <f aca="true">C23-TODAY()</f>
        <v>-7</v>
      </c>
      <c r="F23" s="4" t="str">
        <f aca="false">IF(E23&lt;0,"OVERDUE",IF(E23&lt;=5,"DUE SOON","OK"))</f>
        <v>OVERDUE</v>
      </c>
      <c r="G23" s="84" t="str">
        <f aca="false">IF(INT(G$3)=INT($C23), TEXT($C23, "dd-mmm"), "")</f>
        <v/>
      </c>
      <c r="H23" s="84" t="str">
        <f aca="false">IF(INT(H$3)=INT($C23), TEXT($C23, "dd-mmm"), "")</f>
        <v/>
      </c>
      <c r="I23" s="84" t="str">
        <f aca="false">IF(INT(I$3)=INT($C23), TEXT($C23, "dd-mmm"), "")</f>
        <v/>
      </c>
      <c r="J23" s="84" t="str">
        <f aca="false">IF(INT(J$3)=INT($C23), TEXT($C23, "dd-mmm"), "")</f>
        <v/>
      </c>
      <c r="K23" s="84" t="str">
        <f aca="false">IF(INT(K$3)=INT($C23), TEXT($C23, "dd-mmm"), "")</f>
        <v/>
      </c>
      <c r="L23" s="84" t="str">
        <f aca="false">IF(INT(L$3)=INT($C23), TEXT($C23, "dd-mmm"), "")</f>
        <v/>
      </c>
      <c r="M23" s="84" t="str">
        <f aca="false">IF(INT(M$3)=INT($C23), TEXT($C23, "dd-mmm"), "")</f>
        <v/>
      </c>
      <c r="N23" s="84" t="str">
        <f aca="false">IF(INT(N$3)=INT($C23), TEXT($C23, "dd-mmm"), "")</f>
        <v/>
      </c>
      <c r="O23" s="84" t="str">
        <f aca="false">IF(INT(O$3)=INT($C23), TEXT($C23, "dd-mmm"), "")</f>
        <v/>
      </c>
      <c r="P23" s="84" t="str">
        <f aca="false">IF(INT(P$3)=INT($C23), TEXT($C23, "dd-mmm"), "")</f>
        <v/>
      </c>
      <c r="Q23" s="84" t="str">
        <f aca="false">IF(INT(Q$3)=INT($C23), TEXT($C23, "dd-mmm"), "")</f>
        <v/>
      </c>
      <c r="R23" s="84" t="str">
        <f aca="false">IF(INT(R$3)=INT($C23), TEXT($C23, "dd-mmm"), "")</f>
        <v/>
      </c>
      <c r="S23" s="84" t="str">
        <f aca="false">IF(INT(S$3)=INT($C23), TEXT($C23, "dd-mmm"), "")</f>
        <v/>
      </c>
      <c r="T23" s="84" t="str">
        <f aca="false">IF(INT(T$3)=INT($C23), TEXT($C23, "dd-mmm"), "")</f>
        <v/>
      </c>
      <c r="U23" s="84" t="str">
        <f aca="false">IF(INT(U$3)=INT($C23), TEXT($C23, "dd-mmm"), "")</f>
        <v/>
      </c>
      <c r="V23" s="84" t="str">
        <f aca="false">IF(INT(V$3)=INT($C23), TEXT($C23, "dd-mmm"), "")</f>
        <v/>
      </c>
      <c r="W23" s="84" t="str">
        <f aca="false">IF(INT(W$3)=INT($C23), TEXT($C23, "dd-mmm"), "")</f>
        <v/>
      </c>
      <c r="X23" s="84" t="str">
        <f aca="false">IF(INT(X$3)=INT($C23), TEXT($C23, "dd-mmm"), "")</f>
        <v/>
      </c>
      <c r="Y23" s="84" t="str">
        <f aca="false">IF(INT(Y$3)=INT($C23), TEXT($C23, "dd-mmm"), "")</f>
        <v/>
      </c>
      <c r="Z23" s="84" t="str">
        <f aca="false">IF(INT(Z$3)=INT($C23), TEXT($C23, "dd-mmm"), "")</f>
        <v/>
      </c>
      <c r="AA23" s="84" t="str">
        <f aca="false">IF(INT(AA$3)=INT($C23), TEXT($C23, "dd-mmm"), "")</f>
        <v/>
      </c>
      <c r="AB23" s="84" t="str">
        <f aca="false">IF(INT(AB$3)=INT($C23), TEXT($C23, "dd-mmm"), "")</f>
        <v/>
      </c>
      <c r="AC23" s="84" t="str">
        <f aca="false">IF(INT(AC$3)=INT($C23), TEXT($C23, "dd-mmm"), "")</f>
        <v/>
      </c>
      <c r="AD23" s="84" t="str">
        <f aca="false">IF(INT(AD$3)=INT($C23), TEXT($C23, "dd-mmm"), "")</f>
        <v/>
      </c>
      <c r="AE23" s="84" t="str">
        <f aca="false">IF(INT(AE$3)=INT($C23), TEXT($C23, "dd-mmm"), "")</f>
        <v/>
      </c>
      <c r="AF23" s="84" t="str">
        <f aca="false">IF(INT(AF$3)=INT($C23), TEXT($C23, "dd-mmm"), "")</f>
        <v/>
      </c>
      <c r="AG23" s="84" t="str">
        <f aca="false">IF(INT(AG$3)=INT($C23), TEXT($C23, "dd-mmm"), "")</f>
        <v/>
      </c>
      <c r="AH23" s="84" t="str">
        <f aca="false">IF(INT(AH$3)=INT($C23), TEXT($C23, "dd-mmm"), "")</f>
        <v/>
      </c>
      <c r="AI23" s="84" t="str">
        <f aca="false">IF(INT(AI$3)=INT($C23), TEXT($C23, "dd-mmm"), "")</f>
        <v/>
      </c>
      <c r="AJ23" s="84" t="str">
        <f aca="false">IF(INT(AJ$3)=INT($C23), TEXT($C23, "dd-mmm"), "")</f>
        <v/>
      </c>
      <c r="AK23" s="84" t="str">
        <f aca="false">IF(INT(AK$3)=INT($C23), TEXT($C23, "dd-mmm"), "")</f>
        <v/>
      </c>
      <c r="AL23" s="84" t="str">
        <f aca="false">IF(INT(AL$3)=INT($C23), TEXT($C23, "dd-mmm"), "")</f>
        <v/>
      </c>
      <c r="AM23" s="84" t="str">
        <f aca="false">IF(INT(AM$3)=INT($C23), TEXT($C23, "dd-mmm"), "")</f>
        <v/>
      </c>
      <c r="AN23" s="84" t="str">
        <f aca="false">IF(INT(AN$3)=INT($C23), TEXT($C23, "dd-mmm"), "")</f>
        <v/>
      </c>
      <c r="AO23" s="84" t="str">
        <f aca="false">IF(INT(AO$3)=INT($C23), TEXT($C23, "dd-mmm"), "")</f>
        <v/>
      </c>
      <c r="AP23" s="84" t="str">
        <f aca="false">IF(INT(AP$3)=INT($C23), TEXT($C23, "dd-mmm"), "")</f>
        <v/>
      </c>
      <c r="AQ23" s="84" t="str">
        <f aca="false">IF(INT(AQ$3)=INT($C23), TEXT($C23, "dd-mmm"), "")</f>
        <v/>
      </c>
      <c r="AR23" s="84" t="str">
        <f aca="false">IF(INT(AR$3)=INT($C23), TEXT($C23, "dd-mmm"), "")</f>
        <v/>
      </c>
      <c r="AS23" s="84" t="str">
        <f aca="false">IF(INT(AS$3)=INT($C23), TEXT($C23, "dd-mmm"), "")</f>
        <v/>
      </c>
      <c r="AT23" s="84" t="str">
        <f aca="false">IF(INT(AT$3)=INT($C23), TEXT($C23, "dd-mmm"), "")</f>
        <v/>
      </c>
      <c r="AU23" s="84" t="str">
        <f aca="false">IF(INT(AU$3)=INT($C23), TEXT($C23, "dd-mmm"), "")</f>
        <v/>
      </c>
      <c r="AV23" s="84" t="str">
        <f aca="false">IF(INT(AV$3)=INT($C23), TEXT($C23, "dd-mmm"), "")</f>
        <v/>
      </c>
      <c r="AW23" s="84" t="str">
        <f aca="false">IF(INT(AW$3)=INT($C23), TEXT($C23, "dd-mmm"), "")</f>
        <v/>
      </c>
      <c r="AX23" s="84" t="str">
        <f aca="false">IF(INT(AX$3)=INT($C23), TEXT($C23, "dd-mmm"), "")</f>
        <v/>
      </c>
      <c r="AY23" s="84" t="str">
        <f aca="false">IF(INT(AY$3)=INT($C23), TEXT($C23, "dd-mmm"), "")</f>
        <v/>
      </c>
      <c r="AZ23" s="84" t="str">
        <f aca="false">IF(INT(AZ$3)=INT($C23), TEXT($C23, "dd-mmm"), "")</f>
        <v/>
      </c>
      <c r="BA23" s="84" t="str">
        <f aca="false">IF(INT(BA$3)=INT($C23), TEXT($C23, "dd-mmm"), "")</f>
        <v/>
      </c>
      <c r="BB23" s="84" t="str">
        <f aca="false">IF(INT(BB$3)=INT($C23), TEXT($C23, "dd-mmm"), "")</f>
        <v/>
      </c>
      <c r="BC23" s="84" t="str">
        <f aca="false">IF(INT(BC$3)=INT($C23), TEXT($C23, "dd-mmm"), "")</f>
        <v/>
      </c>
      <c r="BD23" s="84" t="str">
        <f aca="false">IF(INT(BD$3)=INT($C23), TEXT($C23, "dd-mmm"), "")</f>
        <v/>
      </c>
      <c r="BE23" s="84" t="str">
        <f aca="false">IF(INT(BE$3)=INT($C23), TEXT($C23, "dd-mmm"), "")</f>
        <v/>
      </c>
      <c r="BF23" s="84" t="str">
        <f aca="false">IF(INT(BF$3)=INT($C23), TEXT($C23, "dd-mmm"), "")</f>
        <v/>
      </c>
      <c r="BG23" s="84" t="str">
        <f aca="false">IF(INT(BG$3)=INT($C23), TEXT($C23, "dd-mmm"), "")</f>
        <v/>
      </c>
      <c r="BH23" s="84" t="str">
        <f aca="false">IF(INT(BH$3)=INT($C23), TEXT($C23, "dd-mmm"), "")</f>
        <v/>
      </c>
      <c r="BI23" s="84" t="str">
        <f aca="false">IF(INT(BI$3)=INT($C23), TEXT($C23, "dd-mmm"), "")</f>
        <v/>
      </c>
      <c r="BJ23" s="84" t="str">
        <f aca="false">IF(INT(BJ$3)=INT($C23), TEXT($C23, "dd-mmm"), "")</f>
        <v/>
      </c>
      <c r="BK23" s="84" t="str">
        <f aca="false">IF(INT(BK$3)=INT($C23), TEXT($C23, "dd-mmm"), "")</f>
        <v/>
      </c>
      <c r="BL23" s="84" t="str">
        <f aca="false">IF(INT(BL$3)=INT($C23), TEXT($C23, "dd-mmm"), "")</f>
        <v/>
      </c>
      <c r="BM23" s="84" t="str">
        <f aca="false">IF(INT(BM$3)=INT($C23), TEXT($C23, "dd-mmm"), "")</f>
        <v/>
      </c>
      <c r="BN23" s="84" t="str">
        <f aca="false">IF(INT(BN$3)=INT($C23), TEXT($C23, "dd-mmm"), "")</f>
        <v/>
      </c>
    </row>
    <row r="24" customFormat="false" ht="15" hidden="false" customHeight="true" outlineLevel="0" collapsed="false">
      <c r="A24" s="4" t="str">
        <f aca="false">Machine_List!A24</f>
        <v>EDM</v>
      </c>
      <c r="B24" s="4" t="str">
        <f aca="false">Machine_List!B24</f>
        <v>EDM-MC-05</v>
      </c>
      <c r="C24" s="12" t="n">
        <f aca="false">Machine_List!C24</f>
        <v>46225</v>
      </c>
      <c r="D24" s="4" t="n">
        <f aca="false">Machine_List!D24</f>
        <v>6</v>
      </c>
      <c r="E24" s="4" t="n">
        <f aca="true">C24-TODAY()</f>
        <v>107</v>
      </c>
      <c r="F24" s="4" t="str">
        <f aca="false">IF(E24&lt;0,"OVERDUE",IF(E24&lt;=5,"DUE SOON","OK"))</f>
        <v>OK</v>
      </c>
      <c r="G24" s="84" t="str">
        <f aca="false">IF(INT(G$3)=INT($C24), TEXT($C24, "dd-mmm"), "")</f>
        <v/>
      </c>
      <c r="H24" s="84" t="str">
        <f aca="false">IF(INT(H$3)=INT($C24), TEXT($C24, "dd-mmm"), "")</f>
        <v/>
      </c>
      <c r="I24" s="84" t="str">
        <f aca="false">IF(INT(I$3)=INT($C24), TEXT($C24, "dd-mmm"), "")</f>
        <v/>
      </c>
      <c r="J24" s="84" t="str">
        <f aca="false">IF(INT(J$3)=INT($C24), TEXT($C24, "dd-mmm"), "")</f>
        <v/>
      </c>
      <c r="K24" s="84" t="str">
        <f aca="false">IF(INT(K$3)=INT($C24), TEXT($C24, "dd-mmm"), "")</f>
        <v/>
      </c>
      <c r="L24" s="84" t="str">
        <f aca="false">IF(INT(L$3)=INT($C24), TEXT($C24, "dd-mmm"), "")</f>
        <v/>
      </c>
      <c r="M24" s="84" t="str">
        <f aca="false">IF(INT(M$3)=INT($C24), TEXT($C24, "dd-mmm"), "")</f>
        <v/>
      </c>
      <c r="N24" s="84" t="str">
        <f aca="false">IF(INT(N$3)=INT($C24), TEXT($C24, "dd-mmm"), "")</f>
        <v/>
      </c>
      <c r="O24" s="84" t="str">
        <f aca="false">IF(INT(O$3)=INT($C24), TEXT($C24, "dd-mmm"), "")</f>
        <v/>
      </c>
      <c r="P24" s="84" t="str">
        <f aca="false">IF(INT(P$3)=INT($C24), TEXT($C24, "dd-mmm"), "")</f>
        <v/>
      </c>
      <c r="Q24" s="84" t="str">
        <f aca="false">IF(INT(Q$3)=INT($C24), TEXT($C24, "dd-mmm"), "")</f>
        <v/>
      </c>
      <c r="R24" s="84" t="str">
        <f aca="false">IF(INT(R$3)=INT($C24), TEXT($C24, "dd-mmm"), "")</f>
        <v/>
      </c>
      <c r="S24" s="84" t="str">
        <f aca="false">IF(INT(S$3)=INT($C24), TEXT($C24, "dd-mmm"), "")</f>
        <v/>
      </c>
      <c r="T24" s="84" t="str">
        <f aca="false">IF(INT(T$3)=INT($C24), TEXT($C24, "dd-mmm"), "")</f>
        <v/>
      </c>
      <c r="U24" s="84" t="str">
        <f aca="false">IF(INT(U$3)=INT($C24), TEXT($C24, "dd-mmm"), "")</f>
        <v/>
      </c>
      <c r="V24" s="84" t="str">
        <f aca="false">IF(INT(V$3)=INT($C24), TEXT($C24, "dd-mmm"), "")</f>
        <v/>
      </c>
      <c r="W24" s="84" t="str">
        <f aca="false">IF(INT(W$3)=INT($C24), TEXT($C24, "dd-mmm"), "")</f>
        <v/>
      </c>
      <c r="X24" s="84" t="str">
        <f aca="false">IF(INT(X$3)=INT($C24), TEXT($C24, "dd-mmm"), "")</f>
        <v/>
      </c>
      <c r="Y24" s="84" t="str">
        <f aca="false">IF(INT(Y$3)=INT($C24), TEXT($C24, "dd-mmm"), "")</f>
        <v/>
      </c>
      <c r="Z24" s="84" t="str">
        <f aca="false">IF(INT(Z$3)=INT($C24), TEXT($C24, "dd-mmm"), "")</f>
        <v/>
      </c>
      <c r="AA24" s="84" t="str">
        <f aca="false">IF(INT(AA$3)=INT($C24), TEXT($C24, "dd-mmm"), "")</f>
        <v/>
      </c>
      <c r="AB24" s="84" t="str">
        <f aca="false">IF(INT(AB$3)=INT($C24), TEXT($C24, "dd-mmm"), "")</f>
        <v/>
      </c>
      <c r="AC24" s="84" t="str">
        <f aca="false">IF(INT(AC$3)=INT($C24), TEXT($C24, "dd-mmm"), "")</f>
        <v/>
      </c>
      <c r="AD24" s="84" t="str">
        <f aca="false">IF(INT(AD$3)=INT($C24), TEXT($C24, "dd-mmm"), "")</f>
        <v/>
      </c>
      <c r="AE24" s="84" t="str">
        <f aca="false">IF(INT(AE$3)=INT($C24), TEXT($C24, "dd-mmm"), "")</f>
        <v/>
      </c>
      <c r="AF24" s="84" t="str">
        <f aca="false">IF(INT(AF$3)=INT($C24), TEXT($C24, "dd-mmm"), "")</f>
        <v/>
      </c>
      <c r="AG24" s="84" t="str">
        <f aca="false">IF(INT(AG$3)=INT($C24), TEXT($C24, "dd-mmm"), "")</f>
        <v/>
      </c>
      <c r="AH24" s="84" t="str">
        <f aca="false">IF(INT(AH$3)=INT($C24), TEXT($C24, "dd-mmm"), "")</f>
        <v/>
      </c>
      <c r="AI24" s="84" t="str">
        <f aca="false">IF(INT(AI$3)=INT($C24), TEXT($C24, "dd-mmm"), "")</f>
        <v/>
      </c>
      <c r="AJ24" s="84" t="str">
        <f aca="false">IF(INT(AJ$3)=INT($C24), TEXT($C24, "dd-mmm"), "")</f>
        <v/>
      </c>
      <c r="AK24" s="84" t="str">
        <f aca="false">IF(INT(AK$3)=INT($C24), TEXT($C24, "dd-mmm"), "")</f>
        <v/>
      </c>
      <c r="AL24" s="84" t="str">
        <f aca="false">IF(INT(AL$3)=INT($C24), TEXT($C24, "dd-mmm"), "")</f>
        <v/>
      </c>
      <c r="AM24" s="84" t="str">
        <f aca="false">IF(INT(AM$3)=INT($C24), TEXT($C24, "dd-mmm"), "")</f>
        <v/>
      </c>
      <c r="AN24" s="84" t="str">
        <f aca="false">IF(INT(AN$3)=INT($C24), TEXT($C24, "dd-mmm"), "")</f>
        <v/>
      </c>
      <c r="AO24" s="84" t="str">
        <f aca="false">IF(INT(AO$3)=INT($C24), TEXT($C24, "dd-mmm"), "")</f>
        <v/>
      </c>
      <c r="AP24" s="84" t="str">
        <f aca="false">IF(INT(AP$3)=INT($C24), TEXT($C24, "dd-mmm"), "")</f>
        <v/>
      </c>
      <c r="AQ24" s="84" t="str">
        <f aca="false">IF(INT(AQ$3)=INT($C24), TEXT($C24, "dd-mmm"), "")</f>
        <v/>
      </c>
      <c r="AR24" s="84" t="str">
        <f aca="false">IF(INT(AR$3)=INT($C24), TEXT($C24, "dd-mmm"), "")</f>
        <v/>
      </c>
      <c r="AS24" s="84" t="str">
        <f aca="false">IF(INT(AS$3)=INT($C24), TEXT($C24, "dd-mmm"), "")</f>
        <v/>
      </c>
      <c r="AT24" s="84" t="str">
        <f aca="false">IF(INT(AT$3)=INT($C24), TEXT($C24, "dd-mmm"), "")</f>
        <v/>
      </c>
      <c r="AU24" s="84" t="str">
        <f aca="false">IF(INT(AU$3)=INT($C24), TEXT($C24, "dd-mmm"), "")</f>
        <v/>
      </c>
      <c r="AV24" s="84" t="str">
        <f aca="false">IF(INT(AV$3)=INT($C24), TEXT($C24, "dd-mmm"), "")</f>
        <v/>
      </c>
      <c r="AW24" s="84" t="str">
        <f aca="false">IF(INT(AW$3)=INT($C24), TEXT($C24, "dd-mmm"), "")</f>
        <v/>
      </c>
      <c r="AX24" s="84" t="str">
        <f aca="false">IF(INT(AX$3)=INT($C24), TEXT($C24, "dd-mmm"), "")</f>
        <v/>
      </c>
      <c r="AY24" s="84" t="str">
        <f aca="false">IF(INT(AY$3)=INT($C24), TEXT($C24, "dd-mmm"), "")</f>
        <v/>
      </c>
      <c r="AZ24" s="84" t="str">
        <f aca="false">IF(INT(AZ$3)=INT($C24), TEXT($C24, "dd-mmm"), "")</f>
        <v/>
      </c>
      <c r="BA24" s="84" t="str">
        <f aca="false">IF(INT(BA$3)=INT($C24), TEXT($C24, "dd-mmm"), "")</f>
        <v/>
      </c>
      <c r="BB24" s="84" t="str">
        <f aca="false">IF(INT(BB$3)=INT($C24), TEXT($C24, "dd-mmm"), "")</f>
        <v/>
      </c>
      <c r="BC24" s="84" t="str">
        <f aca="false">IF(INT(BC$3)=INT($C24), TEXT($C24, "dd-mmm"), "")</f>
        <v/>
      </c>
      <c r="BD24" s="84" t="str">
        <f aca="false">IF(INT(BD$3)=INT($C24), TEXT($C24, "dd-mmm"), "")</f>
        <v/>
      </c>
      <c r="BE24" s="84" t="str">
        <f aca="false">IF(INT(BE$3)=INT($C24), TEXT($C24, "dd-mmm"), "")</f>
        <v/>
      </c>
      <c r="BF24" s="84" t="str">
        <f aca="false">IF(INT(BF$3)=INT($C24), TEXT($C24, "dd-mmm"), "")</f>
        <v/>
      </c>
      <c r="BG24" s="84" t="str">
        <f aca="false">IF(INT(BG$3)=INT($C24), TEXT($C24, "dd-mmm"), "")</f>
        <v/>
      </c>
      <c r="BH24" s="84" t="str">
        <f aca="false">IF(INT(BH$3)=INT($C24), TEXT($C24, "dd-mmm"), "")</f>
        <v/>
      </c>
      <c r="BI24" s="84" t="str">
        <f aca="false">IF(INT(BI$3)=INT($C24), TEXT($C24, "dd-mmm"), "")</f>
        <v/>
      </c>
      <c r="BJ24" s="84" t="str">
        <f aca="false">IF(INT(BJ$3)=INT($C24), TEXT($C24, "dd-mmm"), "")</f>
        <v/>
      </c>
      <c r="BK24" s="84" t="str">
        <f aca="false">IF(INT(BK$3)=INT($C24), TEXT($C24, "dd-mmm"), "")</f>
        <v/>
      </c>
      <c r="BL24" s="84" t="str">
        <f aca="false">IF(INT(BL$3)=INT($C24), TEXT($C24, "dd-mmm"), "")</f>
        <v/>
      </c>
      <c r="BM24" s="84" t="str">
        <f aca="false">IF(INT(BM$3)=INT($C24), TEXT($C24, "dd-mmm"), "")</f>
        <v/>
      </c>
      <c r="BN24" s="84" t="str">
        <f aca="false">IF(INT(BN$3)=INT($C24), TEXT($C24, "dd-mmm"), "")</f>
        <v/>
      </c>
    </row>
    <row r="25" customFormat="false" ht="15" hidden="false" customHeight="true" outlineLevel="0" collapsed="false">
      <c r="A25" s="4" t="str">
        <f aca="false">Machine_List!A25</f>
        <v>EDM</v>
      </c>
      <c r="B25" s="4" t="str">
        <f aca="false">Machine_List!B25</f>
        <v>EDM-MC-06</v>
      </c>
      <c r="C25" s="12" t="n">
        <f aca="false">Machine_List!C25</f>
        <v>46330</v>
      </c>
      <c r="D25" s="4" t="n">
        <f aca="false">Machine_List!D25</f>
        <v>6</v>
      </c>
      <c r="E25" s="4" t="n">
        <f aca="true">C25-TODAY()</f>
        <v>212</v>
      </c>
      <c r="F25" s="4" t="str">
        <f aca="false">IF(E25&lt;0,"OVERDUE",IF(E25&lt;=5,"DUE SOON","OK"))</f>
        <v>OK</v>
      </c>
      <c r="G25" s="84" t="str">
        <f aca="false">IF(INT(G$3)=INT($C25), TEXT($C25, "dd-mmm"), "")</f>
        <v/>
      </c>
      <c r="H25" s="84" t="str">
        <f aca="false">IF(INT(H$3)=INT($C25), TEXT($C25, "dd-mmm"), "")</f>
        <v/>
      </c>
      <c r="I25" s="84" t="str">
        <f aca="false">IF(INT(I$3)=INT($C25), TEXT($C25, "dd-mmm"), "")</f>
        <v/>
      </c>
      <c r="J25" s="84" t="str">
        <f aca="false">IF(INT(J$3)=INT($C25), TEXT($C25, "dd-mmm"), "")</f>
        <v/>
      </c>
      <c r="K25" s="84" t="str">
        <f aca="false">IF(INT(K$3)=INT($C25), TEXT($C25, "dd-mmm"), "")</f>
        <v/>
      </c>
      <c r="L25" s="84" t="str">
        <f aca="false">IF(INT(L$3)=INT($C25), TEXT($C25, "dd-mmm"), "")</f>
        <v/>
      </c>
      <c r="M25" s="84" t="str">
        <f aca="false">IF(INT(M$3)=INT($C25), TEXT($C25, "dd-mmm"), "")</f>
        <v/>
      </c>
      <c r="N25" s="84" t="str">
        <f aca="false">IF(INT(N$3)=INT($C25), TEXT($C25, "dd-mmm"), "")</f>
        <v/>
      </c>
      <c r="O25" s="84" t="str">
        <f aca="false">IF(INT(O$3)=INT($C25), TEXT($C25, "dd-mmm"), "")</f>
        <v/>
      </c>
      <c r="P25" s="84" t="str">
        <f aca="false">IF(INT(P$3)=INT($C25), TEXT($C25, "dd-mmm"), "")</f>
        <v/>
      </c>
      <c r="Q25" s="84" t="str">
        <f aca="false">IF(INT(Q$3)=INT($C25), TEXT($C25, "dd-mmm"), "")</f>
        <v/>
      </c>
      <c r="R25" s="84" t="str">
        <f aca="false">IF(INT(R$3)=INT($C25), TEXT($C25, "dd-mmm"), "")</f>
        <v/>
      </c>
      <c r="S25" s="84" t="str">
        <f aca="false">IF(INT(S$3)=INT($C25), TEXT($C25, "dd-mmm"), "")</f>
        <v/>
      </c>
      <c r="T25" s="84" t="str">
        <f aca="false">IF(INT(T$3)=INT($C25), TEXT($C25, "dd-mmm"), "")</f>
        <v/>
      </c>
      <c r="U25" s="84" t="str">
        <f aca="false">IF(INT(U$3)=INT($C25), TEXT($C25, "dd-mmm"), "")</f>
        <v/>
      </c>
      <c r="V25" s="84" t="str">
        <f aca="false">IF(INT(V$3)=INT($C25), TEXT($C25, "dd-mmm"), "")</f>
        <v/>
      </c>
      <c r="W25" s="84" t="str">
        <f aca="false">IF(INT(W$3)=INT($C25), TEXT($C25, "dd-mmm"), "")</f>
        <v/>
      </c>
      <c r="X25" s="84" t="str">
        <f aca="false">IF(INT(X$3)=INT($C25), TEXT($C25, "dd-mmm"), "")</f>
        <v/>
      </c>
      <c r="Y25" s="84" t="str">
        <f aca="false">IF(INT(Y$3)=INT($C25), TEXT($C25, "dd-mmm"), "")</f>
        <v/>
      </c>
      <c r="Z25" s="84" t="str">
        <f aca="false">IF(INT(Z$3)=INT($C25), TEXT($C25, "dd-mmm"), "")</f>
        <v/>
      </c>
      <c r="AA25" s="84" t="str">
        <f aca="false">IF(INT(AA$3)=INT($C25), TEXT($C25, "dd-mmm"), "")</f>
        <v/>
      </c>
      <c r="AB25" s="84" t="str">
        <f aca="false">IF(INT(AB$3)=INT($C25), TEXT($C25, "dd-mmm"), "")</f>
        <v/>
      </c>
      <c r="AC25" s="84" t="str">
        <f aca="false">IF(INT(AC$3)=INT($C25), TEXT($C25, "dd-mmm"), "")</f>
        <v/>
      </c>
      <c r="AD25" s="84" t="str">
        <f aca="false">IF(INT(AD$3)=INT($C25), TEXT($C25, "dd-mmm"), "")</f>
        <v/>
      </c>
      <c r="AE25" s="84" t="str">
        <f aca="false">IF(INT(AE$3)=INT($C25), TEXT($C25, "dd-mmm"), "")</f>
        <v/>
      </c>
      <c r="AF25" s="84" t="str">
        <f aca="false">IF(INT(AF$3)=INT($C25), TEXT($C25, "dd-mmm"), "")</f>
        <v/>
      </c>
      <c r="AG25" s="84" t="str">
        <f aca="false">IF(INT(AG$3)=INT($C25), TEXT($C25, "dd-mmm"), "")</f>
        <v/>
      </c>
      <c r="AH25" s="84" t="str">
        <f aca="false">IF(INT(AH$3)=INT($C25), TEXT($C25, "dd-mmm"), "")</f>
        <v/>
      </c>
      <c r="AI25" s="84" t="str">
        <f aca="false">IF(INT(AI$3)=INT($C25), TEXT($C25, "dd-mmm"), "")</f>
        <v/>
      </c>
      <c r="AJ25" s="84" t="str">
        <f aca="false">IF(INT(AJ$3)=INT($C25), TEXT($C25, "dd-mmm"), "")</f>
        <v/>
      </c>
      <c r="AK25" s="84" t="str">
        <f aca="false">IF(INT(AK$3)=INT($C25), TEXT($C25, "dd-mmm"), "")</f>
        <v/>
      </c>
      <c r="AL25" s="84" t="str">
        <f aca="false">IF(INT(AL$3)=INT($C25), TEXT($C25, "dd-mmm"), "")</f>
        <v/>
      </c>
      <c r="AM25" s="84" t="str">
        <f aca="false">IF(INT(AM$3)=INT($C25), TEXT($C25, "dd-mmm"), "")</f>
        <v/>
      </c>
      <c r="AN25" s="84" t="str">
        <f aca="false">IF(INT(AN$3)=INT($C25), TEXT($C25, "dd-mmm"), "")</f>
        <v/>
      </c>
      <c r="AO25" s="84" t="str">
        <f aca="false">IF(INT(AO$3)=INT($C25), TEXT($C25, "dd-mmm"), "")</f>
        <v/>
      </c>
      <c r="AP25" s="84" t="str">
        <f aca="false">IF(INT(AP$3)=INT($C25), TEXT($C25, "dd-mmm"), "")</f>
        <v/>
      </c>
      <c r="AQ25" s="84" t="str">
        <f aca="false">IF(INT(AQ$3)=INT($C25), TEXT($C25, "dd-mmm"), "")</f>
        <v/>
      </c>
      <c r="AR25" s="84" t="str">
        <f aca="false">IF(INT(AR$3)=INT($C25), TEXT($C25, "dd-mmm"), "")</f>
        <v/>
      </c>
      <c r="AS25" s="84" t="str">
        <f aca="false">IF(INT(AS$3)=INT($C25), TEXT($C25, "dd-mmm"), "")</f>
        <v/>
      </c>
      <c r="AT25" s="84" t="str">
        <f aca="false">IF(INT(AT$3)=INT($C25), TEXT($C25, "dd-mmm"), "")</f>
        <v/>
      </c>
      <c r="AU25" s="84" t="str">
        <f aca="false">IF(INT(AU$3)=INT($C25), TEXT($C25, "dd-mmm"), "")</f>
        <v/>
      </c>
      <c r="AV25" s="84" t="str">
        <f aca="false">IF(INT(AV$3)=INT($C25), TEXT($C25, "dd-mmm"), "")</f>
        <v/>
      </c>
      <c r="AW25" s="84" t="str">
        <f aca="false">IF(INT(AW$3)=INT($C25), TEXT($C25, "dd-mmm"), "")</f>
        <v/>
      </c>
      <c r="AX25" s="84" t="str">
        <f aca="false">IF(INT(AX$3)=INT($C25), TEXT($C25, "dd-mmm"), "")</f>
        <v/>
      </c>
      <c r="AY25" s="84" t="str">
        <f aca="false">IF(INT(AY$3)=INT($C25), TEXT($C25, "dd-mmm"), "")</f>
        <v/>
      </c>
      <c r="AZ25" s="84" t="str">
        <f aca="false">IF(INT(AZ$3)=INT($C25), TEXT($C25, "dd-mmm"), "")</f>
        <v/>
      </c>
      <c r="BA25" s="84" t="str">
        <f aca="false">IF(INT(BA$3)=INT($C25), TEXT($C25, "dd-mmm"), "")</f>
        <v/>
      </c>
      <c r="BB25" s="84" t="str">
        <f aca="false">IF(INT(BB$3)=INT($C25), TEXT($C25, "dd-mmm"), "")</f>
        <v/>
      </c>
      <c r="BC25" s="84" t="str">
        <f aca="false">IF(INT(BC$3)=INT($C25), TEXT($C25, "dd-mmm"), "")</f>
        <v/>
      </c>
      <c r="BD25" s="84" t="str">
        <f aca="false">IF(INT(BD$3)=INT($C25), TEXT($C25, "dd-mmm"), "")</f>
        <v/>
      </c>
      <c r="BE25" s="84" t="str">
        <f aca="false">IF(INT(BE$3)=INT($C25), TEXT($C25, "dd-mmm"), "")</f>
        <v/>
      </c>
      <c r="BF25" s="84" t="str">
        <f aca="false">IF(INT(BF$3)=INT($C25), TEXT($C25, "dd-mmm"), "")</f>
        <v/>
      </c>
      <c r="BG25" s="84" t="str">
        <f aca="false">IF(INT(BG$3)=INT($C25), TEXT($C25, "dd-mmm"), "")</f>
        <v/>
      </c>
      <c r="BH25" s="84" t="str">
        <f aca="false">IF(INT(BH$3)=INT($C25), TEXT($C25, "dd-mmm"), "")</f>
        <v/>
      </c>
      <c r="BI25" s="84" t="str">
        <f aca="false">IF(INT(BI$3)=INT($C25), TEXT($C25, "dd-mmm"), "")</f>
        <v/>
      </c>
      <c r="BJ25" s="84" t="str">
        <f aca="false">IF(INT(BJ$3)=INT($C25), TEXT($C25, "dd-mmm"), "")</f>
        <v/>
      </c>
      <c r="BK25" s="84" t="str">
        <f aca="false">IF(INT(BK$3)=INT($C25), TEXT($C25, "dd-mmm"), "")</f>
        <v/>
      </c>
      <c r="BL25" s="84" t="str">
        <f aca="false">IF(INT(BL$3)=INT($C25), TEXT($C25, "dd-mmm"), "")</f>
        <v/>
      </c>
      <c r="BM25" s="84" t="str">
        <f aca="false">IF(INT(BM$3)=INT($C25), TEXT($C25, "dd-mmm"), "")</f>
        <v/>
      </c>
      <c r="BN25" s="84" t="str">
        <f aca="false">IF(INT(BN$3)=INT($C25), TEXT($C25, "dd-mmm"), "")</f>
        <v/>
      </c>
    </row>
    <row r="26" customFormat="false" ht="15" hidden="false" customHeight="true" outlineLevel="0" collapsed="false">
      <c r="A26" s="4" t="str">
        <f aca="false">Machine_List!A26</f>
        <v>EDM</v>
      </c>
      <c r="B26" s="4" t="str">
        <f aca="false">Machine_List!B26</f>
        <v>EDM-MC-07</v>
      </c>
      <c r="C26" s="12" t="n">
        <f aca="false">Machine_List!C26</f>
        <v>46208</v>
      </c>
      <c r="D26" s="4" t="n">
        <f aca="false">Machine_List!D26</f>
        <v>6</v>
      </c>
      <c r="E26" s="4" t="n">
        <f aca="true">C26-TODAY()</f>
        <v>90</v>
      </c>
      <c r="F26" s="4" t="str">
        <f aca="false">IF(E26&lt;0,"OVERDUE",IF(E26&lt;=5,"DUE SOON","OK"))</f>
        <v>OK</v>
      </c>
      <c r="G26" s="84" t="str">
        <f aca="false">IF(INT(G$3)=INT($C26), TEXT($C26, "dd-mmm"), "")</f>
        <v/>
      </c>
      <c r="H26" s="84" t="str">
        <f aca="false">IF(INT(H$3)=INT($C26), TEXT($C26, "dd-mmm"), "")</f>
        <v/>
      </c>
      <c r="I26" s="84" t="str">
        <f aca="false">IF(INT(I$3)=INT($C26), TEXT($C26, "dd-mmm"), "")</f>
        <v/>
      </c>
      <c r="J26" s="84" t="str">
        <f aca="false">IF(INT(J$3)=INT($C26), TEXT($C26, "dd-mmm"), "")</f>
        <v/>
      </c>
      <c r="K26" s="84" t="str">
        <f aca="false">IF(INT(K$3)=INT($C26), TEXT($C26, "dd-mmm"), "")</f>
        <v/>
      </c>
      <c r="L26" s="84" t="str">
        <f aca="false">IF(INT(L$3)=INT($C26), TEXT($C26, "dd-mmm"), "")</f>
        <v/>
      </c>
      <c r="M26" s="84" t="str">
        <f aca="false">IF(INT(M$3)=INT($C26), TEXT($C26, "dd-mmm"), "")</f>
        <v/>
      </c>
      <c r="N26" s="84" t="str">
        <f aca="false">IF(INT(N$3)=INT($C26), TEXT($C26, "dd-mmm"), "")</f>
        <v/>
      </c>
      <c r="O26" s="84" t="str">
        <f aca="false">IF(INT(O$3)=INT($C26), TEXT($C26, "dd-mmm"), "")</f>
        <v/>
      </c>
      <c r="P26" s="84" t="str">
        <f aca="false">IF(INT(P$3)=INT($C26), TEXT($C26, "dd-mmm"), "")</f>
        <v/>
      </c>
      <c r="Q26" s="84" t="str">
        <f aca="false">IF(INT(Q$3)=INT($C26), TEXT($C26, "dd-mmm"), "")</f>
        <v/>
      </c>
      <c r="R26" s="84" t="str">
        <f aca="false">IF(INT(R$3)=INT($C26), TEXT($C26, "dd-mmm"), "")</f>
        <v/>
      </c>
      <c r="S26" s="84" t="str">
        <f aca="false">IF(INT(S$3)=INT($C26), TEXT($C26, "dd-mmm"), "")</f>
        <v/>
      </c>
      <c r="T26" s="84" t="str">
        <f aca="false">IF(INT(T$3)=INT($C26), TEXT($C26, "dd-mmm"), "")</f>
        <v/>
      </c>
      <c r="U26" s="84" t="str">
        <f aca="false">IF(INT(U$3)=INT($C26), TEXT($C26, "dd-mmm"), "")</f>
        <v/>
      </c>
      <c r="V26" s="84" t="str">
        <f aca="false">IF(INT(V$3)=INT($C26), TEXT($C26, "dd-mmm"), "")</f>
        <v/>
      </c>
      <c r="W26" s="84" t="str">
        <f aca="false">IF(INT(W$3)=INT($C26), TEXT($C26, "dd-mmm"), "")</f>
        <v/>
      </c>
      <c r="X26" s="84" t="str">
        <f aca="false">IF(INT(X$3)=INT($C26), TEXT($C26, "dd-mmm"), "")</f>
        <v/>
      </c>
      <c r="Y26" s="84" t="str">
        <f aca="false">IF(INT(Y$3)=INT($C26), TEXT($C26, "dd-mmm"), "")</f>
        <v/>
      </c>
      <c r="Z26" s="84" t="str">
        <f aca="false">IF(INT(Z$3)=INT($C26), TEXT($C26, "dd-mmm"), "")</f>
        <v/>
      </c>
      <c r="AA26" s="84" t="str">
        <f aca="false">IF(INT(AA$3)=INT($C26), TEXT($C26, "dd-mmm"), "")</f>
        <v/>
      </c>
      <c r="AB26" s="84" t="str">
        <f aca="false">IF(INT(AB$3)=INT($C26), TEXT($C26, "dd-mmm"), "")</f>
        <v/>
      </c>
      <c r="AC26" s="84" t="str">
        <f aca="false">IF(INT(AC$3)=INT($C26), TEXT($C26, "dd-mmm"), "")</f>
        <v/>
      </c>
      <c r="AD26" s="84" t="str">
        <f aca="false">IF(INT(AD$3)=INT($C26), TEXT($C26, "dd-mmm"), "")</f>
        <v/>
      </c>
      <c r="AE26" s="84" t="str">
        <f aca="false">IF(INT(AE$3)=INT($C26), TEXT($C26, "dd-mmm"), "")</f>
        <v/>
      </c>
      <c r="AF26" s="84" t="str">
        <f aca="false">IF(INT(AF$3)=INT($C26), TEXT($C26, "dd-mmm"), "")</f>
        <v/>
      </c>
      <c r="AG26" s="84" t="str">
        <f aca="false">IF(INT(AG$3)=INT($C26), TEXT($C26, "dd-mmm"), "")</f>
        <v/>
      </c>
      <c r="AH26" s="84" t="str">
        <f aca="false">IF(INT(AH$3)=INT($C26), TEXT($C26, "dd-mmm"), "")</f>
        <v/>
      </c>
      <c r="AI26" s="84" t="str">
        <f aca="false">IF(INT(AI$3)=INT($C26), TEXT($C26, "dd-mmm"), "")</f>
        <v/>
      </c>
      <c r="AJ26" s="84" t="str">
        <f aca="false">IF(INT(AJ$3)=INT($C26), TEXT($C26, "dd-mmm"), "")</f>
        <v/>
      </c>
      <c r="AK26" s="84" t="str">
        <f aca="false">IF(INT(AK$3)=INT($C26), TEXT($C26, "dd-mmm"), "")</f>
        <v/>
      </c>
      <c r="AL26" s="84" t="str">
        <f aca="false">IF(INT(AL$3)=INT($C26), TEXT($C26, "dd-mmm"), "")</f>
        <v/>
      </c>
      <c r="AM26" s="84" t="str">
        <f aca="false">IF(INT(AM$3)=INT($C26), TEXT($C26, "dd-mmm"), "")</f>
        <v/>
      </c>
      <c r="AN26" s="84" t="str">
        <f aca="false">IF(INT(AN$3)=INT($C26), TEXT($C26, "dd-mmm"), "")</f>
        <v/>
      </c>
      <c r="AO26" s="84" t="str">
        <f aca="false">IF(INT(AO$3)=INT($C26), TEXT($C26, "dd-mmm"), "")</f>
        <v/>
      </c>
      <c r="AP26" s="84" t="str">
        <f aca="false">IF(INT(AP$3)=INT($C26), TEXT($C26, "dd-mmm"), "")</f>
        <v/>
      </c>
      <c r="AQ26" s="84" t="str">
        <f aca="false">IF(INT(AQ$3)=INT($C26), TEXT($C26, "dd-mmm"), "")</f>
        <v/>
      </c>
      <c r="AR26" s="84" t="str">
        <f aca="false">IF(INT(AR$3)=INT($C26), TEXT($C26, "dd-mmm"), "")</f>
        <v/>
      </c>
      <c r="AS26" s="84" t="str">
        <f aca="false">IF(INT(AS$3)=INT($C26), TEXT($C26, "dd-mmm"), "")</f>
        <v/>
      </c>
      <c r="AT26" s="84" t="str">
        <f aca="false">IF(INT(AT$3)=INT($C26), TEXT($C26, "dd-mmm"), "")</f>
        <v/>
      </c>
      <c r="AU26" s="84" t="str">
        <f aca="false">IF(INT(AU$3)=INT($C26), TEXT($C26, "dd-mmm"), "")</f>
        <v/>
      </c>
      <c r="AV26" s="84" t="str">
        <f aca="false">IF(INT(AV$3)=INT($C26), TEXT($C26, "dd-mmm"), "")</f>
        <v/>
      </c>
      <c r="AW26" s="84" t="str">
        <f aca="false">IF(INT(AW$3)=INT($C26), TEXT($C26, "dd-mmm"), "")</f>
        <v/>
      </c>
      <c r="AX26" s="84" t="str">
        <f aca="false">IF(INT(AX$3)=INT($C26), TEXT($C26, "dd-mmm"), "")</f>
        <v/>
      </c>
      <c r="AY26" s="84" t="str">
        <f aca="false">IF(INT(AY$3)=INT($C26), TEXT($C26, "dd-mmm"), "")</f>
        <v/>
      </c>
      <c r="AZ26" s="84" t="str">
        <f aca="false">IF(INT(AZ$3)=INT($C26), TEXT($C26, "dd-mmm"), "")</f>
        <v/>
      </c>
      <c r="BA26" s="84" t="str">
        <f aca="false">IF(INT(BA$3)=INT($C26), TEXT($C26, "dd-mmm"), "")</f>
        <v/>
      </c>
      <c r="BB26" s="84" t="str">
        <f aca="false">IF(INT(BB$3)=INT($C26), TEXT($C26, "dd-mmm"), "")</f>
        <v/>
      </c>
      <c r="BC26" s="84" t="str">
        <f aca="false">IF(INT(BC$3)=INT($C26), TEXT($C26, "dd-mmm"), "")</f>
        <v/>
      </c>
      <c r="BD26" s="84" t="str">
        <f aca="false">IF(INT(BD$3)=INT($C26), TEXT($C26, "dd-mmm"), "")</f>
        <v/>
      </c>
      <c r="BE26" s="84" t="str">
        <f aca="false">IF(INT(BE$3)=INT($C26), TEXT($C26, "dd-mmm"), "")</f>
        <v/>
      </c>
      <c r="BF26" s="84" t="str">
        <f aca="false">IF(INT(BF$3)=INT($C26), TEXT($C26, "dd-mmm"), "")</f>
        <v/>
      </c>
      <c r="BG26" s="84" t="str">
        <f aca="false">IF(INT(BG$3)=INT($C26), TEXT($C26, "dd-mmm"), "")</f>
        <v/>
      </c>
      <c r="BH26" s="84" t="str">
        <f aca="false">IF(INT(BH$3)=INT($C26), TEXT($C26, "dd-mmm"), "")</f>
        <v/>
      </c>
      <c r="BI26" s="84" t="str">
        <f aca="false">IF(INT(BI$3)=INT($C26), TEXT($C26, "dd-mmm"), "")</f>
        <v/>
      </c>
      <c r="BJ26" s="84" t="str">
        <f aca="false">IF(INT(BJ$3)=INT($C26), TEXT($C26, "dd-mmm"), "")</f>
        <v/>
      </c>
      <c r="BK26" s="84" t="str">
        <f aca="false">IF(INT(BK$3)=INT($C26), TEXT($C26, "dd-mmm"), "")</f>
        <v/>
      </c>
      <c r="BL26" s="84" t="str">
        <f aca="false">IF(INT(BL$3)=INT($C26), TEXT($C26, "dd-mmm"), "")</f>
        <v/>
      </c>
      <c r="BM26" s="84" t="str">
        <f aca="false">IF(INT(BM$3)=INT($C26), TEXT($C26, "dd-mmm"), "")</f>
        <v/>
      </c>
      <c r="BN26" s="84" t="str">
        <f aca="false">IF(INT(BN$3)=INT($C26), TEXT($C26, "dd-mmm"), "")</f>
        <v/>
      </c>
    </row>
    <row r="27" customFormat="false" ht="15" hidden="false" customHeight="true" outlineLevel="0" collapsed="false">
      <c r="A27" s="4" t="str">
        <f aca="false">Machine_List!A27</f>
        <v>EDM</v>
      </c>
      <c r="B27" s="4" t="str">
        <f aca="false">Machine_List!B27</f>
        <v>EDM-MC-08</v>
      </c>
      <c r="C27" s="12" t="n">
        <f aca="false">Machine_List!C27</f>
        <v>46291</v>
      </c>
      <c r="D27" s="4" t="n">
        <f aca="false">Machine_List!D27</f>
        <v>6</v>
      </c>
      <c r="E27" s="4" t="n">
        <f aca="true">C27-TODAY()</f>
        <v>173</v>
      </c>
      <c r="F27" s="4" t="str">
        <f aca="false">IF(E27&lt;0,"OVERDUE",IF(E27&lt;=5,"DUE SOON","OK"))</f>
        <v>OK</v>
      </c>
      <c r="G27" s="84" t="str">
        <f aca="false">IF(INT(G$3)=INT($C27), TEXT($C27, "dd-mmm"), "")</f>
        <v/>
      </c>
      <c r="H27" s="84" t="str">
        <f aca="false">IF(INT(H$3)=INT($C27), TEXT($C27, "dd-mmm"), "")</f>
        <v/>
      </c>
      <c r="I27" s="84" t="str">
        <f aca="false">IF(INT(I$3)=INT($C27), TEXT($C27, "dd-mmm"), "")</f>
        <v/>
      </c>
      <c r="J27" s="84" t="str">
        <f aca="false">IF(INT(J$3)=INT($C27), TEXT($C27, "dd-mmm"), "")</f>
        <v/>
      </c>
      <c r="K27" s="84" t="str">
        <f aca="false">IF(INT(K$3)=INT($C27), TEXT($C27, "dd-mmm"), "")</f>
        <v/>
      </c>
      <c r="L27" s="84" t="str">
        <f aca="false">IF(INT(L$3)=INT($C27), TEXT($C27, "dd-mmm"), "")</f>
        <v/>
      </c>
      <c r="M27" s="84" t="str">
        <f aca="false">IF(INT(M$3)=INT($C27), TEXT($C27, "dd-mmm"), "")</f>
        <v/>
      </c>
      <c r="N27" s="84" t="str">
        <f aca="false">IF(INT(N$3)=INT($C27), TEXT($C27, "dd-mmm"), "")</f>
        <v/>
      </c>
      <c r="O27" s="84" t="str">
        <f aca="false">IF(INT(O$3)=INT($C27), TEXT($C27, "dd-mmm"), "")</f>
        <v/>
      </c>
      <c r="P27" s="84" t="str">
        <f aca="false">IF(INT(P$3)=INT($C27), TEXT($C27, "dd-mmm"), "")</f>
        <v/>
      </c>
      <c r="Q27" s="84" t="str">
        <f aca="false">IF(INT(Q$3)=INT($C27), TEXT($C27, "dd-mmm"), "")</f>
        <v/>
      </c>
      <c r="R27" s="84" t="str">
        <f aca="false">IF(INT(R$3)=INT($C27), TEXT($C27, "dd-mmm"), "")</f>
        <v/>
      </c>
      <c r="S27" s="84" t="str">
        <f aca="false">IF(INT(S$3)=INT($C27), TEXT($C27, "dd-mmm"), "")</f>
        <v/>
      </c>
      <c r="T27" s="84" t="str">
        <f aca="false">IF(INT(T$3)=INT($C27), TEXT($C27, "dd-mmm"), "")</f>
        <v/>
      </c>
      <c r="U27" s="84" t="str">
        <f aca="false">IF(INT(U$3)=INT($C27), TEXT($C27, "dd-mmm"), "")</f>
        <v/>
      </c>
      <c r="V27" s="84" t="str">
        <f aca="false">IF(INT(V$3)=INT($C27), TEXT($C27, "dd-mmm"), "")</f>
        <v/>
      </c>
      <c r="W27" s="84" t="str">
        <f aca="false">IF(INT(W$3)=INT($C27), TEXT($C27, "dd-mmm"), "")</f>
        <v/>
      </c>
      <c r="X27" s="84" t="str">
        <f aca="false">IF(INT(X$3)=INT($C27), TEXT($C27, "dd-mmm"), "")</f>
        <v/>
      </c>
      <c r="Y27" s="84" t="str">
        <f aca="false">IF(INT(Y$3)=INT($C27), TEXT($C27, "dd-mmm"), "")</f>
        <v/>
      </c>
      <c r="Z27" s="84" t="str">
        <f aca="false">IF(INT(Z$3)=INT($C27), TEXT($C27, "dd-mmm"), "")</f>
        <v/>
      </c>
      <c r="AA27" s="84" t="str">
        <f aca="false">IF(INT(AA$3)=INT($C27), TEXT($C27, "dd-mmm"), "")</f>
        <v/>
      </c>
      <c r="AB27" s="84" t="str">
        <f aca="false">IF(INT(AB$3)=INT($C27), TEXT($C27, "dd-mmm"), "")</f>
        <v/>
      </c>
      <c r="AC27" s="84" t="str">
        <f aca="false">IF(INT(AC$3)=INT($C27), TEXT($C27, "dd-mmm"), "")</f>
        <v/>
      </c>
      <c r="AD27" s="84" t="str">
        <f aca="false">IF(INT(AD$3)=INT($C27), TEXT($C27, "dd-mmm"), "")</f>
        <v/>
      </c>
      <c r="AE27" s="84" t="str">
        <f aca="false">IF(INT(AE$3)=INT($C27), TEXT($C27, "dd-mmm"), "")</f>
        <v/>
      </c>
      <c r="AF27" s="84" t="str">
        <f aca="false">IF(INT(AF$3)=INT($C27), TEXT($C27, "dd-mmm"), "")</f>
        <v/>
      </c>
      <c r="AG27" s="84" t="str">
        <f aca="false">IF(INT(AG$3)=INT($C27), TEXT($C27, "dd-mmm"), "")</f>
        <v/>
      </c>
      <c r="AH27" s="84" t="str">
        <f aca="false">IF(INT(AH$3)=INT($C27), TEXT($C27, "dd-mmm"), "")</f>
        <v/>
      </c>
      <c r="AI27" s="84" t="str">
        <f aca="false">IF(INT(AI$3)=INT($C27), TEXT($C27, "dd-mmm"), "")</f>
        <v/>
      </c>
      <c r="AJ27" s="84" t="str">
        <f aca="false">IF(INT(AJ$3)=INT($C27), TEXT($C27, "dd-mmm"), "")</f>
        <v/>
      </c>
      <c r="AK27" s="84" t="str">
        <f aca="false">IF(INT(AK$3)=INT($C27), TEXT($C27, "dd-mmm"), "")</f>
        <v/>
      </c>
      <c r="AL27" s="84" t="str">
        <f aca="false">IF(INT(AL$3)=INT($C27), TEXT($C27, "dd-mmm"), "")</f>
        <v/>
      </c>
      <c r="AM27" s="84" t="str">
        <f aca="false">IF(INT(AM$3)=INT($C27), TEXT($C27, "dd-mmm"), "")</f>
        <v/>
      </c>
      <c r="AN27" s="84" t="str">
        <f aca="false">IF(INT(AN$3)=INT($C27), TEXT($C27, "dd-mmm"), "")</f>
        <v/>
      </c>
      <c r="AO27" s="84" t="str">
        <f aca="false">IF(INT(AO$3)=INT($C27), TEXT($C27, "dd-mmm"), "")</f>
        <v/>
      </c>
      <c r="AP27" s="84" t="str">
        <f aca="false">IF(INT(AP$3)=INT($C27), TEXT($C27, "dd-mmm"), "")</f>
        <v/>
      </c>
      <c r="AQ27" s="84" t="str">
        <f aca="false">IF(INT(AQ$3)=INT($C27), TEXT($C27, "dd-mmm"), "")</f>
        <v/>
      </c>
      <c r="AR27" s="84" t="str">
        <f aca="false">IF(INT(AR$3)=INT($C27), TEXT($C27, "dd-mmm"), "")</f>
        <v/>
      </c>
      <c r="AS27" s="84" t="str">
        <f aca="false">IF(INT(AS$3)=INT($C27), TEXT($C27, "dd-mmm"), "")</f>
        <v/>
      </c>
      <c r="AT27" s="84" t="str">
        <f aca="false">IF(INT(AT$3)=INT($C27), TEXT($C27, "dd-mmm"), "")</f>
        <v/>
      </c>
      <c r="AU27" s="84" t="str">
        <f aca="false">IF(INT(AU$3)=INT($C27), TEXT($C27, "dd-mmm"), "")</f>
        <v/>
      </c>
      <c r="AV27" s="84" t="str">
        <f aca="false">IF(INT(AV$3)=INT($C27), TEXT($C27, "dd-mmm"), "")</f>
        <v/>
      </c>
      <c r="AW27" s="84" t="str">
        <f aca="false">IF(INT(AW$3)=INT($C27), TEXT($C27, "dd-mmm"), "")</f>
        <v/>
      </c>
      <c r="AX27" s="84" t="str">
        <f aca="false">IF(INT(AX$3)=INT($C27), TEXT($C27, "dd-mmm"), "")</f>
        <v/>
      </c>
      <c r="AY27" s="84" t="str">
        <f aca="false">IF(INT(AY$3)=INT($C27), TEXT($C27, "dd-mmm"), "")</f>
        <v/>
      </c>
      <c r="AZ27" s="84" t="str">
        <f aca="false">IF(INT(AZ$3)=INT($C27), TEXT($C27, "dd-mmm"), "")</f>
        <v/>
      </c>
      <c r="BA27" s="84" t="str">
        <f aca="false">IF(INT(BA$3)=INT($C27), TEXT($C27, "dd-mmm"), "")</f>
        <v/>
      </c>
      <c r="BB27" s="84" t="str">
        <f aca="false">IF(INT(BB$3)=INT($C27), TEXT($C27, "dd-mmm"), "")</f>
        <v/>
      </c>
      <c r="BC27" s="84" t="str">
        <f aca="false">IF(INT(BC$3)=INT($C27), TEXT($C27, "dd-mmm"), "")</f>
        <v/>
      </c>
      <c r="BD27" s="84" t="str">
        <f aca="false">IF(INT(BD$3)=INT($C27), TEXT($C27, "dd-mmm"), "")</f>
        <v/>
      </c>
      <c r="BE27" s="84" t="str">
        <f aca="false">IF(INT(BE$3)=INT($C27), TEXT($C27, "dd-mmm"), "")</f>
        <v/>
      </c>
      <c r="BF27" s="84" t="str">
        <f aca="false">IF(INT(BF$3)=INT($C27), TEXT($C27, "dd-mmm"), "")</f>
        <v/>
      </c>
      <c r="BG27" s="84" t="str">
        <f aca="false">IF(INT(BG$3)=INT($C27), TEXT($C27, "dd-mmm"), "")</f>
        <v/>
      </c>
      <c r="BH27" s="84" t="str">
        <f aca="false">IF(INT(BH$3)=INT($C27), TEXT($C27, "dd-mmm"), "")</f>
        <v/>
      </c>
      <c r="BI27" s="84" t="str">
        <f aca="false">IF(INT(BI$3)=INT($C27), TEXT($C27, "dd-mmm"), "")</f>
        <v/>
      </c>
      <c r="BJ27" s="84" t="str">
        <f aca="false">IF(INT(BJ$3)=INT($C27), TEXT($C27, "dd-mmm"), "")</f>
        <v/>
      </c>
      <c r="BK27" s="84" t="str">
        <f aca="false">IF(INT(BK$3)=INT($C27), TEXT($C27, "dd-mmm"), "")</f>
        <v/>
      </c>
      <c r="BL27" s="84" t="str">
        <f aca="false">IF(INT(BL$3)=INT($C27), TEXT($C27, "dd-mmm"), "")</f>
        <v/>
      </c>
      <c r="BM27" s="84" t="str">
        <f aca="false">IF(INT(BM$3)=INT($C27), TEXT($C27, "dd-mmm"), "")</f>
        <v/>
      </c>
      <c r="BN27" s="84" t="str">
        <f aca="false">IF(INT(BN$3)=INT($C27), TEXT($C27, "dd-mmm"), "")</f>
        <v/>
      </c>
    </row>
    <row r="28" customFormat="false" ht="15" hidden="false" customHeight="true" outlineLevel="0" collapsed="false">
      <c r="A28" s="4" t="str">
        <f aca="false">Machine_List!A28</f>
        <v>EDM</v>
      </c>
      <c r="B28" s="4" t="str">
        <f aca="false">Machine_List!B28</f>
        <v>EDM-MC-09</v>
      </c>
      <c r="C28" s="12" t="n">
        <f aca="false">Machine_List!C28</f>
        <v>46237</v>
      </c>
      <c r="D28" s="4" t="n">
        <f aca="false">Machine_List!D28</f>
        <v>6</v>
      </c>
      <c r="E28" s="4" t="n">
        <f aca="true">C28-TODAY()</f>
        <v>119</v>
      </c>
      <c r="F28" s="4" t="str">
        <f aca="false">IF(E28&lt;0,"OVERDUE",IF(E28&lt;=5,"DUE SOON","OK"))</f>
        <v>OK</v>
      </c>
      <c r="G28" s="84" t="str">
        <f aca="false">IF(INT(G$3)=INT($C28), TEXT($C28, "dd-mmm"), "")</f>
        <v/>
      </c>
      <c r="H28" s="84" t="str">
        <f aca="false">IF(INT(H$3)=INT($C28), TEXT($C28, "dd-mmm"), "")</f>
        <v/>
      </c>
      <c r="I28" s="84" t="str">
        <f aca="false">IF(INT(I$3)=INT($C28), TEXT($C28, "dd-mmm"), "")</f>
        <v/>
      </c>
      <c r="J28" s="84" t="str">
        <f aca="false">IF(INT(J$3)=INT($C28), TEXT($C28, "dd-mmm"), "")</f>
        <v/>
      </c>
      <c r="K28" s="84" t="str">
        <f aca="false">IF(INT(K$3)=INT($C28), TEXT($C28, "dd-mmm"), "")</f>
        <v/>
      </c>
      <c r="L28" s="84" t="str">
        <f aca="false">IF(INT(L$3)=INT($C28), TEXT($C28, "dd-mmm"), "")</f>
        <v/>
      </c>
      <c r="M28" s="84" t="str">
        <f aca="false">IF(INT(M$3)=INT($C28), TEXT($C28, "dd-mmm"), "")</f>
        <v/>
      </c>
      <c r="N28" s="84" t="str">
        <f aca="false">IF(INT(N$3)=INT($C28), TEXT($C28, "dd-mmm"), "")</f>
        <v/>
      </c>
      <c r="O28" s="84" t="str">
        <f aca="false">IF(INT(O$3)=INT($C28), TEXT($C28, "dd-mmm"), "")</f>
        <v/>
      </c>
      <c r="P28" s="84" t="str">
        <f aca="false">IF(INT(P$3)=INT($C28), TEXT($C28, "dd-mmm"), "")</f>
        <v/>
      </c>
      <c r="Q28" s="84" t="str">
        <f aca="false">IF(INT(Q$3)=INT($C28), TEXT($C28, "dd-mmm"), "")</f>
        <v/>
      </c>
      <c r="R28" s="84" t="str">
        <f aca="false">IF(INT(R$3)=INT($C28), TEXT($C28, "dd-mmm"), "")</f>
        <v/>
      </c>
      <c r="S28" s="84" t="str">
        <f aca="false">IF(INT(S$3)=INT($C28), TEXT($C28, "dd-mmm"), "")</f>
        <v/>
      </c>
      <c r="T28" s="84" t="str">
        <f aca="false">IF(INT(T$3)=INT($C28), TEXT($C28, "dd-mmm"), "")</f>
        <v/>
      </c>
      <c r="U28" s="84" t="str">
        <f aca="false">IF(INT(U$3)=INT($C28), TEXT($C28, "dd-mmm"), "")</f>
        <v/>
      </c>
      <c r="V28" s="84" t="str">
        <f aca="false">IF(INT(V$3)=INT($C28), TEXT($C28, "dd-mmm"), "")</f>
        <v/>
      </c>
      <c r="W28" s="84" t="str">
        <f aca="false">IF(INT(W$3)=INT($C28), TEXT($C28, "dd-mmm"), "")</f>
        <v/>
      </c>
      <c r="X28" s="84" t="str">
        <f aca="false">IF(INT(X$3)=INT($C28), TEXT($C28, "dd-mmm"), "")</f>
        <v/>
      </c>
      <c r="Y28" s="84" t="str">
        <f aca="false">IF(INT(Y$3)=INT($C28), TEXT($C28, "dd-mmm"), "")</f>
        <v/>
      </c>
      <c r="Z28" s="84" t="str">
        <f aca="false">IF(INT(Z$3)=INT($C28), TEXT($C28, "dd-mmm"), "")</f>
        <v/>
      </c>
      <c r="AA28" s="84" t="str">
        <f aca="false">IF(INT(AA$3)=INT($C28), TEXT($C28, "dd-mmm"), "")</f>
        <v/>
      </c>
      <c r="AB28" s="84" t="str">
        <f aca="false">IF(INT(AB$3)=INT($C28), TEXT($C28, "dd-mmm"), "")</f>
        <v/>
      </c>
      <c r="AC28" s="84" t="str">
        <f aca="false">IF(INT(AC$3)=INT($C28), TEXT($C28, "dd-mmm"), "")</f>
        <v/>
      </c>
      <c r="AD28" s="84" t="str">
        <f aca="false">IF(INT(AD$3)=INT($C28), TEXT($C28, "dd-mmm"), "")</f>
        <v/>
      </c>
      <c r="AE28" s="84" t="str">
        <f aca="false">IF(INT(AE$3)=INT($C28), TEXT($C28, "dd-mmm"), "")</f>
        <v/>
      </c>
      <c r="AF28" s="84" t="str">
        <f aca="false">IF(INT(AF$3)=INT($C28), TEXT($C28, "dd-mmm"), "")</f>
        <v/>
      </c>
      <c r="AG28" s="84" t="str">
        <f aca="false">IF(INT(AG$3)=INT($C28), TEXT($C28, "dd-mmm"), "")</f>
        <v/>
      </c>
      <c r="AH28" s="84" t="str">
        <f aca="false">IF(INT(AH$3)=INT($C28), TEXT($C28, "dd-mmm"), "")</f>
        <v/>
      </c>
      <c r="AI28" s="84" t="str">
        <f aca="false">IF(INT(AI$3)=INT($C28), TEXT($C28, "dd-mmm"), "")</f>
        <v/>
      </c>
      <c r="AJ28" s="84" t="str">
        <f aca="false">IF(INT(AJ$3)=INT($C28), TEXT($C28, "dd-mmm"), "")</f>
        <v/>
      </c>
      <c r="AK28" s="84" t="str">
        <f aca="false">IF(INT(AK$3)=INT($C28), TEXT($C28, "dd-mmm"), "")</f>
        <v/>
      </c>
      <c r="AL28" s="84" t="str">
        <f aca="false">IF(INT(AL$3)=INT($C28), TEXT($C28, "dd-mmm"), "")</f>
        <v/>
      </c>
      <c r="AM28" s="84" t="str">
        <f aca="false">IF(INT(AM$3)=INT($C28), TEXT($C28, "dd-mmm"), "")</f>
        <v/>
      </c>
      <c r="AN28" s="84" t="str">
        <f aca="false">IF(INT(AN$3)=INT($C28), TEXT($C28, "dd-mmm"), "")</f>
        <v/>
      </c>
      <c r="AO28" s="84" t="str">
        <f aca="false">IF(INT(AO$3)=INT($C28), TEXT($C28, "dd-mmm"), "")</f>
        <v/>
      </c>
      <c r="AP28" s="84" t="str">
        <f aca="false">IF(INT(AP$3)=INT($C28), TEXT($C28, "dd-mmm"), "")</f>
        <v/>
      </c>
      <c r="AQ28" s="84" t="str">
        <f aca="false">IF(INT(AQ$3)=INT($C28), TEXT($C28, "dd-mmm"), "")</f>
        <v/>
      </c>
      <c r="AR28" s="84" t="str">
        <f aca="false">IF(INT(AR$3)=INT($C28), TEXT($C28, "dd-mmm"), "")</f>
        <v/>
      </c>
      <c r="AS28" s="84" t="str">
        <f aca="false">IF(INT(AS$3)=INT($C28), TEXT($C28, "dd-mmm"), "")</f>
        <v/>
      </c>
      <c r="AT28" s="84" t="str">
        <f aca="false">IF(INT(AT$3)=INT($C28), TEXT($C28, "dd-mmm"), "")</f>
        <v/>
      </c>
      <c r="AU28" s="84" t="str">
        <f aca="false">IF(INT(AU$3)=INT($C28), TEXT($C28, "dd-mmm"), "")</f>
        <v/>
      </c>
      <c r="AV28" s="84" t="str">
        <f aca="false">IF(INT(AV$3)=INT($C28), TEXT($C28, "dd-mmm"), "")</f>
        <v/>
      </c>
      <c r="AW28" s="84" t="str">
        <f aca="false">IF(INT(AW$3)=INT($C28), TEXT($C28, "dd-mmm"), "")</f>
        <v/>
      </c>
      <c r="AX28" s="84" t="str">
        <f aca="false">IF(INT(AX$3)=INT($C28), TEXT($C28, "dd-mmm"), "")</f>
        <v/>
      </c>
      <c r="AY28" s="84" t="str">
        <f aca="false">IF(INT(AY$3)=INT($C28), TEXT($C28, "dd-mmm"), "")</f>
        <v/>
      </c>
      <c r="AZ28" s="84" t="str">
        <f aca="false">IF(INT(AZ$3)=INT($C28), TEXT($C28, "dd-mmm"), "")</f>
        <v/>
      </c>
      <c r="BA28" s="84" t="str">
        <f aca="false">IF(INT(BA$3)=INT($C28), TEXT($C28, "dd-mmm"), "")</f>
        <v/>
      </c>
      <c r="BB28" s="84" t="str">
        <f aca="false">IF(INT(BB$3)=INT($C28), TEXT($C28, "dd-mmm"), "")</f>
        <v/>
      </c>
      <c r="BC28" s="84" t="str">
        <f aca="false">IF(INT(BC$3)=INT($C28), TEXT($C28, "dd-mmm"), "")</f>
        <v/>
      </c>
      <c r="BD28" s="84" t="str">
        <f aca="false">IF(INT(BD$3)=INT($C28), TEXT($C28, "dd-mmm"), "")</f>
        <v/>
      </c>
      <c r="BE28" s="84" t="str">
        <f aca="false">IF(INT(BE$3)=INT($C28), TEXT($C28, "dd-mmm"), "")</f>
        <v/>
      </c>
      <c r="BF28" s="84" t="str">
        <f aca="false">IF(INT(BF$3)=INT($C28), TEXT($C28, "dd-mmm"), "")</f>
        <v/>
      </c>
      <c r="BG28" s="84" t="str">
        <f aca="false">IF(INT(BG$3)=INT($C28), TEXT($C28, "dd-mmm"), "")</f>
        <v/>
      </c>
      <c r="BH28" s="84" t="str">
        <f aca="false">IF(INT(BH$3)=INT($C28), TEXT($C28, "dd-mmm"), "")</f>
        <v/>
      </c>
      <c r="BI28" s="84" t="str">
        <f aca="false">IF(INT(BI$3)=INT($C28), TEXT($C28, "dd-mmm"), "")</f>
        <v/>
      </c>
      <c r="BJ28" s="84" t="str">
        <f aca="false">IF(INT(BJ$3)=INT($C28), TEXT($C28, "dd-mmm"), "")</f>
        <v/>
      </c>
      <c r="BK28" s="84" t="str">
        <f aca="false">IF(INT(BK$3)=INT($C28), TEXT($C28, "dd-mmm"), "")</f>
        <v/>
      </c>
      <c r="BL28" s="84" t="str">
        <f aca="false">IF(INT(BL$3)=INT($C28), TEXT($C28, "dd-mmm"), "")</f>
        <v/>
      </c>
      <c r="BM28" s="84" t="str">
        <f aca="false">IF(INT(BM$3)=INT($C28), TEXT($C28, "dd-mmm"), "")</f>
        <v/>
      </c>
      <c r="BN28" s="84" t="str">
        <f aca="false">IF(INT(BN$3)=INT($C28), TEXT($C28, "dd-mmm"), "")</f>
        <v/>
      </c>
    </row>
    <row r="29" customFormat="false" ht="15" hidden="false" customHeight="true" outlineLevel="0" collapsed="false">
      <c r="A29" s="4" t="str">
        <f aca="false">Machine_List!A29</f>
        <v>EDM</v>
      </c>
      <c r="B29" s="4" t="str">
        <f aca="false">Machine_List!B29</f>
        <v>EDM-MC-10</v>
      </c>
      <c r="C29" s="12" t="n">
        <f aca="false">Machine_List!C29</f>
        <v>46503</v>
      </c>
      <c r="D29" s="4" t="n">
        <f aca="false">Machine_List!D29</f>
        <v>6</v>
      </c>
      <c r="E29" s="4" t="n">
        <f aca="true">C29-TODAY()</f>
        <v>385</v>
      </c>
      <c r="F29" s="4" t="str">
        <f aca="false">IF(E29&lt;0,"OVERDUE",IF(E29&lt;=5,"DUE SOON","OK"))</f>
        <v>OK</v>
      </c>
      <c r="G29" s="84" t="str">
        <f aca="false">IF(INT(G$3)=INT($C29), TEXT($C29, "dd-mmm"), "")</f>
        <v/>
      </c>
      <c r="H29" s="84" t="str">
        <f aca="false">IF(INT(H$3)=INT($C29), TEXT($C29, "dd-mmm"), "")</f>
        <v/>
      </c>
      <c r="I29" s="84" t="str">
        <f aca="false">IF(INT(I$3)=INT($C29), TEXT($C29, "dd-mmm"), "")</f>
        <v/>
      </c>
      <c r="J29" s="84" t="str">
        <f aca="false">IF(INT(J$3)=INT($C29), TEXT($C29, "dd-mmm"), "")</f>
        <v/>
      </c>
      <c r="K29" s="84" t="str">
        <f aca="false">IF(INT(K$3)=INT($C29), TEXT($C29, "dd-mmm"), "")</f>
        <v/>
      </c>
      <c r="L29" s="84" t="str">
        <f aca="false">IF(INT(L$3)=INT($C29), TEXT($C29, "dd-mmm"), "")</f>
        <v/>
      </c>
      <c r="M29" s="84" t="str">
        <f aca="false">IF(INT(M$3)=INT($C29), TEXT($C29, "dd-mmm"), "")</f>
        <v/>
      </c>
      <c r="N29" s="84" t="str">
        <f aca="false">IF(INT(N$3)=INT($C29), TEXT($C29, "dd-mmm"), "")</f>
        <v/>
      </c>
      <c r="O29" s="84" t="str">
        <f aca="false">IF(INT(O$3)=INT($C29), TEXT($C29, "dd-mmm"), "")</f>
        <v/>
      </c>
      <c r="P29" s="84" t="str">
        <f aca="false">IF(INT(P$3)=INT($C29), TEXT($C29, "dd-mmm"), "")</f>
        <v/>
      </c>
      <c r="Q29" s="84" t="str">
        <f aca="false">IF(INT(Q$3)=INT($C29), TEXT($C29, "dd-mmm"), "")</f>
        <v/>
      </c>
      <c r="R29" s="84" t="str">
        <f aca="false">IF(INT(R$3)=INT($C29), TEXT($C29, "dd-mmm"), "")</f>
        <v/>
      </c>
      <c r="S29" s="84" t="str">
        <f aca="false">IF(INT(S$3)=INT($C29), TEXT($C29, "dd-mmm"), "")</f>
        <v/>
      </c>
      <c r="T29" s="84" t="str">
        <f aca="false">IF(INT(T$3)=INT($C29), TEXT($C29, "dd-mmm"), "")</f>
        <v/>
      </c>
      <c r="U29" s="84" t="str">
        <f aca="false">IF(INT(U$3)=INT($C29), TEXT($C29, "dd-mmm"), "")</f>
        <v/>
      </c>
      <c r="V29" s="84" t="str">
        <f aca="false">IF(INT(V$3)=INT($C29), TEXT($C29, "dd-mmm"), "")</f>
        <v/>
      </c>
      <c r="W29" s="84" t="str">
        <f aca="false">IF(INT(W$3)=INT($C29), TEXT($C29, "dd-mmm"), "")</f>
        <v/>
      </c>
      <c r="X29" s="84" t="str">
        <f aca="false">IF(INT(X$3)=INT($C29), TEXT($C29, "dd-mmm"), "")</f>
        <v/>
      </c>
      <c r="Y29" s="84" t="str">
        <f aca="false">IF(INT(Y$3)=INT($C29), TEXT($C29, "dd-mmm"), "")</f>
        <v/>
      </c>
      <c r="Z29" s="84" t="str">
        <f aca="false">IF(INT(Z$3)=INT($C29), TEXT($C29, "dd-mmm"), "")</f>
        <v/>
      </c>
      <c r="AA29" s="84" t="str">
        <f aca="false">IF(INT(AA$3)=INT($C29), TEXT($C29, "dd-mmm"), "")</f>
        <v/>
      </c>
      <c r="AB29" s="84" t="str">
        <f aca="false">IF(INT(AB$3)=INT($C29), TEXT($C29, "dd-mmm"), "")</f>
        <v/>
      </c>
      <c r="AC29" s="84" t="str">
        <f aca="false">IF(INT(AC$3)=INT($C29), TEXT($C29, "dd-mmm"), "")</f>
        <v/>
      </c>
      <c r="AD29" s="84" t="str">
        <f aca="false">IF(INT(AD$3)=INT($C29), TEXT($C29, "dd-mmm"), "")</f>
        <v/>
      </c>
      <c r="AE29" s="84" t="str">
        <f aca="false">IF(INT(AE$3)=INT($C29), TEXT($C29, "dd-mmm"), "")</f>
        <v/>
      </c>
      <c r="AF29" s="84" t="str">
        <f aca="false">IF(INT(AF$3)=INT($C29), TEXT($C29, "dd-mmm"), "")</f>
        <v/>
      </c>
      <c r="AG29" s="84" t="str">
        <f aca="false">IF(INT(AG$3)=INT($C29), TEXT($C29, "dd-mmm"), "")</f>
        <v/>
      </c>
      <c r="AH29" s="84" t="str">
        <f aca="false">IF(INT(AH$3)=INT($C29), TEXT($C29, "dd-mmm"), "")</f>
        <v/>
      </c>
      <c r="AI29" s="84" t="str">
        <f aca="false">IF(INT(AI$3)=INT($C29), TEXT($C29, "dd-mmm"), "")</f>
        <v/>
      </c>
      <c r="AJ29" s="84" t="str">
        <f aca="false">IF(INT(AJ$3)=INT($C29), TEXT($C29, "dd-mmm"), "")</f>
        <v/>
      </c>
      <c r="AK29" s="84" t="str">
        <f aca="false">IF(INT(AK$3)=INT($C29), TEXT($C29, "dd-mmm"), "")</f>
        <v/>
      </c>
      <c r="AL29" s="84" t="str">
        <f aca="false">IF(INT(AL$3)=INT($C29), TEXT($C29, "dd-mmm"), "")</f>
        <v/>
      </c>
      <c r="AM29" s="84" t="str">
        <f aca="false">IF(INT(AM$3)=INT($C29), TEXT($C29, "dd-mmm"), "")</f>
        <v/>
      </c>
      <c r="AN29" s="84" t="str">
        <f aca="false">IF(INT(AN$3)=INT($C29), TEXT($C29, "dd-mmm"), "")</f>
        <v/>
      </c>
      <c r="AO29" s="84" t="str">
        <f aca="false">IF(INT(AO$3)=INT($C29), TEXT($C29, "dd-mmm"), "")</f>
        <v/>
      </c>
      <c r="AP29" s="84" t="str">
        <f aca="false">IF(INT(AP$3)=INT($C29), TEXT($C29, "dd-mmm"), "")</f>
        <v/>
      </c>
      <c r="AQ29" s="84" t="str">
        <f aca="false">IF(INT(AQ$3)=INT($C29), TEXT($C29, "dd-mmm"), "")</f>
        <v/>
      </c>
      <c r="AR29" s="84" t="str">
        <f aca="false">IF(INT(AR$3)=INT($C29), TEXT($C29, "dd-mmm"), "")</f>
        <v/>
      </c>
      <c r="AS29" s="84" t="str">
        <f aca="false">IF(INT(AS$3)=INT($C29), TEXT($C29, "dd-mmm"), "")</f>
        <v/>
      </c>
      <c r="AT29" s="84" t="str">
        <f aca="false">IF(INT(AT$3)=INT($C29), TEXT($C29, "dd-mmm"), "")</f>
        <v/>
      </c>
      <c r="AU29" s="84" t="str">
        <f aca="false">IF(INT(AU$3)=INT($C29), TEXT($C29, "dd-mmm"), "")</f>
        <v/>
      </c>
      <c r="AV29" s="84" t="str">
        <f aca="false">IF(INT(AV$3)=INT($C29), TEXT($C29, "dd-mmm"), "")</f>
        <v/>
      </c>
      <c r="AW29" s="84" t="str">
        <f aca="false">IF(INT(AW$3)=INT($C29), TEXT($C29, "dd-mmm"), "")</f>
        <v/>
      </c>
      <c r="AX29" s="84" t="str">
        <f aca="false">IF(INT(AX$3)=INT($C29), TEXT($C29, "dd-mmm"), "")</f>
        <v/>
      </c>
      <c r="AY29" s="84" t="str">
        <f aca="false">IF(INT(AY$3)=INT($C29), TEXT($C29, "dd-mmm"), "")</f>
        <v/>
      </c>
      <c r="AZ29" s="84" t="str">
        <f aca="false">IF(INT(AZ$3)=INT($C29), TEXT($C29, "dd-mmm"), "")</f>
        <v/>
      </c>
      <c r="BA29" s="84" t="str">
        <f aca="false">IF(INT(BA$3)=INT($C29), TEXT($C29, "dd-mmm"), "")</f>
        <v/>
      </c>
      <c r="BB29" s="84" t="str">
        <f aca="false">IF(INT(BB$3)=INT($C29), TEXT($C29, "dd-mmm"), "")</f>
        <v/>
      </c>
      <c r="BC29" s="84" t="str">
        <f aca="false">IF(INT(BC$3)=INT($C29), TEXT($C29, "dd-mmm"), "")</f>
        <v/>
      </c>
      <c r="BD29" s="84" t="str">
        <f aca="false">IF(INT(BD$3)=INT($C29), TEXT($C29, "dd-mmm"), "")</f>
        <v/>
      </c>
      <c r="BE29" s="84" t="str">
        <f aca="false">IF(INT(BE$3)=INT($C29), TEXT($C29, "dd-mmm"), "")</f>
        <v/>
      </c>
      <c r="BF29" s="84" t="str">
        <f aca="false">IF(INT(BF$3)=INT($C29), TEXT($C29, "dd-mmm"), "")</f>
        <v/>
      </c>
      <c r="BG29" s="84" t="str">
        <f aca="false">IF(INT(BG$3)=INT($C29), TEXT($C29, "dd-mmm"), "")</f>
        <v/>
      </c>
      <c r="BH29" s="84" t="str">
        <f aca="false">IF(INT(BH$3)=INT($C29), TEXT($C29, "dd-mmm"), "")</f>
        <v/>
      </c>
      <c r="BI29" s="84" t="str">
        <f aca="false">IF(INT(BI$3)=INT($C29), TEXT($C29, "dd-mmm"), "")</f>
        <v/>
      </c>
      <c r="BJ29" s="84" t="str">
        <f aca="false">IF(INT(BJ$3)=INT($C29), TEXT($C29, "dd-mmm"), "")</f>
        <v/>
      </c>
      <c r="BK29" s="84" t="str">
        <f aca="false">IF(INT(BK$3)=INT($C29), TEXT($C29, "dd-mmm"), "")</f>
        <v/>
      </c>
      <c r="BL29" s="84" t="str">
        <f aca="false">IF(INT(BL$3)=INT($C29), TEXT($C29, "dd-mmm"), "")</f>
        <v/>
      </c>
      <c r="BM29" s="84" t="str">
        <f aca="false">IF(INT(BM$3)=INT($C29), TEXT($C29, "dd-mmm"), "")</f>
        <v/>
      </c>
      <c r="BN29" s="84" t="str">
        <f aca="false">IF(INT(BN$3)=INT($C29), TEXT($C29, "dd-mmm"), "")</f>
        <v/>
      </c>
    </row>
    <row r="30" customFormat="false" ht="15" hidden="false" customHeight="true" outlineLevel="0" collapsed="false">
      <c r="A30" s="4" t="str">
        <f aca="false">Machine_List!A30</f>
        <v>EDM</v>
      </c>
      <c r="B30" s="4" t="str">
        <f aca="false">Machine_List!B30</f>
        <v>EDM-MC-11</v>
      </c>
      <c r="C30" s="12" t="n">
        <f aca="false">Machine_List!C30</f>
        <v>46098</v>
      </c>
      <c r="D30" s="4" t="n">
        <f aca="false">Machine_List!D30</f>
        <v>6</v>
      </c>
      <c r="E30" s="4" t="n">
        <f aca="true">C30-TODAY()</f>
        <v>-20</v>
      </c>
      <c r="F30" s="4" t="str">
        <f aca="false">IF(E30&lt;0,"OVERDUE",IF(E30&lt;=5,"DUE SOON","OK"))</f>
        <v>OVERDUE</v>
      </c>
      <c r="G30" s="84" t="str">
        <f aca="false">IF(INT(G$3)=INT($C30), TEXT($C30, "dd-mmm"), "")</f>
        <v/>
      </c>
      <c r="H30" s="84" t="str">
        <f aca="false">IF(INT(H$3)=INT($C30), TEXT($C30, "dd-mmm"), "")</f>
        <v/>
      </c>
      <c r="I30" s="84" t="str">
        <f aca="false">IF(INT(I$3)=INT($C30), TEXT($C30, "dd-mmm"), "")</f>
        <v/>
      </c>
      <c r="J30" s="84" t="str">
        <f aca="false">IF(INT(J$3)=INT($C30), TEXT($C30, "dd-mmm"), "")</f>
        <v/>
      </c>
      <c r="K30" s="84" t="str">
        <f aca="false">IF(INT(K$3)=INT($C30), TEXT($C30, "dd-mmm"), "")</f>
        <v/>
      </c>
      <c r="L30" s="84" t="str">
        <f aca="false">IF(INT(L$3)=INT($C30), TEXT($C30, "dd-mmm"), "")</f>
        <v/>
      </c>
      <c r="M30" s="84" t="str">
        <f aca="false">IF(INT(M$3)=INT($C30), TEXT($C30, "dd-mmm"), "")</f>
        <v/>
      </c>
      <c r="N30" s="84" t="str">
        <f aca="false">IF(INT(N$3)=INT($C30), TEXT($C30, "dd-mmm"), "")</f>
        <v/>
      </c>
      <c r="O30" s="84" t="str">
        <f aca="false">IF(INT(O$3)=INT($C30), TEXT($C30, "dd-mmm"), "")</f>
        <v/>
      </c>
      <c r="P30" s="84" t="str">
        <f aca="false">IF(INT(P$3)=INT($C30), TEXT($C30, "dd-mmm"), "")</f>
        <v/>
      </c>
      <c r="Q30" s="84" t="str">
        <f aca="false">IF(INT(Q$3)=INT($C30), TEXT($C30, "dd-mmm"), "")</f>
        <v/>
      </c>
      <c r="R30" s="84" t="str">
        <f aca="false">IF(INT(R$3)=INT($C30), TEXT($C30, "dd-mmm"), "")</f>
        <v/>
      </c>
      <c r="S30" s="84" t="str">
        <f aca="false">IF(INT(S$3)=INT($C30), TEXT($C30, "dd-mmm"), "")</f>
        <v/>
      </c>
      <c r="T30" s="84" t="str">
        <f aca="false">IF(INT(T$3)=INT($C30), TEXT($C30, "dd-mmm"), "")</f>
        <v/>
      </c>
      <c r="U30" s="84" t="str">
        <f aca="false">IF(INT(U$3)=INT($C30), TEXT($C30, "dd-mmm"), "")</f>
        <v/>
      </c>
      <c r="V30" s="84" t="str">
        <f aca="false">IF(INT(V$3)=INT($C30), TEXT($C30, "dd-mmm"), "")</f>
        <v/>
      </c>
      <c r="W30" s="84" t="str">
        <f aca="false">IF(INT(W$3)=INT($C30), TEXT($C30, "dd-mmm"), "")</f>
        <v/>
      </c>
      <c r="X30" s="84" t="str">
        <f aca="false">IF(INT(X$3)=INT($C30), TEXT($C30, "dd-mmm"), "")</f>
        <v/>
      </c>
      <c r="Y30" s="84" t="str">
        <f aca="false">IF(INT(Y$3)=INT($C30), TEXT($C30, "dd-mmm"), "")</f>
        <v/>
      </c>
      <c r="Z30" s="84" t="str">
        <f aca="false">IF(INT(Z$3)=INT($C30), TEXT($C30, "dd-mmm"), "")</f>
        <v/>
      </c>
      <c r="AA30" s="84" t="str">
        <f aca="false">IF(INT(AA$3)=INT($C30), TEXT($C30, "dd-mmm"), "")</f>
        <v/>
      </c>
      <c r="AB30" s="84" t="str">
        <f aca="false">IF(INT(AB$3)=INT($C30), TEXT($C30, "dd-mmm"), "")</f>
        <v/>
      </c>
      <c r="AC30" s="84" t="str">
        <f aca="false">IF(INT(AC$3)=INT($C30), TEXT($C30, "dd-mmm"), "")</f>
        <v/>
      </c>
      <c r="AD30" s="84" t="str">
        <f aca="false">IF(INT(AD$3)=INT($C30), TEXT($C30, "dd-mmm"), "")</f>
        <v/>
      </c>
      <c r="AE30" s="84" t="str">
        <f aca="false">IF(INT(AE$3)=INT($C30), TEXT($C30, "dd-mmm"), "")</f>
        <v/>
      </c>
      <c r="AF30" s="84" t="str">
        <f aca="false">IF(INT(AF$3)=INT($C30), TEXT($C30, "dd-mmm"), "")</f>
        <v/>
      </c>
      <c r="AG30" s="84" t="str">
        <f aca="false">IF(INT(AG$3)=INT($C30), TEXT($C30, "dd-mmm"), "")</f>
        <v/>
      </c>
      <c r="AH30" s="84" t="str">
        <f aca="false">IF(INT(AH$3)=INT($C30), TEXT($C30, "dd-mmm"), "")</f>
        <v/>
      </c>
      <c r="AI30" s="84" t="str">
        <f aca="false">IF(INT(AI$3)=INT($C30), TEXT($C30, "dd-mmm"), "")</f>
        <v/>
      </c>
      <c r="AJ30" s="84" t="str">
        <f aca="false">IF(INT(AJ$3)=INT($C30), TEXT($C30, "dd-mmm"), "")</f>
        <v/>
      </c>
      <c r="AK30" s="84" t="str">
        <f aca="false">IF(INT(AK$3)=INT($C30), TEXT($C30, "dd-mmm"), "")</f>
        <v/>
      </c>
      <c r="AL30" s="84" t="str">
        <f aca="false">IF(INT(AL$3)=INT($C30), TEXT($C30, "dd-mmm"), "")</f>
        <v/>
      </c>
      <c r="AM30" s="84" t="str">
        <f aca="false">IF(INT(AM$3)=INT($C30), TEXT($C30, "dd-mmm"), "")</f>
        <v/>
      </c>
      <c r="AN30" s="84" t="str">
        <f aca="false">IF(INT(AN$3)=INT($C30), TEXT($C30, "dd-mmm"), "")</f>
        <v/>
      </c>
      <c r="AO30" s="84" t="str">
        <f aca="false">IF(INT(AO$3)=INT($C30), TEXT($C30, "dd-mmm"), "")</f>
        <v/>
      </c>
      <c r="AP30" s="84" t="str">
        <f aca="false">IF(INT(AP$3)=INT($C30), TEXT($C30, "dd-mmm"), "")</f>
        <v/>
      </c>
      <c r="AQ30" s="84" t="str">
        <f aca="false">IF(INT(AQ$3)=INT($C30), TEXT($C30, "dd-mmm"), "")</f>
        <v/>
      </c>
      <c r="AR30" s="84" t="str">
        <f aca="false">IF(INT(AR$3)=INT($C30), TEXT($C30, "dd-mmm"), "")</f>
        <v/>
      </c>
      <c r="AS30" s="84" t="str">
        <f aca="false">IF(INT(AS$3)=INT($C30), TEXT($C30, "dd-mmm"), "")</f>
        <v/>
      </c>
      <c r="AT30" s="84" t="str">
        <f aca="false">IF(INT(AT$3)=INT($C30), TEXT($C30, "dd-mmm"), "")</f>
        <v/>
      </c>
      <c r="AU30" s="84" t="str">
        <f aca="false">IF(INT(AU$3)=INT($C30), TEXT($C30, "dd-mmm"), "")</f>
        <v/>
      </c>
      <c r="AV30" s="84" t="str">
        <f aca="false">IF(INT(AV$3)=INT($C30), TEXT($C30, "dd-mmm"), "")</f>
        <v/>
      </c>
      <c r="AW30" s="84" t="str">
        <f aca="false">IF(INT(AW$3)=INT($C30), TEXT($C30, "dd-mmm"), "")</f>
        <v/>
      </c>
      <c r="AX30" s="84" t="str">
        <f aca="false">IF(INT(AX$3)=INT($C30), TEXT($C30, "dd-mmm"), "")</f>
        <v/>
      </c>
      <c r="AY30" s="84" t="str">
        <f aca="false">IF(INT(AY$3)=INT($C30), TEXT($C30, "dd-mmm"), "")</f>
        <v/>
      </c>
      <c r="AZ30" s="84" t="str">
        <f aca="false">IF(INT(AZ$3)=INT($C30), TEXT($C30, "dd-mmm"), "")</f>
        <v/>
      </c>
      <c r="BA30" s="84" t="str">
        <f aca="false">IF(INT(BA$3)=INT($C30), TEXT($C30, "dd-mmm"), "")</f>
        <v/>
      </c>
      <c r="BB30" s="84" t="str">
        <f aca="false">IF(INT(BB$3)=INT($C30), TEXT($C30, "dd-mmm"), "")</f>
        <v/>
      </c>
      <c r="BC30" s="84" t="str">
        <f aca="false">IF(INT(BC$3)=INT($C30), TEXT($C30, "dd-mmm"), "")</f>
        <v/>
      </c>
      <c r="BD30" s="84" t="str">
        <f aca="false">IF(INT(BD$3)=INT($C30), TEXT($C30, "dd-mmm"), "")</f>
        <v/>
      </c>
      <c r="BE30" s="84" t="str">
        <f aca="false">IF(INT(BE$3)=INT($C30), TEXT($C30, "dd-mmm"), "")</f>
        <v/>
      </c>
      <c r="BF30" s="84" t="str">
        <f aca="false">IF(INT(BF$3)=INT($C30), TEXT($C30, "dd-mmm"), "")</f>
        <v/>
      </c>
      <c r="BG30" s="84" t="str">
        <f aca="false">IF(INT(BG$3)=INT($C30), TEXT($C30, "dd-mmm"), "")</f>
        <v/>
      </c>
      <c r="BH30" s="84" t="str">
        <f aca="false">IF(INT(BH$3)=INT($C30), TEXT($C30, "dd-mmm"), "")</f>
        <v/>
      </c>
      <c r="BI30" s="84" t="str">
        <f aca="false">IF(INT(BI$3)=INT($C30), TEXT($C30, "dd-mmm"), "")</f>
        <v/>
      </c>
      <c r="BJ30" s="84" t="str">
        <f aca="false">IF(INT(BJ$3)=INT($C30), TEXT($C30, "dd-mmm"), "")</f>
        <v/>
      </c>
      <c r="BK30" s="84" t="str">
        <f aca="false">IF(INT(BK$3)=INT($C30), TEXT($C30, "dd-mmm"), "")</f>
        <v/>
      </c>
      <c r="BL30" s="84" t="str">
        <f aca="false">IF(INT(BL$3)=INT($C30), TEXT($C30, "dd-mmm"), "")</f>
        <v/>
      </c>
      <c r="BM30" s="84" t="str">
        <f aca="false">IF(INT(BM$3)=INT($C30), TEXT($C30, "dd-mmm"), "")</f>
        <v/>
      </c>
      <c r="BN30" s="84" t="str">
        <f aca="false">IF(INT(BN$3)=INT($C30), TEXT($C30, "dd-mmm"), "")</f>
        <v/>
      </c>
    </row>
    <row r="31" customFormat="false" ht="15" hidden="false" customHeight="true" outlineLevel="0" collapsed="false">
      <c r="A31" s="4" t="str">
        <f aca="false">Machine_List!A31</f>
        <v>EDM</v>
      </c>
      <c r="B31" s="4" t="str">
        <f aca="false">Machine_List!B31</f>
        <v>EDM-MC-12</v>
      </c>
      <c r="C31" s="12" t="n">
        <f aca="false">Machine_List!C31</f>
        <v>46337</v>
      </c>
      <c r="D31" s="4" t="n">
        <f aca="false">Machine_List!D31</f>
        <v>6</v>
      </c>
      <c r="E31" s="4" t="n">
        <f aca="true">C31-TODAY()</f>
        <v>219</v>
      </c>
      <c r="F31" s="4" t="str">
        <f aca="false">IF(E31&lt;0,"OVERDUE",IF(E31&lt;=5,"DUE SOON","OK"))</f>
        <v>OK</v>
      </c>
      <c r="G31" s="84" t="str">
        <f aca="false">IF(INT(G$3)=INT($C31), TEXT($C31, "dd-mmm"), "")</f>
        <v/>
      </c>
      <c r="H31" s="84" t="str">
        <f aca="false">IF(INT(H$3)=INT($C31), TEXT($C31, "dd-mmm"), "")</f>
        <v/>
      </c>
      <c r="I31" s="84" t="str">
        <f aca="false">IF(INT(I$3)=INT($C31), TEXT($C31, "dd-mmm"), "")</f>
        <v/>
      </c>
      <c r="J31" s="84" t="str">
        <f aca="false">IF(INT(J$3)=INT($C31), TEXT($C31, "dd-mmm"), "")</f>
        <v/>
      </c>
      <c r="K31" s="84" t="str">
        <f aca="false">IF(INT(K$3)=INT($C31), TEXT($C31, "dd-mmm"), "")</f>
        <v/>
      </c>
      <c r="L31" s="84" t="str">
        <f aca="false">IF(INT(L$3)=INT($C31), TEXT($C31, "dd-mmm"), "")</f>
        <v/>
      </c>
      <c r="M31" s="84" t="str">
        <f aca="false">IF(INT(M$3)=INT($C31), TEXT($C31, "dd-mmm"), "")</f>
        <v/>
      </c>
      <c r="N31" s="84" t="str">
        <f aca="false">IF(INT(N$3)=INT($C31), TEXT($C31, "dd-mmm"), "")</f>
        <v/>
      </c>
      <c r="O31" s="84" t="str">
        <f aca="false">IF(INT(O$3)=INT($C31), TEXT($C31, "dd-mmm"), "")</f>
        <v/>
      </c>
      <c r="P31" s="84" t="str">
        <f aca="false">IF(INT(P$3)=INT($C31), TEXT($C31, "dd-mmm"), "")</f>
        <v/>
      </c>
      <c r="Q31" s="84" t="str">
        <f aca="false">IF(INT(Q$3)=INT($C31), TEXT($C31, "dd-mmm"), "")</f>
        <v/>
      </c>
      <c r="R31" s="84" t="str">
        <f aca="false">IF(INT(R$3)=INT($C31), TEXT($C31, "dd-mmm"), "")</f>
        <v/>
      </c>
      <c r="S31" s="84" t="str">
        <f aca="false">IF(INT(S$3)=INT($C31), TEXT($C31, "dd-mmm"), "")</f>
        <v/>
      </c>
      <c r="T31" s="84" t="str">
        <f aca="false">IF(INT(T$3)=INT($C31), TEXT($C31, "dd-mmm"), "")</f>
        <v/>
      </c>
      <c r="U31" s="84" t="str">
        <f aca="false">IF(INT(U$3)=INT($C31), TEXT($C31, "dd-mmm"), "")</f>
        <v/>
      </c>
      <c r="V31" s="84" t="str">
        <f aca="false">IF(INT(V$3)=INT($C31), TEXT($C31, "dd-mmm"), "")</f>
        <v/>
      </c>
      <c r="W31" s="84" t="str">
        <f aca="false">IF(INT(W$3)=INT($C31), TEXT($C31, "dd-mmm"), "")</f>
        <v/>
      </c>
      <c r="X31" s="84" t="str">
        <f aca="false">IF(INT(X$3)=INT($C31), TEXT($C31, "dd-mmm"), "")</f>
        <v/>
      </c>
      <c r="Y31" s="84" t="str">
        <f aca="false">IF(INT(Y$3)=INT($C31), TEXT($C31, "dd-mmm"), "")</f>
        <v/>
      </c>
      <c r="Z31" s="84" t="str">
        <f aca="false">IF(INT(Z$3)=INT($C31), TEXT($C31, "dd-mmm"), "")</f>
        <v/>
      </c>
      <c r="AA31" s="84" t="str">
        <f aca="false">IF(INT(AA$3)=INT($C31), TEXT($C31, "dd-mmm"), "")</f>
        <v/>
      </c>
      <c r="AB31" s="84" t="str">
        <f aca="false">IF(INT(AB$3)=INT($C31), TEXT($C31, "dd-mmm"), "")</f>
        <v/>
      </c>
      <c r="AC31" s="84" t="str">
        <f aca="false">IF(INT(AC$3)=INT($C31), TEXT($C31, "dd-mmm"), "")</f>
        <v/>
      </c>
      <c r="AD31" s="84" t="str">
        <f aca="false">IF(INT(AD$3)=INT($C31), TEXT($C31, "dd-mmm"), "")</f>
        <v/>
      </c>
      <c r="AE31" s="84" t="str">
        <f aca="false">IF(INT(AE$3)=INT($C31), TEXT($C31, "dd-mmm"), "")</f>
        <v/>
      </c>
      <c r="AF31" s="84" t="str">
        <f aca="false">IF(INT(AF$3)=INT($C31), TEXT($C31, "dd-mmm"), "")</f>
        <v/>
      </c>
      <c r="AG31" s="84" t="str">
        <f aca="false">IF(INT(AG$3)=INT($C31), TEXT($C31, "dd-mmm"), "")</f>
        <v/>
      </c>
      <c r="AH31" s="84" t="str">
        <f aca="false">IF(INT(AH$3)=INT($C31), TEXT($C31, "dd-mmm"), "")</f>
        <v/>
      </c>
      <c r="AI31" s="84" t="str">
        <f aca="false">IF(INT(AI$3)=INT($C31), TEXT($C31, "dd-mmm"), "")</f>
        <v/>
      </c>
      <c r="AJ31" s="84" t="str">
        <f aca="false">IF(INT(AJ$3)=INT($C31), TEXT($C31, "dd-mmm"), "")</f>
        <v/>
      </c>
      <c r="AK31" s="84" t="str">
        <f aca="false">IF(INT(AK$3)=INT($C31), TEXT($C31, "dd-mmm"), "")</f>
        <v/>
      </c>
      <c r="AL31" s="84" t="str">
        <f aca="false">IF(INT(AL$3)=INT($C31), TEXT($C31, "dd-mmm"), "")</f>
        <v/>
      </c>
      <c r="AM31" s="84" t="str">
        <f aca="false">IF(INT(AM$3)=INT($C31), TEXT($C31, "dd-mmm"), "")</f>
        <v/>
      </c>
      <c r="AN31" s="84" t="str">
        <f aca="false">IF(INT(AN$3)=INT($C31), TEXT($C31, "dd-mmm"), "")</f>
        <v/>
      </c>
      <c r="AO31" s="84" t="str">
        <f aca="false">IF(INT(AO$3)=INT($C31), TEXT($C31, "dd-mmm"), "")</f>
        <v/>
      </c>
      <c r="AP31" s="84" t="str">
        <f aca="false">IF(INT(AP$3)=INT($C31), TEXT($C31, "dd-mmm"), "")</f>
        <v/>
      </c>
      <c r="AQ31" s="84" t="str">
        <f aca="false">IF(INT(AQ$3)=INT($C31), TEXT($C31, "dd-mmm"), "")</f>
        <v/>
      </c>
      <c r="AR31" s="84" t="str">
        <f aca="false">IF(INT(AR$3)=INT($C31), TEXT($C31, "dd-mmm"), "")</f>
        <v/>
      </c>
      <c r="AS31" s="84" t="str">
        <f aca="false">IF(INT(AS$3)=INT($C31), TEXT($C31, "dd-mmm"), "")</f>
        <v/>
      </c>
      <c r="AT31" s="84" t="str">
        <f aca="false">IF(INT(AT$3)=INT($C31), TEXT($C31, "dd-mmm"), "")</f>
        <v/>
      </c>
      <c r="AU31" s="84" t="str">
        <f aca="false">IF(INT(AU$3)=INT($C31), TEXT($C31, "dd-mmm"), "")</f>
        <v/>
      </c>
      <c r="AV31" s="84" t="str">
        <f aca="false">IF(INT(AV$3)=INT($C31), TEXT($C31, "dd-mmm"), "")</f>
        <v/>
      </c>
      <c r="AW31" s="84" t="str">
        <f aca="false">IF(INT(AW$3)=INT($C31), TEXT($C31, "dd-mmm"), "")</f>
        <v/>
      </c>
      <c r="AX31" s="84" t="str">
        <f aca="false">IF(INT(AX$3)=INT($C31), TEXT($C31, "dd-mmm"), "")</f>
        <v/>
      </c>
      <c r="AY31" s="84" t="str">
        <f aca="false">IF(INT(AY$3)=INT($C31), TEXT($C31, "dd-mmm"), "")</f>
        <v/>
      </c>
      <c r="AZ31" s="84" t="str">
        <f aca="false">IF(INT(AZ$3)=INT($C31), TEXT($C31, "dd-mmm"), "")</f>
        <v/>
      </c>
      <c r="BA31" s="84" t="str">
        <f aca="false">IF(INT(BA$3)=INT($C31), TEXT($C31, "dd-mmm"), "")</f>
        <v/>
      </c>
      <c r="BB31" s="84" t="str">
        <f aca="false">IF(INT(BB$3)=INT($C31), TEXT($C31, "dd-mmm"), "")</f>
        <v/>
      </c>
      <c r="BC31" s="84" t="str">
        <f aca="false">IF(INT(BC$3)=INT($C31), TEXT($C31, "dd-mmm"), "")</f>
        <v/>
      </c>
      <c r="BD31" s="84" t="str">
        <f aca="false">IF(INT(BD$3)=INT($C31), TEXT($C31, "dd-mmm"), "")</f>
        <v/>
      </c>
      <c r="BE31" s="84" t="str">
        <f aca="false">IF(INT(BE$3)=INT($C31), TEXT($C31, "dd-mmm"), "")</f>
        <v/>
      </c>
      <c r="BF31" s="84" t="str">
        <f aca="false">IF(INT(BF$3)=INT($C31), TEXT($C31, "dd-mmm"), "")</f>
        <v/>
      </c>
      <c r="BG31" s="84" t="str">
        <f aca="false">IF(INT(BG$3)=INT($C31), TEXT($C31, "dd-mmm"), "")</f>
        <v/>
      </c>
      <c r="BH31" s="84" t="str">
        <f aca="false">IF(INT(BH$3)=INT($C31), TEXT($C31, "dd-mmm"), "")</f>
        <v/>
      </c>
      <c r="BI31" s="84" t="str">
        <f aca="false">IF(INT(BI$3)=INT($C31), TEXT($C31, "dd-mmm"), "")</f>
        <v/>
      </c>
      <c r="BJ31" s="84" t="str">
        <f aca="false">IF(INT(BJ$3)=INT($C31), TEXT($C31, "dd-mmm"), "")</f>
        <v/>
      </c>
      <c r="BK31" s="84" t="str">
        <f aca="false">IF(INT(BK$3)=INT($C31), TEXT($C31, "dd-mmm"), "")</f>
        <v/>
      </c>
      <c r="BL31" s="84" t="str">
        <f aca="false">IF(INT(BL$3)=INT($C31), TEXT($C31, "dd-mmm"), "")</f>
        <v/>
      </c>
      <c r="BM31" s="84" t="str">
        <f aca="false">IF(INT(BM$3)=INT($C31), TEXT($C31, "dd-mmm"), "")</f>
        <v/>
      </c>
      <c r="BN31" s="84" t="str">
        <f aca="false">IF(INT(BN$3)=INT($C31), TEXT($C31, "dd-mmm"), "")</f>
        <v/>
      </c>
    </row>
    <row r="32" customFormat="false" ht="15" hidden="false" customHeight="true" outlineLevel="0" collapsed="false">
      <c r="A32" s="4" t="str">
        <f aca="false">Machine_List!A32</f>
        <v>EDM</v>
      </c>
      <c r="B32" s="4" t="str">
        <f aca="false">Machine_List!B32</f>
        <v>EDM-MC-13</v>
      </c>
      <c r="C32" s="12" t="n">
        <f aca="false">Machine_List!C32</f>
        <v>46212</v>
      </c>
      <c r="D32" s="4" t="n">
        <f aca="false">Machine_List!D32</f>
        <v>6</v>
      </c>
      <c r="E32" s="4" t="n">
        <f aca="true">C32-TODAY()</f>
        <v>94</v>
      </c>
      <c r="F32" s="4" t="str">
        <f aca="false">IF(E32&lt;0,"OVERDUE",IF(E32&lt;=5,"DUE SOON","OK"))</f>
        <v>OK</v>
      </c>
      <c r="G32" s="84" t="str">
        <f aca="false">IF(INT(G$3)=INT($C32), TEXT($C32, "dd-mmm"), "")</f>
        <v/>
      </c>
      <c r="H32" s="84" t="str">
        <f aca="false">IF(INT(H$3)=INT($C32), TEXT($C32, "dd-mmm"), "")</f>
        <v/>
      </c>
      <c r="I32" s="84" t="str">
        <f aca="false">IF(INT(I$3)=INT($C32), TEXT($C32, "dd-mmm"), "")</f>
        <v/>
      </c>
      <c r="J32" s="84" t="str">
        <f aca="false">IF(INT(J$3)=INT($C32), TEXT($C32, "dd-mmm"), "")</f>
        <v/>
      </c>
      <c r="K32" s="84" t="str">
        <f aca="false">IF(INT(K$3)=INT($C32), TEXT($C32, "dd-mmm"), "")</f>
        <v/>
      </c>
      <c r="L32" s="84" t="str">
        <f aca="false">IF(INT(L$3)=INT($C32), TEXT($C32, "dd-mmm"), "")</f>
        <v/>
      </c>
      <c r="M32" s="84" t="str">
        <f aca="false">IF(INT(M$3)=INT($C32), TEXT($C32, "dd-mmm"), "")</f>
        <v/>
      </c>
      <c r="N32" s="84" t="str">
        <f aca="false">IF(INT(N$3)=INT($C32), TEXT($C32, "dd-mmm"), "")</f>
        <v/>
      </c>
      <c r="O32" s="84" t="str">
        <f aca="false">IF(INT(O$3)=INT($C32), TEXT($C32, "dd-mmm"), "")</f>
        <v/>
      </c>
      <c r="P32" s="84" t="str">
        <f aca="false">IF(INT(P$3)=INT($C32), TEXT($C32, "dd-mmm"), "")</f>
        <v/>
      </c>
      <c r="Q32" s="84" t="str">
        <f aca="false">IF(INT(Q$3)=INT($C32), TEXT($C32, "dd-mmm"), "")</f>
        <v/>
      </c>
      <c r="R32" s="84" t="str">
        <f aca="false">IF(INT(R$3)=INT($C32), TEXT($C32, "dd-mmm"), "")</f>
        <v/>
      </c>
      <c r="S32" s="84" t="str">
        <f aca="false">IF(INT(S$3)=INT($C32), TEXT($C32, "dd-mmm"), "")</f>
        <v/>
      </c>
      <c r="T32" s="84" t="str">
        <f aca="false">IF(INT(T$3)=INT($C32), TEXT($C32, "dd-mmm"), "")</f>
        <v/>
      </c>
      <c r="U32" s="84" t="str">
        <f aca="false">IF(INT(U$3)=INT($C32), TEXT($C32, "dd-mmm"), "")</f>
        <v/>
      </c>
      <c r="V32" s="84" t="str">
        <f aca="false">IF(INT(V$3)=INT($C32), TEXT($C32, "dd-mmm"), "")</f>
        <v/>
      </c>
      <c r="W32" s="84" t="str">
        <f aca="false">IF(INT(W$3)=INT($C32), TEXT($C32, "dd-mmm"), "")</f>
        <v/>
      </c>
      <c r="X32" s="84" t="str">
        <f aca="false">IF(INT(X$3)=INT($C32), TEXT($C32, "dd-mmm"), "")</f>
        <v/>
      </c>
      <c r="Y32" s="84" t="str">
        <f aca="false">IF(INT(Y$3)=INT($C32), TEXT($C32, "dd-mmm"), "")</f>
        <v/>
      </c>
      <c r="Z32" s="84" t="str">
        <f aca="false">IF(INT(Z$3)=INT($C32), TEXT($C32, "dd-mmm"), "")</f>
        <v/>
      </c>
      <c r="AA32" s="84" t="str">
        <f aca="false">IF(INT(AA$3)=INT($C32), TEXT($C32, "dd-mmm"), "")</f>
        <v/>
      </c>
      <c r="AB32" s="84" t="str">
        <f aca="false">IF(INT(AB$3)=INT($C32), TEXT($C32, "dd-mmm"), "")</f>
        <v/>
      </c>
      <c r="AC32" s="84" t="str">
        <f aca="false">IF(INT(AC$3)=INT($C32), TEXT($C32, "dd-mmm"), "")</f>
        <v/>
      </c>
      <c r="AD32" s="84" t="str">
        <f aca="false">IF(INT(AD$3)=INT($C32), TEXT($C32, "dd-mmm"), "")</f>
        <v/>
      </c>
      <c r="AE32" s="84" t="str">
        <f aca="false">IF(INT(AE$3)=INT($C32), TEXT($C32, "dd-mmm"), "")</f>
        <v/>
      </c>
      <c r="AF32" s="84" t="str">
        <f aca="false">IF(INT(AF$3)=INT($C32), TEXT($C32, "dd-mmm"), "")</f>
        <v/>
      </c>
      <c r="AG32" s="84" t="str">
        <f aca="false">IF(INT(AG$3)=INT($C32), TEXT($C32, "dd-mmm"), "")</f>
        <v/>
      </c>
      <c r="AH32" s="84" t="str">
        <f aca="false">IF(INT(AH$3)=INT($C32), TEXT($C32, "dd-mmm"), "")</f>
        <v/>
      </c>
      <c r="AI32" s="84" t="str">
        <f aca="false">IF(INT(AI$3)=INT($C32), TEXT($C32, "dd-mmm"), "")</f>
        <v/>
      </c>
      <c r="AJ32" s="84" t="str">
        <f aca="false">IF(INT(AJ$3)=INT($C32), TEXT($C32, "dd-mmm"), "")</f>
        <v/>
      </c>
      <c r="AK32" s="84" t="str">
        <f aca="false">IF(INT(AK$3)=INT($C32), TEXT($C32, "dd-mmm"), "")</f>
        <v/>
      </c>
      <c r="AL32" s="84" t="str">
        <f aca="false">IF(INT(AL$3)=INT($C32), TEXT($C32, "dd-mmm"), "")</f>
        <v/>
      </c>
      <c r="AM32" s="84" t="str">
        <f aca="false">IF(INT(AM$3)=INT($C32), TEXT($C32, "dd-mmm"), "")</f>
        <v/>
      </c>
      <c r="AN32" s="84" t="str">
        <f aca="false">IF(INT(AN$3)=INT($C32), TEXT($C32, "dd-mmm"), "")</f>
        <v/>
      </c>
      <c r="AO32" s="84" t="str">
        <f aca="false">IF(INT(AO$3)=INT($C32), TEXT($C32, "dd-mmm"), "")</f>
        <v/>
      </c>
      <c r="AP32" s="84" t="str">
        <f aca="false">IF(INT(AP$3)=INT($C32), TEXT($C32, "dd-mmm"), "")</f>
        <v/>
      </c>
      <c r="AQ32" s="84" t="str">
        <f aca="false">IF(INT(AQ$3)=INT($C32), TEXT($C32, "dd-mmm"), "")</f>
        <v/>
      </c>
      <c r="AR32" s="84" t="str">
        <f aca="false">IF(INT(AR$3)=INT($C32), TEXT($C32, "dd-mmm"), "")</f>
        <v/>
      </c>
      <c r="AS32" s="84" t="str">
        <f aca="false">IF(INT(AS$3)=INT($C32), TEXT($C32, "dd-mmm"), "")</f>
        <v/>
      </c>
      <c r="AT32" s="84" t="str">
        <f aca="false">IF(INT(AT$3)=INT($C32), TEXT($C32, "dd-mmm"), "")</f>
        <v/>
      </c>
      <c r="AU32" s="84" t="str">
        <f aca="false">IF(INT(AU$3)=INT($C32), TEXT($C32, "dd-mmm"), "")</f>
        <v/>
      </c>
      <c r="AV32" s="84" t="str">
        <f aca="false">IF(INT(AV$3)=INT($C32), TEXT($C32, "dd-mmm"), "")</f>
        <v/>
      </c>
      <c r="AW32" s="84" t="str">
        <f aca="false">IF(INT(AW$3)=INT($C32), TEXT($C32, "dd-mmm"), "")</f>
        <v/>
      </c>
      <c r="AX32" s="84" t="str">
        <f aca="false">IF(INT(AX$3)=INT($C32), TEXT($C32, "dd-mmm"), "")</f>
        <v/>
      </c>
      <c r="AY32" s="84" t="str">
        <f aca="false">IF(INT(AY$3)=INT($C32), TEXT($C32, "dd-mmm"), "")</f>
        <v/>
      </c>
      <c r="AZ32" s="84" t="str">
        <f aca="false">IF(INT(AZ$3)=INT($C32), TEXT($C32, "dd-mmm"), "")</f>
        <v/>
      </c>
      <c r="BA32" s="84" t="str">
        <f aca="false">IF(INT(BA$3)=INT($C32), TEXT($C32, "dd-mmm"), "")</f>
        <v/>
      </c>
      <c r="BB32" s="84" t="str">
        <f aca="false">IF(INT(BB$3)=INT($C32), TEXT($C32, "dd-mmm"), "")</f>
        <v/>
      </c>
      <c r="BC32" s="84" t="str">
        <f aca="false">IF(INT(BC$3)=INT($C32), TEXT($C32, "dd-mmm"), "")</f>
        <v/>
      </c>
      <c r="BD32" s="84" t="str">
        <f aca="false">IF(INT(BD$3)=INT($C32), TEXT($C32, "dd-mmm"), "")</f>
        <v/>
      </c>
      <c r="BE32" s="84" t="str">
        <f aca="false">IF(INT(BE$3)=INT($C32), TEXT($C32, "dd-mmm"), "")</f>
        <v/>
      </c>
      <c r="BF32" s="84" t="str">
        <f aca="false">IF(INT(BF$3)=INT($C32), TEXT($C32, "dd-mmm"), "")</f>
        <v/>
      </c>
      <c r="BG32" s="84" t="str">
        <f aca="false">IF(INT(BG$3)=INT($C32), TEXT($C32, "dd-mmm"), "")</f>
        <v/>
      </c>
      <c r="BH32" s="84" t="str">
        <f aca="false">IF(INT(BH$3)=INT($C32), TEXT($C32, "dd-mmm"), "")</f>
        <v/>
      </c>
      <c r="BI32" s="84" t="str">
        <f aca="false">IF(INT(BI$3)=INT($C32), TEXT($C32, "dd-mmm"), "")</f>
        <v/>
      </c>
      <c r="BJ32" s="84" t="str">
        <f aca="false">IF(INT(BJ$3)=INT($C32), TEXT($C32, "dd-mmm"), "")</f>
        <v/>
      </c>
      <c r="BK32" s="84" t="str">
        <f aca="false">IF(INT(BK$3)=INT($C32), TEXT($C32, "dd-mmm"), "")</f>
        <v/>
      </c>
      <c r="BL32" s="84" t="str">
        <f aca="false">IF(INT(BL$3)=INT($C32), TEXT($C32, "dd-mmm"), "")</f>
        <v/>
      </c>
      <c r="BM32" s="84" t="str">
        <f aca="false">IF(INT(BM$3)=INT($C32), TEXT($C32, "dd-mmm"), "")</f>
        <v/>
      </c>
      <c r="BN32" s="84" t="str">
        <f aca="false">IF(INT(BN$3)=INT($C32), TEXT($C32, "dd-mmm"), "")</f>
        <v/>
      </c>
    </row>
    <row r="33" customFormat="false" ht="15" hidden="false" customHeight="true" outlineLevel="0" collapsed="false">
      <c r="A33" s="4" t="str">
        <f aca="false">Machine_List!A33</f>
        <v>EDM</v>
      </c>
      <c r="B33" s="4" t="str">
        <f aca="false">Machine_List!B33</f>
        <v>EDM-MC-14</v>
      </c>
      <c r="C33" s="12" t="n">
        <f aca="false">Machine_List!C33</f>
        <v>46447</v>
      </c>
      <c r="D33" s="4" t="n">
        <f aca="false">Machine_List!D33</f>
        <v>6</v>
      </c>
      <c r="E33" s="4" t="n">
        <f aca="true">C33-TODAY()</f>
        <v>329</v>
      </c>
      <c r="F33" s="4" t="str">
        <f aca="false">IF(E33&lt;0,"OVERDUE",IF(E33&lt;=5,"DUE SOON","OK"))</f>
        <v>OK</v>
      </c>
      <c r="G33" s="84" t="str">
        <f aca="false">IF(INT(G$3)=INT($C33), TEXT($C33, "dd-mmm"), "")</f>
        <v/>
      </c>
      <c r="H33" s="84" t="str">
        <f aca="false">IF(INT(H$3)=INT($C33), TEXT($C33, "dd-mmm"), "")</f>
        <v/>
      </c>
      <c r="I33" s="84" t="str">
        <f aca="false">IF(INT(I$3)=INT($C33), TEXT($C33, "dd-mmm"), "")</f>
        <v/>
      </c>
      <c r="J33" s="84" t="str">
        <f aca="false">IF(INT(J$3)=INT($C33), TEXT($C33, "dd-mmm"), "")</f>
        <v/>
      </c>
      <c r="K33" s="84" t="str">
        <f aca="false">IF(INT(K$3)=INT($C33), TEXT($C33, "dd-mmm"), "")</f>
        <v/>
      </c>
      <c r="L33" s="84" t="str">
        <f aca="false">IF(INT(L$3)=INT($C33), TEXT($C33, "dd-mmm"), "")</f>
        <v/>
      </c>
      <c r="M33" s="84" t="str">
        <f aca="false">IF(INT(M$3)=INT($C33), TEXT($C33, "dd-mmm"), "")</f>
        <v/>
      </c>
      <c r="N33" s="84" t="str">
        <f aca="false">IF(INT(N$3)=INT($C33), TEXT($C33, "dd-mmm"), "")</f>
        <v/>
      </c>
      <c r="O33" s="84" t="str">
        <f aca="false">IF(INT(O$3)=INT($C33), TEXT($C33, "dd-mmm"), "")</f>
        <v/>
      </c>
      <c r="P33" s="84" t="str">
        <f aca="false">IF(INT(P$3)=INT($C33), TEXT($C33, "dd-mmm"), "")</f>
        <v/>
      </c>
      <c r="Q33" s="84" t="str">
        <f aca="false">IF(INT(Q$3)=INT($C33), TEXT($C33, "dd-mmm"), "")</f>
        <v/>
      </c>
      <c r="R33" s="84" t="str">
        <f aca="false">IF(INT(R$3)=INT($C33), TEXT($C33, "dd-mmm"), "")</f>
        <v/>
      </c>
      <c r="S33" s="84" t="str">
        <f aca="false">IF(INT(S$3)=INT($C33), TEXT($C33, "dd-mmm"), "")</f>
        <v/>
      </c>
      <c r="T33" s="84" t="str">
        <f aca="false">IF(INT(T$3)=INT($C33), TEXT($C33, "dd-mmm"), "")</f>
        <v/>
      </c>
      <c r="U33" s="84" t="str">
        <f aca="false">IF(INT(U$3)=INT($C33), TEXT($C33, "dd-mmm"), "")</f>
        <v/>
      </c>
      <c r="V33" s="84" t="str">
        <f aca="false">IF(INT(V$3)=INT($C33), TEXT($C33, "dd-mmm"), "")</f>
        <v/>
      </c>
      <c r="W33" s="84" t="str">
        <f aca="false">IF(INT(W$3)=INT($C33), TEXT($C33, "dd-mmm"), "")</f>
        <v/>
      </c>
      <c r="X33" s="84" t="str">
        <f aca="false">IF(INT(X$3)=INT($C33), TEXT($C33, "dd-mmm"), "")</f>
        <v/>
      </c>
      <c r="Y33" s="84" t="str">
        <f aca="false">IF(INT(Y$3)=INT($C33), TEXT($C33, "dd-mmm"), "")</f>
        <v/>
      </c>
      <c r="Z33" s="84" t="str">
        <f aca="false">IF(INT(Z$3)=INT($C33), TEXT($C33, "dd-mmm"), "")</f>
        <v/>
      </c>
      <c r="AA33" s="84" t="str">
        <f aca="false">IF(INT(AA$3)=INT($C33), TEXT($C33, "dd-mmm"), "")</f>
        <v/>
      </c>
      <c r="AB33" s="84" t="str">
        <f aca="false">IF(INT(AB$3)=INT($C33), TEXT($C33, "dd-mmm"), "")</f>
        <v/>
      </c>
      <c r="AC33" s="84" t="str">
        <f aca="false">IF(INT(AC$3)=INT($C33), TEXT($C33, "dd-mmm"), "")</f>
        <v/>
      </c>
      <c r="AD33" s="84" t="str">
        <f aca="false">IF(INT(AD$3)=INT($C33), TEXT($C33, "dd-mmm"), "")</f>
        <v/>
      </c>
      <c r="AE33" s="84" t="str">
        <f aca="false">IF(INT(AE$3)=INT($C33), TEXT($C33, "dd-mmm"), "")</f>
        <v/>
      </c>
      <c r="AF33" s="84" t="str">
        <f aca="false">IF(INT(AF$3)=INT($C33), TEXT($C33, "dd-mmm"), "")</f>
        <v/>
      </c>
      <c r="AG33" s="84" t="str">
        <f aca="false">IF(INT(AG$3)=INT($C33), TEXT($C33, "dd-mmm"), "")</f>
        <v/>
      </c>
      <c r="AH33" s="84" t="str">
        <f aca="false">IF(INT(AH$3)=INT($C33), TEXT($C33, "dd-mmm"), "")</f>
        <v/>
      </c>
      <c r="AI33" s="84" t="str">
        <f aca="false">IF(INT(AI$3)=INT($C33), TEXT($C33, "dd-mmm"), "")</f>
        <v/>
      </c>
      <c r="AJ33" s="84" t="str">
        <f aca="false">IF(INT(AJ$3)=INT($C33), TEXT($C33, "dd-mmm"), "")</f>
        <v/>
      </c>
      <c r="AK33" s="84" t="str">
        <f aca="false">IF(INT(AK$3)=INT($C33), TEXT($C33, "dd-mmm"), "")</f>
        <v/>
      </c>
      <c r="AL33" s="84" t="str">
        <f aca="false">IF(INT(AL$3)=INT($C33), TEXT($C33, "dd-mmm"), "")</f>
        <v/>
      </c>
      <c r="AM33" s="84" t="str">
        <f aca="false">IF(INT(AM$3)=INT($C33), TEXT($C33, "dd-mmm"), "")</f>
        <v/>
      </c>
      <c r="AN33" s="84" t="str">
        <f aca="false">IF(INT(AN$3)=INT($C33), TEXT($C33, "dd-mmm"), "")</f>
        <v/>
      </c>
      <c r="AO33" s="84" t="str">
        <f aca="false">IF(INT(AO$3)=INT($C33), TEXT($C33, "dd-mmm"), "")</f>
        <v/>
      </c>
      <c r="AP33" s="84" t="str">
        <f aca="false">IF(INT(AP$3)=INT($C33), TEXT($C33, "dd-mmm"), "")</f>
        <v/>
      </c>
      <c r="AQ33" s="84" t="str">
        <f aca="false">IF(INT(AQ$3)=INT($C33), TEXT($C33, "dd-mmm"), "")</f>
        <v/>
      </c>
      <c r="AR33" s="84" t="str">
        <f aca="false">IF(INT(AR$3)=INT($C33), TEXT($C33, "dd-mmm"), "")</f>
        <v/>
      </c>
      <c r="AS33" s="84" t="str">
        <f aca="false">IF(INT(AS$3)=INT($C33), TEXT($C33, "dd-mmm"), "")</f>
        <v/>
      </c>
      <c r="AT33" s="84" t="str">
        <f aca="false">IF(INT(AT$3)=INT($C33), TEXT($C33, "dd-mmm"), "")</f>
        <v/>
      </c>
      <c r="AU33" s="84" t="str">
        <f aca="false">IF(INT(AU$3)=INT($C33), TEXT($C33, "dd-mmm"), "")</f>
        <v/>
      </c>
      <c r="AV33" s="84" t="str">
        <f aca="false">IF(INT(AV$3)=INT($C33), TEXT($C33, "dd-mmm"), "")</f>
        <v/>
      </c>
      <c r="AW33" s="84" t="str">
        <f aca="false">IF(INT(AW$3)=INT($C33), TEXT($C33, "dd-mmm"), "")</f>
        <v/>
      </c>
      <c r="AX33" s="84" t="str">
        <f aca="false">IF(INT(AX$3)=INT($C33), TEXT($C33, "dd-mmm"), "")</f>
        <v/>
      </c>
      <c r="AY33" s="84" t="str">
        <f aca="false">IF(INT(AY$3)=INT($C33), TEXT($C33, "dd-mmm"), "")</f>
        <v/>
      </c>
      <c r="AZ33" s="84" t="str">
        <f aca="false">IF(INT(AZ$3)=INT($C33), TEXT($C33, "dd-mmm"), "")</f>
        <v/>
      </c>
      <c r="BA33" s="84" t="str">
        <f aca="false">IF(INT(BA$3)=INT($C33), TEXT($C33, "dd-mmm"), "")</f>
        <v/>
      </c>
      <c r="BB33" s="84" t="str">
        <f aca="false">IF(INT(BB$3)=INT($C33), TEXT($C33, "dd-mmm"), "")</f>
        <v/>
      </c>
      <c r="BC33" s="84" t="str">
        <f aca="false">IF(INT(BC$3)=INT($C33), TEXT($C33, "dd-mmm"), "")</f>
        <v/>
      </c>
      <c r="BD33" s="84" t="str">
        <f aca="false">IF(INT(BD$3)=INT($C33), TEXT($C33, "dd-mmm"), "")</f>
        <v/>
      </c>
      <c r="BE33" s="84" t="str">
        <f aca="false">IF(INT(BE$3)=INT($C33), TEXT($C33, "dd-mmm"), "")</f>
        <v/>
      </c>
      <c r="BF33" s="84" t="str">
        <f aca="false">IF(INT(BF$3)=INT($C33), TEXT($C33, "dd-mmm"), "")</f>
        <v/>
      </c>
      <c r="BG33" s="84" t="str">
        <f aca="false">IF(INT(BG$3)=INT($C33), TEXT($C33, "dd-mmm"), "")</f>
        <v/>
      </c>
      <c r="BH33" s="84" t="str">
        <f aca="false">IF(INT(BH$3)=INT($C33), TEXT($C33, "dd-mmm"), "")</f>
        <v/>
      </c>
      <c r="BI33" s="84" t="str">
        <f aca="false">IF(INT(BI$3)=INT($C33), TEXT($C33, "dd-mmm"), "")</f>
        <v/>
      </c>
      <c r="BJ33" s="84" t="str">
        <f aca="false">IF(INT(BJ$3)=INT($C33), TEXT($C33, "dd-mmm"), "")</f>
        <v/>
      </c>
      <c r="BK33" s="84" t="str">
        <f aca="false">IF(INT(BK$3)=INT($C33), TEXT($C33, "dd-mmm"), "")</f>
        <v/>
      </c>
      <c r="BL33" s="84" t="str">
        <f aca="false">IF(INT(BL$3)=INT($C33), TEXT($C33, "dd-mmm"), "")</f>
        <v/>
      </c>
      <c r="BM33" s="84" t="str">
        <f aca="false">IF(INT(BM$3)=INT($C33), TEXT($C33, "dd-mmm"), "")</f>
        <v/>
      </c>
      <c r="BN33" s="84" t="str">
        <f aca="false">IF(INT(BN$3)=INT($C33), TEXT($C33, "dd-mmm"), "")</f>
        <v/>
      </c>
    </row>
    <row r="34" customFormat="false" ht="15" hidden="false" customHeight="true" outlineLevel="0" collapsed="false">
      <c r="A34" s="4" t="str">
        <f aca="false">Machine_List!A34</f>
        <v>EDM</v>
      </c>
      <c r="B34" s="4" t="str">
        <f aca="false">Machine_List!B34</f>
        <v>EDM-MC-15</v>
      </c>
      <c r="C34" s="12" t="n">
        <f aca="false">Machine_List!C34</f>
        <v>46357</v>
      </c>
      <c r="D34" s="4" t="n">
        <f aca="false">Machine_List!D34</f>
        <v>6</v>
      </c>
      <c r="E34" s="4" t="n">
        <f aca="true">C34-TODAY()</f>
        <v>239</v>
      </c>
      <c r="F34" s="4" t="str">
        <f aca="false">IF(E34&lt;0,"OVERDUE",IF(E34&lt;=5,"DUE SOON","OK"))</f>
        <v>OK</v>
      </c>
      <c r="G34" s="84" t="str">
        <f aca="false">IF(INT(G$3)=INT($C34), TEXT($C34, "dd-mmm"), "")</f>
        <v/>
      </c>
      <c r="H34" s="84" t="str">
        <f aca="false">IF(INT(H$3)=INT($C34), TEXT($C34, "dd-mmm"), "")</f>
        <v/>
      </c>
      <c r="I34" s="84" t="str">
        <f aca="false">IF(INT(I$3)=INT($C34), TEXT($C34, "dd-mmm"), "")</f>
        <v/>
      </c>
      <c r="J34" s="84" t="str">
        <f aca="false">IF(INT(J$3)=INT($C34), TEXT($C34, "dd-mmm"), "")</f>
        <v/>
      </c>
      <c r="K34" s="84" t="str">
        <f aca="false">IF(INT(K$3)=INT($C34), TEXT($C34, "dd-mmm"), "")</f>
        <v/>
      </c>
      <c r="L34" s="84" t="str">
        <f aca="false">IF(INT(L$3)=INT($C34), TEXT($C34, "dd-mmm"), "")</f>
        <v/>
      </c>
      <c r="M34" s="84" t="str">
        <f aca="false">IF(INT(M$3)=INT($C34), TEXT($C34, "dd-mmm"), "")</f>
        <v/>
      </c>
      <c r="N34" s="84" t="str">
        <f aca="false">IF(INT(N$3)=INT($C34), TEXT($C34, "dd-mmm"), "")</f>
        <v/>
      </c>
      <c r="O34" s="84" t="str">
        <f aca="false">IF(INT(O$3)=INT($C34), TEXT($C34, "dd-mmm"), "")</f>
        <v/>
      </c>
      <c r="P34" s="84" t="str">
        <f aca="false">IF(INT(P$3)=INT($C34), TEXT($C34, "dd-mmm"), "")</f>
        <v/>
      </c>
      <c r="Q34" s="84" t="str">
        <f aca="false">IF(INT(Q$3)=INT($C34), TEXT($C34, "dd-mmm"), "")</f>
        <v/>
      </c>
      <c r="R34" s="84" t="str">
        <f aca="false">IF(INT(R$3)=INT($C34), TEXT($C34, "dd-mmm"), "")</f>
        <v/>
      </c>
      <c r="S34" s="84" t="str">
        <f aca="false">IF(INT(S$3)=INT($C34), TEXT($C34, "dd-mmm"), "")</f>
        <v/>
      </c>
      <c r="T34" s="84" t="str">
        <f aca="false">IF(INT(T$3)=INT($C34), TEXT($C34, "dd-mmm"), "")</f>
        <v/>
      </c>
      <c r="U34" s="84" t="str">
        <f aca="false">IF(INT(U$3)=INT($C34), TEXT($C34, "dd-mmm"), "")</f>
        <v/>
      </c>
      <c r="V34" s="84" t="str">
        <f aca="false">IF(INT(V$3)=INT($C34), TEXT($C34, "dd-mmm"), "")</f>
        <v/>
      </c>
      <c r="W34" s="84" t="str">
        <f aca="false">IF(INT(W$3)=INT($C34), TEXT($C34, "dd-mmm"), "")</f>
        <v/>
      </c>
      <c r="X34" s="84" t="str">
        <f aca="false">IF(INT(X$3)=INT($C34), TEXT($C34, "dd-mmm"), "")</f>
        <v/>
      </c>
      <c r="Y34" s="84" t="str">
        <f aca="false">IF(INT(Y$3)=INT($C34), TEXT($C34, "dd-mmm"), "")</f>
        <v/>
      </c>
      <c r="Z34" s="84" t="str">
        <f aca="false">IF(INT(Z$3)=INT($C34), TEXT($C34, "dd-mmm"), "")</f>
        <v/>
      </c>
      <c r="AA34" s="84" t="str">
        <f aca="false">IF(INT(AA$3)=INT($C34), TEXT($C34, "dd-mmm"), "")</f>
        <v/>
      </c>
      <c r="AB34" s="84" t="str">
        <f aca="false">IF(INT(AB$3)=INT($C34), TEXT($C34, "dd-mmm"), "")</f>
        <v/>
      </c>
      <c r="AC34" s="84" t="str">
        <f aca="false">IF(INT(AC$3)=INT($C34), TEXT($C34, "dd-mmm"), "")</f>
        <v/>
      </c>
      <c r="AD34" s="84" t="str">
        <f aca="false">IF(INT(AD$3)=INT($C34), TEXT($C34, "dd-mmm"), "")</f>
        <v/>
      </c>
      <c r="AE34" s="84" t="str">
        <f aca="false">IF(INT(AE$3)=INT($C34), TEXT($C34, "dd-mmm"), "")</f>
        <v/>
      </c>
      <c r="AF34" s="84" t="str">
        <f aca="false">IF(INT(AF$3)=INT($C34), TEXT($C34, "dd-mmm"), "")</f>
        <v/>
      </c>
      <c r="AG34" s="84" t="str">
        <f aca="false">IF(INT(AG$3)=INT($C34), TEXT($C34, "dd-mmm"), "")</f>
        <v/>
      </c>
      <c r="AH34" s="84" t="str">
        <f aca="false">IF(INT(AH$3)=INT($C34), TEXT($C34, "dd-mmm"), "")</f>
        <v/>
      </c>
      <c r="AI34" s="84" t="str">
        <f aca="false">IF(INT(AI$3)=INT($C34), TEXT($C34, "dd-mmm"), "")</f>
        <v/>
      </c>
      <c r="AJ34" s="84" t="str">
        <f aca="false">IF(INT(AJ$3)=INT($C34), TEXT($C34, "dd-mmm"), "")</f>
        <v/>
      </c>
      <c r="AK34" s="84" t="str">
        <f aca="false">IF(INT(AK$3)=INT($C34), TEXT($C34, "dd-mmm"), "")</f>
        <v/>
      </c>
      <c r="AL34" s="84" t="str">
        <f aca="false">IF(INT(AL$3)=INT($C34), TEXT($C34, "dd-mmm"), "")</f>
        <v/>
      </c>
      <c r="AM34" s="84" t="str">
        <f aca="false">IF(INT(AM$3)=INT($C34), TEXT($C34, "dd-mmm"), "")</f>
        <v/>
      </c>
      <c r="AN34" s="84" t="str">
        <f aca="false">IF(INT(AN$3)=INT($C34), TEXT($C34, "dd-mmm"), "")</f>
        <v/>
      </c>
      <c r="AO34" s="84" t="str">
        <f aca="false">IF(INT(AO$3)=INT($C34), TEXT($C34, "dd-mmm"), "")</f>
        <v/>
      </c>
      <c r="AP34" s="84" t="str">
        <f aca="false">IF(INT(AP$3)=INT($C34), TEXT($C34, "dd-mmm"), "")</f>
        <v/>
      </c>
      <c r="AQ34" s="84" t="str">
        <f aca="false">IF(INT(AQ$3)=INT($C34), TEXT($C34, "dd-mmm"), "")</f>
        <v/>
      </c>
      <c r="AR34" s="84" t="str">
        <f aca="false">IF(INT(AR$3)=INT($C34), TEXT($C34, "dd-mmm"), "")</f>
        <v/>
      </c>
      <c r="AS34" s="84" t="str">
        <f aca="false">IF(INT(AS$3)=INT($C34), TEXT($C34, "dd-mmm"), "")</f>
        <v/>
      </c>
      <c r="AT34" s="84" t="str">
        <f aca="false">IF(INT(AT$3)=INT($C34), TEXT($C34, "dd-mmm"), "")</f>
        <v/>
      </c>
      <c r="AU34" s="84" t="str">
        <f aca="false">IF(INT(AU$3)=INT($C34), TEXT($C34, "dd-mmm"), "")</f>
        <v/>
      </c>
      <c r="AV34" s="84" t="str">
        <f aca="false">IF(INT(AV$3)=INT($C34), TEXT($C34, "dd-mmm"), "")</f>
        <v/>
      </c>
      <c r="AW34" s="84" t="str">
        <f aca="false">IF(INT(AW$3)=INT($C34), TEXT($C34, "dd-mmm"), "")</f>
        <v/>
      </c>
      <c r="AX34" s="84" t="str">
        <f aca="false">IF(INT(AX$3)=INT($C34), TEXT($C34, "dd-mmm"), "")</f>
        <v/>
      </c>
      <c r="AY34" s="84" t="str">
        <f aca="false">IF(INT(AY$3)=INT($C34), TEXT($C34, "dd-mmm"), "")</f>
        <v/>
      </c>
      <c r="AZ34" s="84" t="str">
        <f aca="false">IF(INT(AZ$3)=INT($C34), TEXT($C34, "dd-mmm"), "")</f>
        <v/>
      </c>
      <c r="BA34" s="84" t="str">
        <f aca="false">IF(INT(BA$3)=INT($C34), TEXT($C34, "dd-mmm"), "")</f>
        <v/>
      </c>
      <c r="BB34" s="84" t="str">
        <f aca="false">IF(INT(BB$3)=INT($C34), TEXT($C34, "dd-mmm"), "")</f>
        <v/>
      </c>
      <c r="BC34" s="84" t="str">
        <f aca="false">IF(INT(BC$3)=INT($C34), TEXT($C34, "dd-mmm"), "")</f>
        <v/>
      </c>
      <c r="BD34" s="84" t="str">
        <f aca="false">IF(INT(BD$3)=INT($C34), TEXT($C34, "dd-mmm"), "")</f>
        <v/>
      </c>
      <c r="BE34" s="84" t="str">
        <f aca="false">IF(INT(BE$3)=INT($C34), TEXT($C34, "dd-mmm"), "")</f>
        <v/>
      </c>
      <c r="BF34" s="84" t="str">
        <f aca="false">IF(INT(BF$3)=INT($C34), TEXT($C34, "dd-mmm"), "")</f>
        <v/>
      </c>
      <c r="BG34" s="84" t="str">
        <f aca="false">IF(INT(BG$3)=INT($C34), TEXT($C34, "dd-mmm"), "")</f>
        <v/>
      </c>
      <c r="BH34" s="84" t="str">
        <f aca="false">IF(INT(BH$3)=INT($C34), TEXT($C34, "dd-mmm"), "")</f>
        <v/>
      </c>
      <c r="BI34" s="84" t="str">
        <f aca="false">IF(INT(BI$3)=INT($C34), TEXT($C34, "dd-mmm"), "")</f>
        <v/>
      </c>
      <c r="BJ34" s="84" t="str">
        <f aca="false">IF(INT(BJ$3)=INT($C34), TEXT($C34, "dd-mmm"), "")</f>
        <v/>
      </c>
      <c r="BK34" s="84" t="str">
        <f aca="false">IF(INT(BK$3)=INT($C34), TEXT($C34, "dd-mmm"), "")</f>
        <v/>
      </c>
      <c r="BL34" s="84" t="str">
        <f aca="false">IF(INT(BL$3)=INT($C34), TEXT($C34, "dd-mmm"), "")</f>
        <v/>
      </c>
      <c r="BM34" s="84" t="str">
        <f aca="false">IF(INT(BM$3)=INT($C34), TEXT($C34, "dd-mmm"), "")</f>
        <v/>
      </c>
      <c r="BN34" s="84" t="str">
        <f aca="false">IF(INT(BN$3)=INT($C34), TEXT($C34, "dd-mmm"), "")</f>
        <v/>
      </c>
    </row>
    <row r="35" customFormat="false" ht="15" hidden="false" customHeight="true" outlineLevel="0" collapsed="false">
      <c r="A35" s="4" t="str">
        <f aca="false">Machine_List!A35</f>
        <v>EDM</v>
      </c>
      <c r="B35" s="4" t="str">
        <f aca="false">Machine_List!B35</f>
        <v>EDM-MC-16</v>
      </c>
      <c r="C35" s="12" t="n">
        <f aca="false">Machine_List!C35</f>
        <v>46105</v>
      </c>
      <c r="D35" s="4" t="n">
        <f aca="false">Machine_List!D35</f>
        <v>6</v>
      </c>
      <c r="E35" s="4" t="n">
        <f aca="true">C35-TODAY()</f>
        <v>-13</v>
      </c>
      <c r="F35" s="4" t="str">
        <f aca="false">IF(E35&lt;0,"OVERDUE",IF(E35&lt;=5,"DUE SOON","OK"))</f>
        <v>OVERDUE</v>
      </c>
      <c r="G35" s="84" t="str">
        <f aca="false">IF(INT(G$3)=INT($C35), TEXT($C35, "dd-mmm"), "")</f>
        <v/>
      </c>
      <c r="H35" s="84" t="str">
        <f aca="false">IF(INT(H$3)=INT($C35), TEXT($C35, "dd-mmm"), "")</f>
        <v/>
      </c>
      <c r="I35" s="84" t="str">
        <f aca="false">IF(INT(I$3)=INT($C35), TEXT($C35, "dd-mmm"), "")</f>
        <v/>
      </c>
      <c r="J35" s="84" t="str">
        <f aca="false">IF(INT(J$3)=INT($C35), TEXT($C35, "dd-mmm"), "")</f>
        <v/>
      </c>
      <c r="K35" s="84" t="str">
        <f aca="false">IF(INT(K$3)=INT($C35), TEXT($C35, "dd-mmm"), "")</f>
        <v/>
      </c>
      <c r="L35" s="84" t="str">
        <f aca="false">IF(INT(L$3)=INT($C35), TEXT($C35, "dd-mmm"), "")</f>
        <v/>
      </c>
      <c r="M35" s="84" t="str">
        <f aca="false">IF(INT(M$3)=INT($C35), TEXT($C35, "dd-mmm"), "")</f>
        <v/>
      </c>
      <c r="N35" s="84" t="str">
        <f aca="false">IF(INT(N$3)=INT($C35), TEXT($C35, "dd-mmm"), "")</f>
        <v/>
      </c>
      <c r="O35" s="84" t="str">
        <f aca="false">IF(INT(O$3)=INT($C35), TEXT($C35, "dd-mmm"), "")</f>
        <v/>
      </c>
      <c r="P35" s="84" t="str">
        <f aca="false">IF(INT(P$3)=INT($C35), TEXT($C35, "dd-mmm"), "")</f>
        <v/>
      </c>
      <c r="Q35" s="84" t="str">
        <f aca="false">IF(INT(Q$3)=INT($C35), TEXT($C35, "dd-mmm"), "")</f>
        <v/>
      </c>
      <c r="R35" s="84" t="str">
        <f aca="false">IF(INT(R$3)=INT($C35), TEXT($C35, "dd-mmm"), "")</f>
        <v/>
      </c>
      <c r="S35" s="84" t="str">
        <f aca="false">IF(INT(S$3)=INT($C35), TEXT($C35, "dd-mmm"), "")</f>
        <v/>
      </c>
      <c r="T35" s="84" t="str">
        <f aca="false">IF(INT(T$3)=INT($C35), TEXT($C35, "dd-mmm"), "")</f>
        <v/>
      </c>
      <c r="U35" s="84" t="str">
        <f aca="false">IF(INT(U$3)=INT($C35), TEXT($C35, "dd-mmm"), "")</f>
        <v/>
      </c>
      <c r="V35" s="84" t="str">
        <f aca="false">IF(INT(V$3)=INT($C35), TEXT($C35, "dd-mmm"), "")</f>
        <v/>
      </c>
      <c r="W35" s="84" t="str">
        <f aca="false">IF(INT(W$3)=INT($C35), TEXT($C35, "dd-mmm"), "")</f>
        <v/>
      </c>
      <c r="X35" s="84" t="str">
        <f aca="false">IF(INT(X$3)=INT($C35), TEXT($C35, "dd-mmm"), "")</f>
        <v/>
      </c>
      <c r="Y35" s="84" t="str">
        <f aca="false">IF(INT(Y$3)=INT($C35), TEXT($C35, "dd-mmm"), "")</f>
        <v/>
      </c>
      <c r="Z35" s="84" t="str">
        <f aca="false">IF(INT(Z$3)=INT($C35), TEXT($C35, "dd-mmm"), "")</f>
        <v/>
      </c>
      <c r="AA35" s="84" t="str">
        <f aca="false">IF(INT(AA$3)=INT($C35), TEXT($C35, "dd-mmm"), "")</f>
        <v/>
      </c>
      <c r="AB35" s="84" t="str">
        <f aca="false">IF(INT(AB$3)=INT($C35), TEXT($C35, "dd-mmm"), "")</f>
        <v/>
      </c>
      <c r="AC35" s="84" t="str">
        <f aca="false">IF(INT(AC$3)=INT($C35), TEXT($C35, "dd-mmm"), "")</f>
        <v/>
      </c>
      <c r="AD35" s="84" t="str">
        <f aca="false">IF(INT(AD$3)=INT($C35), TEXT($C35, "dd-mmm"), "")</f>
        <v/>
      </c>
      <c r="AE35" s="84" t="str">
        <f aca="false">IF(INT(AE$3)=INT($C35), TEXT($C35, "dd-mmm"), "")</f>
        <v/>
      </c>
      <c r="AF35" s="84" t="str">
        <f aca="false">IF(INT(AF$3)=INT($C35), TEXT($C35, "dd-mmm"), "")</f>
        <v/>
      </c>
      <c r="AG35" s="84" t="str">
        <f aca="false">IF(INT(AG$3)=INT($C35), TEXT($C35, "dd-mmm"), "")</f>
        <v/>
      </c>
      <c r="AH35" s="84" t="str">
        <f aca="false">IF(INT(AH$3)=INT($C35), TEXT($C35, "dd-mmm"), "")</f>
        <v/>
      </c>
      <c r="AI35" s="84" t="str">
        <f aca="false">IF(INT(AI$3)=INT($C35), TEXT($C35, "dd-mmm"), "")</f>
        <v/>
      </c>
      <c r="AJ35" s="84" t="str">
        <f aca="false">IF(INT(AJ$3)=INT($C35), TEXT($C35, "dd-mmm"), "")</f>
        <v/>
      </c>
      <c r="AK35" s="84" t="str">
        <f aca="false">IF(INT(AK$3)=INT($C35), TEXT($C35, "dd-mmm"), "")</f>
        <v/>
      </c>
      <c r="AL35" s="84" t="str">
        <f aca="false">IF(INT(AL$3)=INT($C35), TEXT($C35, "dd-mmm"), "")</f>
        <v/>
      </c>
      <c r="AM35" s="84" t="str">
        <f aca="false">IF(INT(AM$3)=INT($C35), TEXT($C35, "dd-mmm"), "")</f>
        <v/>
      </c>
      <c r="AN35" s="84" t="str">
        <f aca="false">IF(INT(AN$3)=INT($C35), TEXT($C35, "dd-mmm"), "")</f>
        <v/>
      </c>
      <c r="AO35" s="84" t="str">
        <f aca="false">IF(INT(AO$3)=INT($C35), TEXT($C35, "dd-mmm"), "")</f>
        <v/>
      </c>
      <c r="AP35" s="84" t="str">
        <f aca="false">IF(INT(AP$3)=INT($C35), TEXT($C35, "dd-mmm"), "")</f>
        <v/>
      </c>
      <c r="AQ35" s="84" t="str">
        <f aca="false">IF(INT(AQ$3)=INT($C35), TEXT($C35, "dd-mmm"), "")</f>
        <v/>
      </c>
      <c r="AR35" s="84" t="str">
        <f aca="false">IF(INT(AR$3)=INT($C35), TEXT($C35, "dd-mmm"), "")</f>
        <v/>
      </c>
      <c r="AS35" s="84" t="str">
        <f aca="false">IF(INT(AS$3)=INT($C35), TEXT($C35, "dd-mmm"), "")</f>
        <v/>
      </c>
      <c r="AT35" s="84" t="str">
        <f aca="false">IF(INT(AT$3)=INT($C35), TEXT($C35, "dd-mmm"), "")</f>
        <v/>
      </c>
      <c r="AU35" s="84" t="str">
        <f aca="false">IF(INT(AU$3)=INT($C35), TEXT($C35, "dd-mmm"), "")</f>
        <v/>
      </c>
      <c r="AV35" s="84" t="str">
        <f aca="false">IF(INT(AV$3)=INT($C35), TEXT($C35, "dd-mmm"), "")</f>
        <v/>
      </c>
      <c r="AW35" s="84" t="str">
        <f aca="false">IF(INT(AW$3)=INT($C35), TEXT($C35, "dd-mmm"), "")</f>
        <v/>
      </c>
      <c r="AX35" s="84" t="str">
        <f aca="false">IF(INT(AX$3)=INT($C35), TEXT($C35, "dd-mmm"), "")</f>
        <v/>
      </c>
      <c r="AY35" s="84" t="str">
        <f aca="false">IF(INT(AY$3)=INT($C35), TEXT($C35, "dd-mmm"), "")</f>
        <v/>
      </c>
      <c r="AZ35" s="84" t="str">
        <f aca="false">IF(INT(AZ$3)=INT($C35), TEXT($C35, "dd-mmm"), "")</f>
        <v/>
      </c>
      <c r="BA35" s="84" t="str">
        <f aca="false">IF(INT(BA$3)=INT($C35), TEXT($C35, "dd-mmm"), "")</f>
        <v/>
      </c>
      <c r="BB35" s="84" t="str">
        <f aca="false">IF(INT(BB$3)=INT($C35), TEXT($C35, "dd-mmm"), "")</f>
        <v/>
      </c>
      <c r="BC35" s="84" t="str">
        <f aca="false">IF(INT(BC$3)=INT($C35), TEXT($C35, "dd-mmm"), "")</f>
        <v/>
      </c>
      <c r="BD35" s="84" t="str">
        <f aca="false">IF(INT(BD$3)=INT($C35), TEXT($C35, "dd-mmm"), "")</f>
        <v/>
      </c>
      <c r="BE35" s="84" t="str">
        <f aca="false">IF(INT(BE$3)=INT($C35), TEXT($C35, "dd-mmm"), "")</f>
        <v/>
      </c>
      <c r="BF35" s="84" t="str">
        <f aca="false">IF(INT(BF$3)=INT($C35), TEXT($C35, "dd-mmm"), "")</f>
        <v/>
      </c>
      <c r="BG35" s="84" t="str">
        <f aca="false">IF(INT(BG$3)=INT($C35), TEXT($C35, "dd-mmm"), "")</f>
        <v/>
      </c>
      <c r="BH35" s="84" t="str">
        <f aca="false">IF(INT(BH$3)=INT($C35), TEXT($C35, "dd-mmm"), "")</f>
        <v/>
      </c>
      <c r="BI35" s="84" t="str">
        <f aca="false">IF(INT(BI$3)=INT($C35), TEXT($C35, "dd-mmm"), "")</f>
        <v/>
      </c>
      <c r="BJ35" s="84" t="str">
        <f aca="false">IF(INT(BJ$3)=INT($C35), TEXT($C35, "dd-mmm"), "")</f>
        <v/>
      </c>
      <c r="BK35" s="84" t="str">
        <f aca="false">IF(INT(BK$3)=INT($C35), TEXT($C35, "dd-mmm"), "")</f>
        <v/>
      </c>
      <c r="BL35" s="84" t="str">
        <f aca="false">IF(INT(BL$3)=INT($C35), TEXT($C35, "dd-mmm"), "")</f>
        <v/>
      </c>
      <c r="BM35" s="84" t="str">
        <f aca="false">IF(INT(BM$3)=INT($C35), TEXT($C35, "dd-mmm"), "")</f>
        <v/>
      </c>
      <c r="BN35" s="84" t="str">
        <f aca="false">IF(INT(BN$3)=INT($C35), TEXT($C35, "dd-mmm"), "")</f>
        <v/>
      </c>
    </row>
    <row r="36" customFormat="false" ht="15" hidden="false" customHeight="true" outlineLevel="0" collapsed="false">
      <c r="A36" s="4" t="str">
        <f aca="false">Machine_List!A36</f>
        <v>EDM</v>
      </c>
      <c r="B36" s="4" t="str">
        <f aca="false">Machine_List!B36</f>
        <v>EDM-MC-17</v>
      </c>
      <c r="C36" s="12" t="n">
        <f aca="false">Machine_List!C36</f>
        <v>46504</v>
      </c>
      <c r="D36" s="4" t="n">
        <f aca="false">Machine_List!D36</f>
        <v>6</v>
      </c>
      <c r="E36" s="4" t="n">
        <f aca="true">C36-TODAY()</f>
        <v>386</v>
      </c>
      <c r="F36" s="4" t="str">
        <f aca="false">IF(E36&lt;0,"OVERDUE",IF(E36&lt;=5,"DUE SOON","OK"))</f>
        <v>OK</v>
      </c>
      <c r="G36" s="84" t="str">
        <f aca="false">IF(INT(G$3)=INT($C36), TEXT($C36, "dd-mmm"), "")</f>
        <v/>
      </c>
      <c r="H36" s="84" t="str">
        <f aca="false">IF(INT(H$3)=INT($C36), TEXT($C36, "dd-mmm"), "")</f>
        <v/>
      </c>
      <c r="I36" s="84" t="str">
        <f aca="false">IF(INT(I$3)=INT($C36), TEXT($C36, "dd-mmm"), "")</f>
        <v/>
      </c>
      <c r="J36" s="84" t="str">
        <f aca="false">IF(INT(J$3)=INT($C36), TEXT($C36, "dd-mmm"), "")</f>
        <v/>
      </c>
      <c r="K36" s="84" t="str">
        <f aca="false">IF(INT(K$3)=INT($C36), TEXT($C36, "dd-mmm"), "")</f>
        <v/>
      </c>
      <c r="L36" s="84" t="str">
        <f aca="false">IF(INT(L$3)=INT($C36), TEXT($C36, "dd-mmm"), "")</f>
        <v/>
      </c>
      <c r="M36" s="84" t="str">
        <f aca="false">IF(INT(M$3)=INT($C36), TEXT($C36, "dd-mmm"), "")</f>
        <v/>
      </c>
      <c r="N36" s="84" t="str">
        <f aca="false">IF(INT(N$3)=INT($C36), TEXT($C36, "dd-mmm"), "")</f>
        <v/>
      </c>
      <c r="O36" s="84" t="str">
        <f aca="false">IF(INT(O$3)=INT($C36), TEXT($C36, "dd-mmm"), "")</f>
        <v/>
      </c>
      <c r="P36" s="84" t="str">
        <f aca="false">IF(INT(P$3)=INT($C36), TEXT($C36, "dd-mmm"), "")</f>
        <v/>
      </c>
      <c r="Q36" s="84" t="str">
        <f aca="false">IF(INT(Q$3)=INT($C36), TEXT($C36, "dd-mmm"), "")</f>
        <v/>
      </c>
      <c r="R36" s="84" t="str">
        <f aca="false">IF(INT(R$3)=INT($C36), TEXT($C36, "dd-mmm"), "")</f>
        <v/>
      </c>
      <c r="S36" s="84" t="str">
        <f aca="false">IF(INT(S$3)=INT($C36), TEXT($C36, "dd-mmm"), "")</f>
        <v/>
      </c>
      <c r="T36" s="84" t="str">
        <f aca="false">IF(INT(T$3)=INT($C36), TEXT($C36, "dd-mmm"), "")</f>
        <v/>
      </c>
      <c r="U36" s="84" t="str">
        <f aca="false">IF(INT(U$3)=INT($C36), TEXT($C36, "dd-mmm"), "")</f>
        <v/>
      </c>
      <c r="V36" s="84" t="str">
        <f aca="false">IF(INT(V$3)=INT($C36), TEXT($C36, "dd-mmm"), "")</f>
        <v/>
      </c>
      <c r="W36" s="84" t="str">
        <f aca="false">IF(INT(W$3)=INT($C36), TEXT($C36, "dd-mmm"), "")</f>
        <v/>
      </c>
      <c r="X36" s="84" t="str">
        <f aca="false">IF(INT(X$3)=INT($C36), TEXT($C36, "dd-mmm"), "")</f>
        <v/>
      </c>
      <c r="Y36" s="84" t="str">
        <f aca="false">IF(INT(Y$3)=INT($C36), TEXT($C36, "dd-mmm"), "")</f>
        <v/>
      </c>
      <c r="Z36" s="84" t="str">
        <f aca="false">IF(INT(Z$3)=INT($C36), TEXT($C36, "dd-mmm"), "")</f>
        <v/>
      </c>
      <c r="AA36" s="84" t="str">
        <f aca="false">IF(INT(AA$3)=INT($C36), TEXT($C36, "dd-mmm"), "")</f>
        <v/>
      </c>
      <c r="AB36" s="84" t="str">
        <f aca="false">IF(INT(AB$3)=INT($C36), TEXT($C36, "dd-mmm"), "")</f>
        <v/>
      </c>
      <c r="AC36" s="84" t="str">
        <f aca="false">IF(INT(AC$3)=INT($C36), TEXT($C36, "dd-mmm"), "")</f>
        <v/>
      </c>
      <c r="AD36" s="84" t="str">
        <f aca="false">IF(INT(AD$3)=INT($C36), TEXT($C36, "dd-mmm"), "")</f>
        <v/>
      </c>
      <c r="AE36" s="84" t="str">
        <f aca="false">IF(INT(AE$3)=INT($C36), TEXT($C36, "dd-mmm"), "")</f>
        <v/>
      </c>
      <c r="AF36" s="84" t="str">
        <f aca="false">IF(INT(AF$3)=INT($C36), TEXT($C36, "dd-mmm"), "")</f>
        <v/>
      </c>
      <c r="AG36" s="84" t="str">
        <f aca="false">IF(INT(AG$3)=INT($C36), TEXT($C36, "dd-mmm"), "")</f>
        <v/>
      </c>
      <c r="AH36" s="84" t="str">
        <f aca="false">IF(INT(AH$3)=INT($C36), TEXT($C36, "dd-mmm"), "")</f>
        <v/>
      </c>
      <c r="AI36" s="84" t="str">
        <f aca="false">IF(INT(AI$3)=INT($C36), TEXT($C36, "dd-mmm"), "")</f>
        <v/>
      </c>
      <c r="AJ36" s="84" t="str">
        <f aca="false">IF(INT(AJ$3)=INT($C36), TEXT($C36, "dd-mmm"), "")</f>
        <v/>
      </c>
      <c r="AK36" s="84" t="str">
        <f aca="false">IF(INT(AK$3)=INT($C36), TEXT($C36, "dd-mmm"), "")</f>
        <v/>
      </c>
      <c r="AL36" s="84" t="str">
        <f aca="false">IF(INT(AL$3)=INT($C36), TEXT($C36, "dd-mmm"), "")</f>
        <v/>
      </c>
      <c r="AM36" s="84" t="str">
        <f aca="false">IF(INT(AM$3)=INT($C36), TEXT($C36, "dd-mmm"), "")</f>
        <v/>
      </c>
      <c r="AN36" s="84" t="str">
        <f aca="false">IF(INT(AN$3)=INT($C36), TEXT($C36, "dd-mmm"), "")</f>
        <v/>
      </c>
      <c r="AO36" s="84" t="str">
        <f aca="false">IF(INT(AO$3)=INT($C36), TEXT($C36, "dd-mmm"), "")</f>
        <v/>
      </c>
      <c r="AP36" s="84" t="str">
        <f aca="false">IF(INT(AP$3)=INT($C36), TEXT($C36, "dd-mmm"), "")</f>
        <v/>
      </c>
      <c r="AQ36" s="84" t="str">
        <f aca="false">IF(INT(AQ$3)=INT($C36), TEXT($C36, "dd-mmm"), "")</f>
        <v/>
      </c>
      <c r="AR36" s="84" t="str">
        <f aca="false">IF(INT(AR$3)=INT($C36), TEXT($C36, "dd-mmm"), "")</f>
        <v/>
      </c>
      <c r="AS36" s="84" t="str">
        <f aca="false">IF(INT(AS$3)=INT($C36), TEXT($C36, "dd-mmm"), "")</f>
        <v/>
      </c>
      <c r="AT36" s="84" t="str">
        <f aca="false">IF(INT(AT$3)=INT($C36), TEXT($C36, "dd-mmm"), "")</f>
        <v/>
      </c>
      <c r="AU36" s="84" t="str">
        <f aca="false">IF(INT(AU$3)=INT($C36), TEXT($C36, "dd-mmm"), "")</f>
        <v/>
      </c>
      <c r="AV36" s="84" t="str">
        <f aca="false">IF(INT(AV$3)=INT($C36), TEXT($C36, "dd-mmm"), "")</f>
        <v/>
      </c>
      <c r="AW36" s="84" t="str">
        <f aca="false">IF(INT(AW$3)=INT($C36), TEXT($C36, "dd-mmm"), "")</f>
        <v/>
      </c>
      <c r="AX36" s="84" t="str">
        <f aca="false">IF(INT(AX$3)=INT($C36), TEXT($C36, "dd-mmm"), "")</f>
        <v/>
      </c>
      <c r="AY36" s="84" t="str">
        <f aca="false">IF(INT(AY$3)=INT($C36), TEXT($C36, "dd-mmm"), "")</f>
        <v/>
      </c>
      <c r="AZ36" s="84" t="str">
        <f aca="false">IF(INT(AZ$3)=INT($C36), TEXT($C36, "dd-mmm"), "")</f>
        <v/>
      </c>
      <c r="BA36" s="84" t="str">
        <f aca="false">IF(INT(BA$3)=INT($C36), TEXT($C36, "dd-mmm"), "")</f>
        <v/>
      </c>
      <c r="BB36" s="84" t="str">
        <f aca="false">IF(INT(BB$3)=INT($C36), TEXT($C36, "dd-mmm"), "")</f>
        <v/>
      </c>
      <c r="BC36" s="84" t="str">
        <f aca="false">IF(INT(BC$3)=INT($C36), TEXT($C36, "dd-mmm"), "")</f>
        <v/>
      </c>
      <c r="BD36" s="84" t="str">
        <f aca="false">IF(INT(BD$3)=INT($C36), TEXT($C36, "dd-mmm"), "")</f>
        <v/>
      </c>
      <c r="BE36" s="84" t="str">
        <f aca="false">IF(INT(BE$3)=INT($C36), TEXT($C36, "dd-mmm"), "")</f>
        <v/>
      </c>
      <c r="BF36" s="84" t="str">
        <f aca="false">IF(INT(BF$3)=INT($C36), TEXT($C36, "dd-mmm"), "")</f>
        <v/>
      </c>
      <c r="BG36" s="84" t="str">
        <f aca="false">IF(INT(BG$3)=INT($C36), TEXT($C36, "dd-mmm"), "")</f>
        <v/>
      </c>
      <c r="BH36" s="84" t="str">
        <f aca="false">IF(INT(BH$3)=INT($C36), TEXT($C36, "dd-mmm"), "")</f>
        <v/>
      </c>
      <c r="BI36" s="84" t="str">
        <f aca="false">IF(INT(BI$3)=INT($C36), TEXT($C36, "dd-mmm"), "")</f>
        <v/>
      </c>
      <c r="BJ36" s="84" t="str">
        <f aca="false">IF(INT(BJ$3)=INT($C36), TEXT($C36, "dd-mmm"), "")</f>
        <v/>
      </c>
      <c r="BK36" s="84" t="str">
        <f aca="false">IF(INT(BK$3)=INT($C36), TEXT($C36, "dd-mmm"), "")</f>
        <v/>
      </c>
      <c r="BL36" s="84" t="str">
        <f aca="false">IF(INT(BL$3)=INT($C36), TEXT($C36, "dd-mmm"), "")</f>
        <v/>
      </c>
      <c r="BM36" s="84" t="str">
        <f aca="false">IF(INT(BM$3)=INT($C36), TEXT($C36, "dd-mmm"), "")</f>
        <v/>
      </c>
      <c r="BN36" s="84" t="str">
        <f aca="false">IF(INT(BN$3)=INT($C36), TEXT($C36, "dd-mmm"), "")</f>
        <v/>
      </c>
    </row>
    <row r="37" customFormat="false" ht="15" hidden="false" customHeight="true" outlineLevel="0" collapsed="false">
      <c r="A37" s="4" t="str">
        <f aca="false">Machine_List!A37</f>
        <v>EDM</v>
      </c>
      <c r="B37" s="4" t="str">
        <f aca="false">Machine_List!B37</f>
        <v>EDM-MC-18</v>
      </c>
      <c r="C37" s="12" t="n">
        <f aca="false">Machine_List!C37</f>
        <v>46225</v>
      </c>
      <c r="D37" s="4" t="n">
        <f aca="false">Machine_List!D37</f>
        <v>6</v>
      </c>
      <c r="E37" s="4" t="n">
        <f aca="true">C37-TODAY()</f>
        <v>107</v>
      </c>
      <c r="F37" s="4" t="str">
        <f aca="false">IF(E37&lt;0,"OVERDUE",IF(E37&lt;=5,"DUE SOON","OK"))</f>
        <v>OK</v>
      </c>
      <c r="G37" s="84" t="str">
        <f aca="false">IF(INT(G$3)=INT($C37), TEXT($C37, "dd-mmm"), "")</f>
        <v/>
      </c>
      <c r="H37" s="84" t="str">
        <f aca="false">IF(INT(H$3)=INT($C37), TEXT($C37, "dd-mmm"), "")</f>
        <v/>
      </c>
      <c r="I37" s="84" t="str">
        <f aca="false">IF(INT(I$3)=INT($C37), TEXT($C37, "dd-mmm"), "")</f>
        <v/>
      </c>
      <c r="J37" s="84" t="str">
        <f aca="false">IF(INT(J$3)=INT($C37), TEXT($C37, "dd-mmm"), "")</f>
        <v/>
      </c>
      <c r="K37" s="84" t="str">
        <f aca="false">IF(INT(K$3)=INT($C37), TEXT($C37, "dd-mmm"), "")</f>
        <v/>
      </c>
      <c r="L37" s="84" t="str">
        <f aca="false">IF(INT(L$3)=INT($C37), TEXT($C37, "dd-mmm"), "")</f>
        <v/>
      </c>
      <c r="M37" s="84" t="str">
        <f aca="false">IF(INT(M$3)=INT($C37), TEXT($C37, "dd-mmm"), "")</f>
        <v/>
      </c>
      <c r="N37" s="84" t="str">
        <f aca="false">IF(INT(N$3)=INT($C37), TEXT($C37, "dd-mmm"), "")</f>
        <v/>
      </c>
      <c r="O37" s="84" t="str">
        <f aca="false">IF(INT(O$3)=INT($C37), TEXT($C37, "dd-mmm"), "")</f>
        <v/>
      </c>
      <c r="P37" s="84" t="str">
        <f aca="false">IF(INT(P$3)=INT($C37), TEXT($C37, "dd-mmm"), "")</f>
        <v/>
      </c>
      <c r="Q37" s="84" t="str">
        <f aca="false">IF(INT(Q$3)=INT($C37), TEXT($C37, "dd-mmm"), "")</f>
        <v/>
      </c>
      <c r="R37" s="84" t="str">
        <f aca="false">IF(INT(R$3)=INT($C37), TEXT($C37, "dd-mmm"), "")</f>
        <v/>
      </c>
      <c r="S37" s="84" t="str">
        <f aca="false">IF(INT(S$3)=INT($C37), TEXT($C37, "dd-mmm"), "")</f>
        <v/>
      </c>
      <c r="T37" s="84" t="str">
        <f aca="false">IF(INT(T$3)=INT($C37), TEXT($C37, "dd-mmm"), "")</f>
        <v/>
      </c>
      <c r="U37" s="84" t="str">
        <f aca="false">IF(INT(U$3)=INT($C37), TEXT($C37, "dd-mmm"), "")</f>
        <v/>
      </c>
      <c r="V37" s="84" t="str">
        <f aca="false">IF(INT(V$3)=INT($C37), TEXT($C37, "dd-mmm"), "")</f>
        <v/>
      </c>
      <c r="W37" s="84" t="str">
        <f aca="false">IF(INT(W$3)=INT($C37), TEXT($C37, "dd-mmm"), "")</f>
        <v/>
      </c>
      <c r="X37" s="84" t="str">
        <f aca="false">IF(INT(X$3)=INT($C37), TEXT($C37, "dd-mmm"), "")</f>
        <v/>
      </c>
      <c r="Y37" s="84" t="str">
        <f aca="false">IF(INT(Y$3)=INT($C37), TEXT($C37, "dd-mmm"), "")</f>
        <v/>
      </c>
      <c r="Z37" s="84" t="str">
        <f aca="false">IF(INT(Z$3)=INT($C37), TEXT($C37, "dd-mmm"), "")</f>
        <v/>
      </c>
      <c r="AA37" s="84" t="str">
        <f aca="false">IF(INT(AA$3)=INT($C37), TEXT($C37, "dd-mmm"), "")</f>
        <v/>
      </c>
      <c r="AB37" s="84" t="str">
        <f aca="false">IF(INT(AB$3)=INT($C37), TEXT($C37, "dd-mmm"), "")</f>
        <v/>
      </c>
      <c r="AC37" s="84" t="str">
        <f aca="false">IF(INT(AC$3)=INT($C37), TEXT($C37, "dd-mmm"), "")</f>
        <v/>
      </c>
      <c r="AD37" s="84" t="str">
        <f aca="false">IF(INT(AD$3)=INT($C37), TEXT($C37, "dd-mmm"), "")</f>
        <v/>
      </c>
      <c r="AE37" s="84" t="str">
        <f aca="false">IF(INT(AE$3)=INT($C37), TEXT($C37, "dd-mmm"), "")</f>
        <v/>
      </c>
      <c r="AF37" s="84" t="str">
        <f aca="false">IF(INT(AF$3)=INT($C37), TEXT($C37, "dd-mmm"), "")</f>
        <v/>
      </c>
      <c r="AG37" s="84" t="str">
        <f aca="false">IF(INT(AG$3)=INT($C37), TEXT($C37, "dd-mmm"), "")</f>
        <v/>
      </c>
      <c r="AH37" s="84" t="str">
        <f aca="false">IF(INT(AH$3)=INT($C37), TEXT($C37, "dd-mmm"), "")</f>
        <v/>
      </c>
      <c r="AI37" s="84" t="str">
        <f aca="false">IF(INT(AI$3)=INT($C37), TEXT($C37, "dd-mmm"), "")</f>
        <v/>
      </c>
      <c r="AJ37" s="84" t="str">
        <f aca="false">IF(INT(AJ$3)=INT($C37), TEXT($C37, "dd-mmm"), "")</f>
        <v/>
      </c>
      <c r="AK37" s="84" t="str">
        <f aca="false">IF(INT(AK$3)=INT($C37), TEXT($C37, "dd-mmm"), "")</f>
        <v/>
      </c>
      <c r="AL37" s="84" t="str">
        <f aca="false">IF(INT(AL$3)=INT($C37), TEXT($C37, "dd-mmm"), "")</f>
        <v/>
      </c>
      <c r="AM37" s="84" t="str">
        <f aca="false">IF(INT(AM$3)=INT($C37), TEXT($C37, "dd-mmm"), "")</f>
        <v/>
      </c>
      <c r="AN37" s="84" t="str">
        <f aca="false">IF(INT(AN$3)=INT($C37), TEXT($C37, "dd-mmm"), "")</f>
        <v/>
      </c>
      <c r="AO37" s="84" t="str">
        <f aca="false">IF(INT(AO$3)=INT($C37), TEXT($C37, "dd-mmm"), "")</f>
        <v/>
      </c>
      <c r="AP37" s="84" t="str">
        <f aca="false">IF(INT(AP$3)=INT($C37), TEXT($C37, "dd-mmm"), "")</f>
        <v/>
      </c>
      <c r="AQ37" s="84" t="str">
        <f aca="false">IF(INT(AQ$3)=INT($C37), TEXT($C37, "dd-mmm"), "")</f>
        <v/>
      </c>
      <c r="AR37" s="84" t="str">
        <f aca="false">IF(INT(AR$3)=INT($C37), TEXT($C37, "dd-mmm"), "")</f>
        <v/>
      </c>
      <c r="AS37" s="84" t="str">
        <f aca="false">IF(INT(AS$3)=INT($C37), TEXT($C37, "dd-mmm"), "")</f>
        <v/>
      </c>
      <c r="AT37" s="84" t="str">
        <f aca="false">IF(INT(AT$3)=INT($C37), TEXT($C37, "dd-mmm"), "")</f>
        <v/>
      </c>
      <c r="AU37" s="84" t="str">
        <f aca="false">IF(INT(AU$3)=INT($C37), TEXT($C37, "dd-mmm"), "")</f>
        <v/>
      </c>
      <c r="AV37" s="84" t="str">
        <f aca="false">IF(INT(AV$3)=INT($C37), TEXT($C37, "dd-mmm"), "")</f>
        <v/>
      </c>
      <c r="AW37" s="84" t="str">
        <f aca="false">IF(INT(AW$3)=INT($C37), TEXT($C37, "dd-mmm"), "")</f>
        <v/>
      </c>
      <c r="AX37" s="84" t="str">
        <f aca="false">IF(INT(AX$3)=INT($C37), TEXT($C37, "dd-mmm"), "")</f>
        <v/>
      </c>
      <c r="AY37" s="84" t="str">
        <f aca="false">IF(INT(AY$3)=INT($C37), TEXT($C37, "dd-mmm"), "")</f>
        <v/>
      </c>
      <c r="AZ37" s="84" t="str">
        <f aca="false">IF(INT(AZ$3)=INT($C37), TEXT($C37, "dd-mmm"), "")</f>
        <v/>
      </c>
      <c r="BA37" s="84" t="str">
        <f aca="false">IF(INT(BA$3)=INT($C37), TEXT($C37, "dd-mmm"), "")</f>
        <v/>
      </c>
      <c r="BB37" s="84" t="str">
        <f aca="false">IF(INT(BB$3)=INT($C37), TEXT($C37, "dd-mmm"), "")</f>
        <v/>
      </c>
      <c r="BC37" s="84" t="str">
        <f aca="false">IF(INT(BC$3)=INT($C37), TEXT($C37, "dd-mmm"), "")</f>
        <v/>
      </c>
      <c r="BD37" s="84" t="str">
        <f aca="false">IF(INT(BD$3)=INT($C37), TEXT($C37, "dd-mmm"), "")</f>
        <v/>
      </c>
      <c r="BE37" s="84" t="str">
        <f aca="false">IF(INT(BE$3)=INT($C37), TEXT($C37, "dd-mmm"), "")</f>
        <v/>
      </c>
      <c r="BF37" s="84" t="str">
        <f aca="false">IF(INT(BF$3)=INT($C37), TEXT($C37, "dd-mmm"), "")</f>
        <v/>
      </c>
      <c r="BG37" s="84" t="str">
        <f aca="false">IF(INT(BG$3)=INT($C37), TEXT($C37, "dd-mmm"), "")</f>
        <v/>
      </c>
      <c r="BH37" s="84" t="str">
        <f aca="false">IF(INT(BH$3)=INT($C37), TEXT($C37, "dd-mmm"), "")</f>
        <v/>
      </c>
      <c r="BI37" s="84" t="str">
        <f aca="false">IF(INT(BI$3)=INT($C37), TEXT($C37, "dd-mmm"), "")</f>
        <v/>
      </c>
      <c r="BJ37" s="84" t="str">
        <f aca="false">IF(INT(BJ$3)=INT($C37), TEXT($C37, "dd-mmm"), "")</f>
        <v/>
      </c>
      <c r="BK37" s="84" t="str">
        <f aca="false">IF(INT(BK$3)=INT($C37), TEXT($C37, "dd-mmm"), "")</f>
        <v/>
      </c>
      <c r="BL37" s="84" t="str">
        <f aca="false">IF(INT(BL$3)=INT($C37), TEXT($C37, "dd-mmm"), "")</f>
        <v/>
      </c>
      <c r="BM37" s="84" t="str">
        <f aca="false">IF(INT(BM$3)=INT($C37), TEXT($C37, "dd-mmm"), "")</f>
        <v/>
      </c>
      <c r="BN37" s="84" t="str">
        <f aca="false">IF(INT(BN$3)=INT($C37), TEXT($C37, "dd-mmm"), "")</f>
        <v/>
      </c>
    </row>
    <row r="38" customFormat="false" ht="15" hidden="false" customHeight="true" outlineLevel="0" collapsed="false">
      <c r="A38" s="4" t="str">
        <f aca="false">Machine_List!A38</f>
        <v>EDM</v>
      </c>
      <c r="B38" s="4" t="str">
        <f aca="false">Machine_List!B38</f>
        <v>EDM-MC-19</v>
      </c>
      <c r="C38" s="12" t="n">
        <f aca="false">Machine_List!C38</f>
        <v>46263</v>
      </c>
      <c r="D38" s="4" t="n">
        <f aca="false">Machine_List!D38</f>
        <v>6</v>
      </c>
      <c r="E38" s="4" t="n">
        <f aca="true">C38-TODAY()</f>
        <v>145</v>
      </c>
      <c r="F38" s="4" t="str">
        <f aca="false">IF(E38&lt;0,"OVERDUE",IF(E38&lt;=5,"DUE SOON","OK"))</f>
        <v>OK</v>
      </c>
      <c r="G38" s="84" t="str">
        <f aca="false">IF(INT(G$3)=INT($C38), TEXT($C38, "dd-mmm"), "")</f>
        <v/>
      </c>
      <c r="H38" s="84" t="str">
        <f aca="false">IF(INT(H$3)=INT($C38), TEXT($C38, "dd-mmm"), "")</f>
        <v/>
      </c>
      <c r="I38" s="84" t="str">
        <f aca="false">IF(INT(I$3)=INT($C38), TEXT($C38, "dd-mmm"), "")</f>
        <v/>
      </c>
      <c r="J38" s="84" t="str">
        <f aca="false">IF(INT(J$3)=INT($C38), TEXT($C38, "dd-mmm"), "")</f>
        <v/>
      </c>
      <c r="K38" s="84" t="str">
        <f aca="false">IF(INT(K$3)=INT($C38), TEXT($C38, "dd-mmm"), "")</f>
        <v/>
      </c>
      <c r="L38" s="84" t="str">
        <f aca="false">IF(INT(L$3)=INT($C38), TEXT($C38, "dd-mmm"), "")</f>
        <v/>
      </c>
      <c r="M38" s="84" t="str">
        <f aca="false">IF(INT(M$3)=INT($C38), TEXT($C38, "dd-mmm"), "")</f>
        <v/>
      </c>
      <c r="N38" s="84" t="str">
        <f aca="false">IF(INT(N$3)=INT($C38), TEXT($C38, "dd-mmm"), "")</f>
        <v/>
      </c>
      <c r="O38" s="84" t="str">
        <f aca="false">IF(INT(O$3)=INT($C38), TEXT($C38, "dd-mmm"), "")</f>
        <v/>
      </c>
      <c r="P38" s="84" t="str">
        <f aca="false">IF(INT(P$3)=INT($C38), TEXT($C38, "dd-mmm"), "")</f>
        <v/>
      </c>
      <c r="Q38" s="84" t="str">
        <f aca="false">IF(INT(Q$3)=INT($C38), TEXT($C38, "dd-mmm"), "")</f>
        <v/>
      </c>
      <c r="R38" s="84" t="str">
        <f aca="false">IF(INT(R$3)=INT($C38), TEXT($C38, "dd-mmm"), "")</f>
        <v/>
      </c>
      <c r="S38" s="84" t="str">
        <f aca="false">IF(INT(S$3)=INT($C38), TEXT($C38, "dd-mmm"), "")</f>
        <v/>
      </c>
      <c r="T38" s="84" t="str">
        <f aca="false">IF(INT(T$3)=INT($C38), TEXT($C38, "dd-mmm"), "")</f>
        <v/>
      </c>
      <c r="U38" s="84" t="str">
        <f aca="false">IF(INT(U$3)=INT($C38), TEXT($C38, "dd-mmm"), "")</f>
        <v/>
      </c>
      <c r="V38" s="84" t="str">
        <f aca="false">IF(INT(V$3)=INT($C38), TEXT($C38, "dd-mmm"), "")</f>
        <v/>
      </c>
      <c r="W38" s="84" t="str">
        <f aca="false">IF(INT(W$3)=INT($C38), TEXT($C38, "dd-mmm"), "")</f>
        <v/>
      </c>
      <c r="X38" s="84" t="str">
        <f aca="false">IF(INT(X$3)=INT($C38), TEXT($C38, "dd-mmm"), "")</f>
        <v/>
      </c>
      <c r="Y38" s="84" t="str">
        <f aca="false">IF(INT(Y$3)=INT($C38), TEXT($C38, "dd-mmm"), "")</f>
        <v/>
      </c>
      <c r="Z38" s="84" t="str">
        <f aca="false">IF(INT(Z$3)=INT($C38), TEXT($C38, "dd-mmm"), "")</f>
        <v/>
      </c>
      <c r="AA38" s="84" t="str">
        <f aca="false">IF(INT(AA$3)=INT($C38), TEXT($C38, "dd-mmm"), "")</f>
        <v/>
      </c>
      <c r="AB38" s="84" t="str">
        <f aca="false">IF(INT(AB$3)=INT($C38), TEXT($C38, "dd-mmm"), "")</f>
        <v/>
      </c>
      <c r="AC38" s="84" t="str">
        <f aca="false">IF(INT(AC$3)=INT($C38), TEXT($C38, "dd-mmm"), "")</f>
        <v/>
      </c>
      <c r="AD38" s="84" t="str">
        <f aca="false">IF(INT(AD$3)=INT($C38), TEXT($C38, "dd-mmm"), "")</f>
        <v/>
      </c>
      <c r="AE38" s="84" t="str">
        <f aca="false">IF(INT(AE$3)=INT($C38), TEXT($C38, "dd-mmm"), "")</f>
        <v/>
      </c>
      <c r="AF38" s="84" t="str">
        <f aca="false">IF(INT(AF$3)=INT($C38), TEXT($C38, "dd-mmm"), "")</f>
        <v/>
      </c>
      <c r="AG38" s="84" t="str">
        <f aca="false">IF(INT(AG$3)=INT($C38), TEXT($C38, "dd-mmm"), "")</f>
        <v/>
      </c>
      <c r="AH38" s="84" t="str">
        <f aca="false">IF(INT(AH$3)=INT($C38), TEXT($C38, "dd-mmm"), "")</f>
        <v/>
      </c>
      <c r="AI38" s="84" t="str">
        <f aca="false">IF(INT(AI$3)=INT($C38), TEXT($C38, "dd-mmm"), "")</f>
        <v/>
      </c>
      <c r="AJ38" s="84" t="str">
        <f aca="false">IF(INT(AJ$3)=INT($C38), TEXT($C38, "dd-mmm"), "")</f>
        <v/>
      </c>
      <c r="AK38" s="84" t="str">
        <f aca="false">IF(INT(AK$3)=INT($C38), TEXT($C38, "dd-mmm"), "")</f>
        <v/>
      </c>
      <c r="AL38" s="84" t="str">
        <f aca="false">IF(INT(AL$3)=INT($C38), TEXT($C38, "dd-mmm"), "")</f>
        <v/>
      </c>
      <c r="AM38" s="84" t="str">
        <f aca="false">IF(INT(AM$3)=INT($C38), TEXT($C38, "dd-mmm"), "")</f>
        <v/>
      </c>
      <c r="AN38" s="84" t="str">
        <f aca="false">IF(INT(AN$3)=INT($C38), TEXT($C38, "dd-mmm"), "")</f>
        <v/>
      </c>
      <c r="AO38" s="84" t="str">
        <f aca="false">IF(INT(AO$3)=INT($C38), TEXT($C38, "dd-mmm"), "")</f>
        <v/>
      </c>
      <c r="AP38" s="84" t="str">
        <f aca="false">IF(INT(AP$3)=INT($C38), TEXT($C38, "dd-mmm"), "")</f>
        <v/>
      </c>
      <c r="AQ38" s="84" t="str">
        <f aca="false">IF(INT(AQ$3)=INT($C38), TEXT($C38, "dd-mmm"), "")</f>
        <v/>
      </c>
      <c r="AR38" s="84" t="str">
        <f aca="false">IF(INT(AR$3)=INT($C38), TEXT($C38, "dd-mmm"), "")</f>
        <v/>
      </c>
      <c r="AS38" s="84" t="str">
        <f aca="false">IF(INT(AS$3)=INT($C38), TEXT($C38, "dd-mmm"), "")</f>
        <v/>
      </c>
      <c r="AT38" s="84" t="str">
        <f aca="false">IF(INT(AT$3)=INT($C38), TEXT($C38, "dd-mmm"), "")</f>
        <v/>
      </c>
      <c r="AU38" s="84" t="str">
        <f aca="false">IF(INT(AU$3)=INT($C38), TEXT($C38, "dd-mmm"), "")</f>
        <v/>
      </c>
      <c r="AV38" s="84" t="str">
        <f aca="false">IF(INT(AV$3)=INT($C38), TEXT($C38, "dd-mmm"), "")</f>
        <v/>
      </c>
      <c r="AW38" s="84" t="str">
        <f aca="false">IF(INT(AW$3)=INT($C38), TEXT($C38, "dd-mmm"), "")</f>
        <v/>
      </c>
      <c r="AX38" s="84" t="str">
        <f aca="false">IF(INT(AX$3)=INT($C38), TEXT($C38, "dd-mmm"), "")</f>
        <v/>
      </c>
      <c r="AY38" s="84" t="str">
        <f aca="false">IF(INT(AY$3)=INT($C38), TEXT($C38, "dd-mmm"), "")</f>
        <v/>
      </c>
      <c r="AZ38" s="84" t="str">
        <f aca="false">IF(INT(AZ$3)=INT($C38), TEXT($C38, "dd-mmm"), "")</f>
        <v/>
      </c>
      <c r="BA38" s="84" t="str">
        <f aca="false">IF(INT(BA$3)=INT($C38), TEXT($C38, "dd-mmm"), "")</f>
        <v/>
      </c>
      <c r="BB38" s="84" t="str">
        <f aca="false">IF(INT(BB$3)=INT($C38), TEXT($C38, "dd-mmm"), "")</f>
        <v/>
      </c>
      <c r="BC38" s="84" t="str">
        <f aca="false">IF(INT(BC$3)=INT($C38), TEXT($C38, "dd-mmm"), "")</f>
        <v/>
      </c>
      <c r="BD38" s="84" t="str">
        <f aca="false">IF(INT(BD$3)=INT($C38), TEXT($C38, "dd-mmm"), "")</f>
        <v/>
      </c>
      <c r="BE38" s="84" t="str">
        <f aca="false">IF(INT(BE$3)=INT($C38), TEXT($C38, "dd-mmm"), "")</f>
        <v/>
      </c>
      <c r="BF38" s="84" t="str">
        <f aca="false">IF(INT(BF$3)=INT($C38), TEXT($C38, "dd-mmm"), "")</f>
        <v/>
      </c>
      <c r="BG38" s="84" t="str">
        <f aca="false">IF(INT(BG$3)=INT($C38), TEXT($C38, "dd-mmm"), "")</f>
        <v/>
      </c>
      <c r="BH38" s="84" t="str">
        <f aca="false">IF(INT(BH$3)=INT($C38), TEXT($C38, "dd-mmm"), "")</f>
        <v/>
      </c>
      <c r="BI38" s="84" t="str">
        <f aca="false">IF(INT(BI$3)=INT($C38), TEXT($C38, "dd-mmm"), "")</f>
        <v/>
      </c>
      <c r="BJ38" s="84" t="str">
        <f aca="false">IF(INT(BJ$3)=INT($C38), TEXT($C38, "dd-mmm"), "")</f>
        <v/>
      </c>
      <c r="BK38" s="84" t="str">
        <f aca="false">IF(INT(BK$3)=INT($C38), TEXT($C38, "dd-mmm"), "")</f>
        <v/>
      </c>
      <c r="BL38" s="84" t="str">
        <f aca="false">IF(INT(BL$3)=INT($C38), TEXT($C38, "dd-mmm"), "")</f>
        <v/>
      </c>
      <c r="BM38" s="84" t="str">
        <f aca="false">IF(INT(BM$3)=INT($C38), TEXT($C38, "dd-mmm"), "")</f>
        <v/>
      </c>
      <c r="BN38" s="84" t="str">
        <f aca="false">IF(INT(BN$3)=INT($C38), TEXT($C38, "dd-mmm"), "")</f>
        <v/>
      </c>
    </row>
    <row r="39" customFormat="false" ht="15" hidden="false" customHeight="true" outlineLevel="0" collapsed="false">
      <c r="A39" s="4" t="str">
        <f aca="false">Machine_List!A39</f>
        <v>EDM</v>
      </c>
      <c r="B39" s="4" t="str">
        <f aca="false">Machine_List!B39</f>
        <v>EDM-MC-20</v>
      </c>
      <c r="C39" s="12" t="n">
        <f aca="false">Machine_List!C39</f>
        <v>46040</v>
      </c>
      <c r="D39" s="4" t="n">
        <f aca="false">Machine_List!D39</f>
        <v>6</v>
      </c>
      <c r="E39" s="4" t="n">
        <f aca="true">C39-TODAY()</f>
        <v>-78</v>
      </c>
      <c r="F39" s="4" t="str">
        <f aca="false">IF(E39&lt;0,"OVERDUE",IF(E39&lt;=5,"DUE SOON","OK"))</f>
        <v>OVERDUE</v>
      </c>
      <c r="G39" s="84" t="str">
        <f aca="false">IF(INT(G$3)=INT($C39), TEXT($C39, "dd-mmm"), "")</f>
        <v/>
      </c>
      <c r="H39" s="84" t="str">
        <f aca="false">IF(INT(H$3)=INT($C39), TEXT($C39, "dd-mmm"), "")</f>
        <v/>
      </c>
      <c r="I39" s="84" t="str">
        <f aca="false">IF(INT(I$3)=INT($C39), TEXT($C39, "dd-mmm"), "")</f>
        <v/>
      </c>
      <c r="J39" s="84" t="str">
        <f aca="false">IF(INT(J$3)=INT($C39), TEXT($C39, "dd-mmm"), "")</f>
        <v/>
      </c>
      <c r="K39" s="84" t="str">
        <f aca="false">IF(INT(K$3)=INT($C39), TEXT($C39, "dd-mmm"), "")</f>
        <v/>
      </c>
      <c r="L39" s="84" t="str">
        <f aca="false">IF(INT(L$3)=INT($C39), TEXT($C39, "dd-mmm"), "")</f>
        <v/>
      </c>
      <c r="M39" s="84" t="str">
        <f aca="false">IF(INT(M$3)=INT($C39), TEXT($C39, "dd-mmm"), "")</f>
        <v/>
      </c>
      <c r="N39" s="84" t="str">
        <f aca="false">IF(INT(N$3)=INT($C39), TEXT($C39, "dd-mmm"), "")</f>
        <v/>
      </c>
      <c r="O39" s="84" t="str">
        <f aca="false">IF(INT(O$3)=INT($C39), TEXT($C39, "dd-mmm"), "")</f>
        <v/>
      </c>
      <c r="P39" s="84" t="str">
        <f aca="false">IF(INT(P$3)=INT($C39), TEXT($C39, "dd-mmm"), "")</f>
        <v/>
      </c>
      <c r="Q39" s="84" t="str">
        <f aca="false">IF(INT(Q$3)=INT($C39), TEXT($C39, "dd-mmm"), "")</f>
        <v/>
      </c>
      <c r="R39" s="84" t="str">
        <f aca="false">IF(INT(R$3)=INT($C39), TEXT($C39, "dd-mmm"), "")</f>
        <v/>
      </c>
      <c r="S39" s="84" t="str">
        <f aca="false">IF(INT(S$3)=INT($C39), TEXT($C39, "dd-mmm"), "")</f>
        <v/>
      </c>
      <c r="T39" s="84" t="str">
        <f aca="false">IF(INT(T$3)=INT($C39), TEXT($C39, "dd-mmm"), "")</f>
        <v/>
      </c>
      <c r="U39" s="84" t="str">
        <f aca="false">IF(INT(U$3)=INT($C39), TEXT($C39, "dd-mmm"), "")</f>
        <v/>
      </c>
      <c r="V39" s="84" t="str">
        <f aca="false">IF(INT(V$3)=INT($C39), TEXT($C39, "dd-mmm"), "")</f>
        <v/>
      </c>
      <c r="W39" s="84" t="str">
        <f aca="false">IF(INT(W$3)=INT($C39), TEXT($C39, "dd-mmm"), "")</f>
        <v/>
      </c>
      <c r="X39" s="84" t="str">
        <f aca="false">IF(INT(X$3)=INT($C39), TEXT($C39, "dd-mmm"), "")</f>
        <v/>
      </c>
      <c r="Y39" s="84" t="str">
        <f aca="false">IF(INT(Y$3)=INT($C39), TEXT($C39, "dd-mmm"), "")</f>
        <v/>
      </c>
      <c r="Z39" s="84" t="str">
        <f aca="false">IF(INT(Z$3)=INT($C39), TEXT($C39, "dd-mmm"), "")</f>
        <v/>
      </c>
      <c r="AA39" s="84" t="str">
        <f aca="false">IF(INT(AA$3)=INT($C39), TEXT($C39, "dd-mmm"), "")</f>
        <v/>
      </c>
      <c r="AB39" s="84" t="str">
        <f aca="false">IF(INT(AB$3)=INT($C39), TEXT($C39, "dd-mmm"), "")</f>
        <v/>
      </c>
      <c r="AC39" s="84" t="str">
        <f aca="false">IF(INT(AC$3)=INT($C39), TEXT($C39, "dd-mmm"), "")</f>
        <v/>
      </c>
      <c r="AD39" s="84" t="str">
        <f aca="false">IF(INT(AD$3)=INT($C39), TEXT($C39, "dd-mmm"), "")</f>
        <v/>
      </c>
      <c r="AE39" s="84" t="str">
        <f aca="false">IF(INT(AE$3)=INT($C39), TEXT($C39, "dd-mmm"), "")</f>
        <v/>
      </c>
      <c r="AF39" s="84" t="str">
        <f aca="false">IF(INT(AF$3)=INT($C39), TEXT($C39, "dd-mmm"), "")</f>
        <v/>
      </c>
      <c r="AG39" s="84" t="str">
        <f aca="false">IF(INT(AG$3)=INT($C39), TEXT($C39, "dd-mmm"), "")</f>
        <v/>
      </c>
      <c r="AH39" s="84" t="str">
        <f aca="false">IF(INT(AH$3)=INT($C39), TEXT($C39, "dd-mmm"), "")</f>
        <v/>
      </c>
      <c r="AI39" s="84" t="str">
        <f aca="false">IF(INT(AI$3)=INT($C39), TEXT($C39, "dd-mmm"), "")</f>
        <v/>
      </c>
      <c r="AJ39" s="84" t="str">
        <f aca="false">IF(INT(AJ$3)=INT($C39), TEXT($C39, "dd-mmm"), "")</f>
        <v/>
      </c>
      <c r="AK39" s="84" t="str">
        <f aca="false">IF(INT(AK$3)=INT($C39), TEXT($C39, "dd-mmm"), "")</f>
        <v/>
      </c>
      <c r="AL39" s="84" t="str">
        <f aca="false">IF(INT(AL$3)=INT($C39), TEXT($C39, "dd-mmm"), "")</f>
        <v/>
      </c>
      <c r="AM39" s="84" t="str">
        <f aca="false">IF(INT(AM$3)=INT($C39), TEXT($C39, "dd-mmm"), "")</f>
        <v/>
      </c>
      <c r="AN39" s="84" t="str">
        <f aca="false">IF(INT(AN$3)=INT($C39), TEXT($C39, "dd-mmm"), "")</f>
        <v/>
      </c>
      <c r="AO39" s="84" t="str">
        <f aca="false">IF(INT(AO$3)=INT($C39), TEXT($C39, "dd-mmm"), "")</f>
        <v/>
      </c>
      <c r="AP39" s="84" t="str">
        <f aca="false">IF(INT(AP$3)=INT($C39), TEXT($C39, "dd-mmm"), "")</f>
        <v/>
      </c>
      <c r="AQ39" s="84" t="str">
        <f aca="false">IF(INT(AQ$3)=INT($C39), TEXT($C39, "dd-mmm"), "")</f>
        <v/>
      </c>
      <c r="AR39" s="84" t="str">
        <f aca="false">IF(INT(AR$3)=INT($C39), TEXT($C39, "dd-mmm"), "")</f>
        <v/>
      </c>
      <c r="AS39" s="84" t="str">
        <f aca="false">IF(INT(AS$3)=INT($C39), TEXT($C39, "dd-mmm"), "")</f>
        <v/>
      </c>
      <c r="AT39" s="84" t="str">
        <f aca="false">IF(INT(AT$3)=INT($C39), TEXT($C39, "dd-mmm"), "")</f>
        <v/>
      </c>
      <c r="AU39" s="84" t="str">
        <f aca="false">IF(INT(AU$3)=INT($C39), TEXT($C39, "dd-mmm"), "")</f>
        <v/>
      </c>
      <c r="AV39" s="84" t="str">
        <f aca="false">IF(INT(AV$3)=INT($C39), TEXT($C39, "dd-mmm"), "")</f>
        <v/>
      </c>
      <c r="AW39" s="84" t="str">
        <f aca="false">IF(INT(AW$3)=INT($C39), TEXT($C39, "dd-mmm"), "")</f>
        <v/>
      </c>
      <c r="AX39" s="84" t="str">
        <f aca="false">IF(INT(AX$3)=INT($C39), TEXT($C39, "dd-mmm"), "")</f>
        <v/>
      </c>
      <c r="AY39" s="84" t="str">
        <f aca="false">IF(INT(AY$3)=INT($C39), TEXT($C39, "dd-mmm"), "")</f>
        <v/>
      </c>
      <c r="AZ39" s="84" t="str">
        <f aca="false">IF(INT(AZ$3)=INT($C39), TEXT($C39, "dd-mmm"), "")</f>
        <v/>
      </c>
      <c r="BA39" s="84" t="str">
        <f aca="false">IF(INT(BA$3)=INT($C39), TEXT($C39, "dd-mmm"), "")</f>
        <v/>
      </c>
      <c r="BB39" s="84" t="str">
        <f aca="false">IF(INT(BB$3)=INT($C39), TEXT($C39, "dd-mmm"), "")</f>
        <v/>
      </c>
      <c r="BC39" s="84" t="str">
        <f aca="false">IF(INT(BC$3)=INT($C39), TEXT($C39, "dd-mmm"), "")</f>
        <v/>
      </c>
      <c r="BD39" s="84" t="str">
        <f aca="false">IF(INT(BD$3)=INT($C39), TEXT($C39, "dd-mmm"), "")</f>
        <v/>
      </c>
      <c r="BE39" s="84" t="str">
        <f aca="false">IF(INT(BE$3)=INT($C39), TEXT($C39, "dd-mmm"), "")</f>
        <v/>
      </c>
      <c r="BF39" s="84" t="str">
        <f aca="false">IF(INT(BF$3)=INT($C39), TEXT($C39, "dd-mmm"), "")</f>
        <v/>
      </c>
      <c r="BG39" s="84" t="str">
        <f aca="false">IF(INT(BG$3)=INT($C39), TEXT($C39, "dd-mmm"), "")</f>
        <v/>
      </c>
      <c r="BH39" s="84" t="str">
        <f aca="false">IF(INT(BH$3)=INT($C39), TEXT($C39, "dd-mmm"), "")</f>
        <v/>
      </c>
      <c r="BI39" s="84" t="str">
        <f aca="false">IF(INT(BI$3)=INT($C39), TEXT($C39, "dd-mmm"), "")</f>
        <v/>
      </c>
      <c r="BJ39" s="84" t="str">
        <f aca="false">IF(INT(BJ$3)=INT($C39), TEXT($C39, "dd-mmm"), "")</f>
        <v/>
      </c>
      <c r="BK39" s="84" t="str">
        <f aca="false">IF(INT(BK$3)=INT($C39), TEXT($C39, "dd-mmm"), "")</f>
        <v/>
      </c>
      <c r="BL39" s="84" t="str">
        <f aca="false">IF(INT(BL$3)=INT($C39), TEXT($C39, "dd-mmm"), "")</f>
        <v/>
      </c>
      <c r="BM39" s="84" t="str">
        <f aca="false">IF(INT(BM$3)=INT($C39), TEXT($C39, "dd-mmm"), "")</f>
        <v/>
      </c>
      <c r="BN39" s="84" t="str">
        <f aca="false">IF(INT(BN$3)=INT($C39), TEXT($C39, "dd-mmm"), "")</f>
        <v/>
      </c>
    </row>
    <row r="40" customFormat="false" ht="15" hidden="false" customHeight="true" outlineLevel="0" collapsed="false">
      <c r="A40" s="4" t="str">
        <f aca="false">Machine_List!A40</f>
        <v>EDM</v>
      </c>
      <c r="B40" s="4" t="str">
        <f aca="false">Machine_List!B40</f>
        <v>EDM-MC-21</v>
      </c>
      <c r="C40" s="12" t="n">
        <f aca="false">Machine_List!C40</f>
        <v>46476</v>
      </c>
      <c r="D40" s="4" t="n">
        <f aca="false">Machine_List!D40</f>
        <v>6</v>
      </c>
      <c r="E40" s="4" t="n">
        <f aca="true">C40-TODAY()</f>
        <v>358</v>
      </c>
      <c r="F40" s="4" t="str">
        <f aca="false">IF(E40&lt;0,"OVERDUE",IF(E40&lt;=5,"DUE SOON","OK"))</f>
        <v>OK</v>
      </c>
      <c r="G40" s="84" t="str">
        <f aca="false">IF(INT(G$3)=INT($C40), TEXT($C40, "dd-mmm"), "")</f>
        <v/>
      </c>
      <c r="H40" s="84" t="str">
        <f aca="false">IF(INT(H$3)=INT($C40), TEXT($C40, "dd-mmm"), "")</f>
        <v/>
      </c>
      <c r="I40" s="84" t="str">
        <f aca="false">IF(INT(I$3)=INT($C40), TEXT($C40, "dd-mmm"), "")</f>
        <v/>
      </c>
      <c r="J40" s="84" t="str">
        <f aca="false">IF(INT(J$3)=INT($C40), TEXT($C40, "dd-mmm"), "")</f>
        <v/>
      </c>
      <c r="K40" s="84" t="str">
        <f aca="false">IF(INT(K$3)=INT($C40), TEXT($C40, "dd-mmm"), "")</f>
        <v/>
      </c>
      <c r="L40" s="84" t="str">
        <f aca="false">IF(INT(L$3)=INT($C40), TEXT($C40, "dd-mmm"), "")</f>
        <v/>
      </c>
      <c r="M40" s="84" t="str">
        <f aca="false">IF(INT(M$3)=INT($C40), TEXT($C40, "dd-mmm"), "")</f>
        <v/>
      </c>
      <c r="N40" s="84" t="str">
        <f aca="false">IF(INT(N$3)=INT($C40), TEXT($C40, "dd-mmm"), "")</f>
        <v/>
      </c>
      <c r="O40" s="84" t="str">
        <f aca="false">IF(INT(O$3)=INT($C40), TEXT($C40, "dd-mmm"), "")</f>
        <v/>
      </c>
      <c r="P40" s="84" t="str">
        <f aca="false">IF(INT(P$3)=INT($C40), TEXT($C40, "dd-mmm"), "")</f>
        <v/>
      </c>
      <c r="Q40" s="84" t="str">
        <f aca="false">IF(INT(Q$3)=INT($C40), TEXT($C40, "dd-mmm"), "")</f>
        <v/>
      </c>
      <c r="R40" s="84" t="str">
        <f aca="false">IF(INT(R$3)=INT($C40), TEXT($C40, "dd-mmm"), "")</f>
        <v/>
      </c>
      <c r="S40" s="84" t="str">
        <f aca="false">IF(INT(S$3)=INT($C40), TEXT($C40, "dd-mmm"), "")</f>
        <v/>
      </c>
      <c r="T40" s="84" t="str">
        <f aca="false">IF(INT(T$3)=INT($C40), TEXT($C40, "dd-mmm"), "")</f>
        <v/>
      </c>
      <c r="U40" s="84" t="str">
        <f aca="false">IF(INT(U$3)=INT($C40), TEXT($C40, "dd-mmm"), "")</f>
        <v/>
      </c>
      <c r="V40" s="84" t="str">
        <f aca="false">IF(INT(V$3)=INT($C40), TEXT($C40, "dd-mmm"), "")</f>
        <v/>
      </c>
      <c r="W40" s="84" t="str">
        <f aca="false">IF(INT(W$3)=INT($C40), TEXT($C40, "dd-mmm"), "")</f>
        <v/>
      </c>
      <c r="X40" s="84" t="str">
        <f aca="false">IF(INT(X$3)=INT($C40), TEXT($C40, "dd-mmm"), "")</f>
        <v/>
      </c>
      <c r="Y40" s="84" t="str">
        <f aca="false">IF(INT(Y$3)=INT($C40), TEXT($C40, "dd-mmm"), "")</f>
        <v/>
      </c>
      <c r="Z40" s="84" t="str">
        <f aca="false">IF(INT(Z$3)=INT($C40), TEXT($C40, "dd-mmm"), "")</f>
        <v/>
      </c>
      <c r="AA40" s="84" t="str">
        <f aca="false">IF(INT(AA$3)=INT($C40), TEXT($C40, "dd-mmm"), "")</f>
        <v/>
      </c>
      <c r="AB40" s="84" t="str">
        <f aca="false">IF(INT(AB$3)=INT($C40), TEXT($C40, "dd-mmm"), "")</f>
        <v/>
      </c>
      <c r="AC40" s="84" t="str">
        <f aca="false">IF(INT(AC$3)=INT($C40), TEXT($C40, "dd-mmm"), "")</f>
        <v/>
      </c>
      <c r="AD40" s="84" t="str">
        <f aca="false">IF(INT(AD$3)=INT($C40), TEXT($C40, "dd-mmm"), "")</f>
        <v/>
      </c>
      <c r="AE40" s="84" t="str">
        <f aca="false">IF(INT(AE$3)=INT($C40), TEXT($C40, "dd-mmm"), "")</f>
        <v/>
      </c>
      <c r="AF40" s="84" t="str">
        <f aca="false">IF(INT(AF$3)=INT($C40), TEXT($C40, "dd-mmm"), "")</f>
        <v/>
      </c>
      <c r="AG40" s="84" t="str">
        <f aca="false">IF(INT(AG$3)=INT($C40), TEXT($C40, "dd-mmm"), "")</f>
        <v/>
      </c>
      <c r="AH40" s="84" t="str">
        <f aca="false">IF(INT(AH$3)=INT($C40), TEXT($C40, "dd-mmm"), "")</f>
        <v/>
      </c>
      <c r="AI40" s="84" t="str">
        <f aca="false">IF(INT(AI$3)=INT($C40), TEXT($C40, "dd-mmm"), "")</f>
        <v/>
      </c>
      <c r="AJ40" s="84" t="str">
        <f aca="false">IF(INT(AJ$3)=INT($C40), TEXT($C40, "dd-mmm"), "")</f>
        <v/>
      </c>
      <c r="AK40" s="84" t="str">
        <f aca="false">IF(INT(AK$3)=INT($C40), TEXT($C40, "dd-mmm"), "")</f>
        <v/>
      </c>
      <c r="AL40" s="84" t="str">
        <f aca="false">IF(INT(AL$3)=INT($C40), TEXT($C40, "dd-mmm"), "")</f>
        <v/>
      </c>
      <c r="AM40" s="84" t="str">
        <f aca="false">IF(INT(AM$3)=INT($C40), TEXT($C40, "dd-mmm"), "")</f>
        <v/>
      </c>
      <c r="AN40" s="84" t="str">
        <f aca="false">IF(INT(AN$3)=INT($C40), TEXT($C40, "dd-mmm"), "")</f>
        <v/>
      </c>
      <c r="AO40" s="84" t="str">
        <f aca="false">IF(INT(AO$3)=INT($C40), TEXT($C40, "dd-mmm"), "")</f>
        <v/>
      </c>
      <c r="AP40" s="84" t="str">
        <f aca="false">IF(INT(AP$3)=INT($C40), TEXT($C40, "dd-mmm"), "")</f>
        <v/>
      </c>
      <c r="AQ40" s="84" t="str">
        <f aca="false">IF(INT(AQ$3)=INT($C40), TEXT($C40, "dd-mmm"), "")</f>
        <v/>
      </c>
      <c r="AR40" s="84" t="str">
        <f aca="false">IF(INT(AR$3)=INT($C40), TEXT($C40, "dd-mmm"), "")</f>
        <v/>
      </c>
      <c r="AS40" s="84" t="str">
        <f aca="false">IF(INT(AS$3)=INT($C40), TEXT($C40, "dd-mmm"), "")</f>
        <v/>
      </c>
      <c r="AT40" s="84" t="str">
        <f aca="false">IF(INT(AT$3)=INT($C40), TEXT($C40, "dd-mmm"), "")</f>
        <v/>
      </c>
      <c r="AU40" s="84" t="str">
        <f aca="false">IF(INT(AU$3)=INT($C40), TEXT($C40, "dd-mmm"), "")</f>
        <v/>
      </c>
      <c r="AV40" s="84" t="str">
        <f aca="false">IF(INT(AV$3)=INT($C40), TEXT($C40, "dd-mmm"), "")</f>
        <v/>
      </c>
      <c r="AW40" s="84" t="str">
        <f aca="false">IF(INT(AW$3)=INT($C40), TEXT($C40, "dd-mmm"), "")</f>
        <v/>
      </c>
      <c r="AX40" s="84" t="str">
        <f aca="false">IF(INT(AX$3)=INT($C40), TEXT($C40, "dd-mmm"), "")</f>
        <v/>
      </c>
      <c r="AY40" s="84" t="str">
        <f aca="false">IF(INT(AY$3)=INT($C40), TEXT($C40, "dd-mmm"), "")</f>
        <v/>
      </c>
      <c r="AZ40" s="84" t="str">
        <f aca="false">IF(INT(AZ$3)=INT($C40), TEXT($C40, "dd-mmm"), "")</f>
        <v/>
      </c>
      <c r="BA40" s="84" t="str">
        <f aca="false">IF(INT(BA$3)=INT($C40), TEXT($C40, "dd-mmm"), "")</f>
        <v/>
      </c>
      <c r="BB40" s="84" t="str">
        <f aca="false">IF(INT(BB$3)=INT($C40), TEXT($C40, "dd-mmm"), "")</f>
        <v/>
      </c>
      <c r="BC40" s="84" t="str">
        <f aca="false">IF(INT(BC$3)=INT($C40), TEXT($C40, "dd-mmm"), "")</f>
        <v/>
      </c>
      <c r="BD40" s="84" t="str">
        <f aca="false">IF(INT(BD$3)=INT($C40), TEXT($C40, "dd-mmm"), "")</f>
        <v/>
      </c>
      <c r="BE40" s="84" t="str">
        <f aca="false">IF(INT(BE$3)=INT($C40), TEXT($C40, "dd-mmm"), "")</f>
        <v/>
      </c>
      <c r="BF40" s="84" t="str">
        <f aca="false">IF(INT(BF$3)=INT($C40), TEXT($C40, "dd-mmm"), "")</f>
        <v/>
      </c>
      <c r="BG40" s="84" t="str">
        <f aca="false">IF(INT(BG$3)=INT($C40), TEXT($C40, "dd-mmm"), "")</f>
        <v/>
      </c>
      <c r="BH40" s="84" t="str">
        <f aca="false">IF(INT(BH$3)=INT($C40), TEXT($C40, "dd-mmm"), "")</f>
        <v/>
      </c>
      <c r="BI40" s="84" t="str">
        <f aca="false">IF(INT(BI$3)=INT($C40), TEXT($C40, "dd-mmm"), "")</f>
        <v/>
      </c>
      <c r="BJ40" s="84" t="str">
        <f aca="false">IF(INT(BJ$3)=INT($C40), TEXT($C40, "dd-mmm"), "")</f>
        <v/>
      </c>
      <c r="BK40" s="84" t="str">
        <f aca="false">IF(INT(BK$3)=INT($C40), TEXT($C40, "dd-mmm"), "")</f>
        <v/>
      </c>
      <c r="BL40" s="84" t="str">
        <f aca="false">IF(INT(BL$3)=INT($C40), TEXT($C40, "dd-mmm"), "")</f>
        <v/>
      </c>
      <c r="BM40" s="84" t="str">
        <f aca="false">IF(INT(BM$3)=INT($C40), TEXT($C40, "dd-mmm"), "")</f>
        <v/>
      </c>
      <c r="BN40" s="84" t="str">
        <f aca="false">IF(INT(BN$3)=INT($C40), TEXT($C40, "dd-mmm"), "")</f>
        <v/>
      </c>
    </row>
    <row r="41" customFormat="false" ht="15" hidden="false" customHeight="true" outlineLevel="0" collapsed="false">
      <c r="A41" s="4" t="str">
        <f aca="false">Machine_List!A41</f>
        <v>EDM</v>
      </c>
      <c r="B41" s="4" t="str">
        <f aca="false">Machine_List!B41</f>
        <v>EDM-MC-22</v>
      </c>
      <c r="C41" s="12" t="n">
        <f aca="false">Machine_List!C41</f>
        <v>46239</v>
      </c>
      <c r="D41" s="4" t="n">
        <f aca="false">Machine_List!D41</f>
        <v>6</v>
      </c>
      <c r="E41" s="4" t="n">
        <f aca="true">C41-TODAY()</f>
        <v>121</v>
      </c>
      <c r="F41" s="4" t="str">
        <f aca="false">IF(E41&lt;0,"OVERDUE",IF(E41&lt;=5,"DUE SOON","OK"))</f>
        <v>OK</v>
      </c>
      <c r="G41" s="84" t="str">
        <f aca="false">IF(INT(G$3)=INT($C41), TEXT($C41, "dd-mmm"), "")</f>
        <v/>
      </c>
      <c r="H41" s="84" t="str">
        <f aca="false">IF(INT(H$3)=INT($C41), TEXT($C41, "dd-mmm"), "")</f>
        <v/>
      </c>
      <c r="I41" s="84" t="str">
        <f aca="false">IF(INT(I$3)=INT($C41), TEXT($C41, "dd-mmm"), "")</f>
        <v/>
      </c>
      <c r="J41" s="84" t="str">
        <f aca="false">IF(INT(J$3)=INT($C41), TEXT($C41, "dd-mmm"), "")</f>
        <v/>
      </c>
      <c r="K41" s="84" t="str">
        <f aca="false">IF(INT(K$3)=INT($C41), TEXT($C41, "dd-mmm"), "")</f>
        <v/>
      </c>
      <c r="L41" s="84" t="str">
        <f aca="false">IF(INT(L$3)=INT($C41), TEXT($C41, "dd-mmm"), "")</f>
        <v/>
      </c>
      <c r="M41" s="84" t="str">
        <f aca="false">IF(INT(M$3)=INT($C41), TEXT($C41, "dd-mmm"), "")</f>
        <v/>
      </c>
      <c r="N41" s="84" t="str">
        <f aca="false">IF(INT(N$3)=INT($C41), TEXT($C41, "dd-mmm"), "")</f>
        <v/>
      </c>
      <c r="O41" s="84" t="str">
        <f aca="false">IF(INT(O$3)=INT($C41), TEXT($C41, "dd-mmm"), "")</f>
        <v/>
      </c>
      <c r="P41" s="84" t="str">
        <f aca="false">IF(INT(P$3)=INT($C41), TEXT($C41, "dd-mmm"), "")</f>
        <v/>
      </c>
      <c r="Q41" s="84" t="str">
        <f aca="false">IF(INT(Q$3)=INT($C41), TEXT($C41, "dd-mmm"), "")</f>
        <v/>
      </c>
      <c r="R41" s="84" t="str">
        <f aca="false">IF(INT(R$3)=INT($C41), TEXT($C41, "dd-mmm"), "")</f>
        <v/>
      </c>
      <c r="S41" s="84" t="str">
        <f aca="false">IF(INT(S$3)=INT($C41), TEXT($C41, "dd-mmm"), "")</f>
        <v/>
      </c>
      <c r="T41" s="84" t="str">
        <f aca="false">IF(INT(T$3)=INT($C41), TEXT($C41, "dd-mmm"), "")</f>
        <v/>
      </c>
      <c r="U41" s="84" t="str">
        <f aca="false">IF(INT(U$3)=INT($C41), TEXT($C41, "dd-mmm"), "")</f>
        <v/>
      </c>
      <c r="V41" s="84" t="str">
        <f aca="false">IF(INT(V$3)=INT($C41), TEXT($C41, "dd-mmm"), "")</f>
        <v/>
      </c>
      <c r="W41" s="84" t="str">
        <f aca="false">IF(INT(W$3)=INT($C41), TEXT($C41, "dd-mmm"), "")</f>
        <v/>
      </c>
      <c r="X41" s="84" t="str">
        <f aca="false">IF(INT(X$3)=INT($C41), TEXT($C41, "dd-mmm"), "")</f>
        <v/>
      </c>
      <c r="Y41" s="84" t="str">
        <f aca="false">IF(INT(Y$3)=INT($C41), TEXT($C41, "dd-mmm"), "")</f>
        <v/>
      </c>
      <c r="Z41" s="84" t="str">
        <f aca="false">IF(INT(Z$3)=INT($C41), TEXT($C41, "dd-mmm"), "")</f>
        <v/>
      </c>
      <c r="AA41" s="84" t="str">
        <f aca="false">IF(INT(AA$3)=INT($C41), TEXT($C41, "dd-mmm"), "")</f>
        <v/>
      </c>
      <c r="AB41" s="84" t="str">
        <f aca="false">IF(INT(AB$3)=INT($C41), TEXT($C41, "dd-mmm"), "")</f>
        <v/>
      </c>
      <c r="AC41" s="84" t="str">
        <f aca="false">IF(INT(AC$3)=INT($C41), TEXT($C41, "dd-mmm"), "")</f>
        <v/>
      </c>
      <c r="AD41" s="84" t="str">
        <f aca="false">IF(INT(AD$3)=INT($C41), TEXT($C41, "dd-mmm"), "")</f>
        <v/>
      </c>
      <c r="AE41" s="84" t="str">
        <f aca="false">IF(INT(AE$3)=INT($C41), TEXT($C41, "dd-mmm"), "")</f>
        <v/>
      </c>
      <c r="AF41" s="84" t="str">
        <f aca="false">IF(INT(AF$3)=INT($C41), TEXT($C41, "dd-mmm"), "")</f>
        <v/>
      </c>
      <c r="AG41" s="84" t="str">
        <f aca="false">IF(INT(AG$3)=INT($C41), TEXT($C41, "dd-mmm"), "")</f>
        <v/>
      </c>
      <c r="AH41" s="84" t="str">
        <f aca="false">IF(INT(AH$3)=INT($C41), TEXT($C41, "dd-mmm"), "")</f>
        <v/>
      </c>
      <c r="AI41" s="84" t="str">
        <f aca="false">IF(INT(AI$3)=INT($C41), TEXT($C41, "dd-mmm"), "")</f>
        <v/>
      </c>
      <c r="AJ41" s="84" t="str">
        <f aca="false">IF(INT(AJ$3)=INT($C41), TEXT($C41, "dd-mmm"), "")</f>
        <v/>
      </c>
      <c r="AK41" s="84" t="str">
        <f aca="false">IF(INT(AK$3)=INT($C41), TEXT($C41, "dd-mmm"), "")</f>
        <v/>
      </c>
      <c r="AL41" s="84" t="str">
        <f aca="false">IF(INT(AL$3)=INT($C41), TEXT($C41, "dd-mmm"), "")</f>
        <v/>
      </c>
      <c r="AM41" s="84" t="str">
        <f aca="false">IF(INT(AM$3)=INT($C41), TEXT($C41, "dd-mmm"), "")</f>
        <v/>
      </c>
      <c r="AN41" s="84" t="str">
        <f aca="false">IF(INT(AN$3)=INT($C41), TEXT($C41, "dd-mmm"), "")</f>
        <v/>
      </c>
      <c r="AO41" s="84" t="str">
        <f aca="false">IF(INT(AO$3)=INT($C41), TEXT($C41, "dd-mmm"), "")</f>
        <v/>
      </c>
      <c r="AP41" s="84" t="str">
        <f aca="false">IF(INT(AP$3)=INT($C41), TEXT($C41, "dd-mmm"), "")</f>
        <v/>
      </c>
      <c r="AQ41" s="84" t="str">
        <f aca="false">IF(INT(AQ$3)=INT($C41), TEXT($C41, "dd-mmm"), "")</f>
        <v/>
      </c>
      <c r="AR41" s="84" t="str">
        <f aca="false">IF(INT(AR$3)=INT($C41), TEXT($C41, "dd-mmm"), "")</f>
        <v/>
      </c>
      <c r="AS41" s="84" t="str">
        <f aca="false">IF(INT(AS$3)=INT($C41), TEXT($C41, "dd-mmm"), "")</f>
        <v/>
      </c>
      <c r="AT41" s="84" t="str">
        <f aca="false">IF(INT(AT$3)=INT($C41), TEXT($C41, "dd-mmm"), "")</f>
        <v/>
      </c>
      <c r="AU41" s="84" t="str">
        <f aca="false">IF(INT(AU$3)=INT($C41), TEXT($C41, "dd-mmm"), "")</f>
        <v/>
      </c>
      <c r="AV41" s="84" t="str">
        <f aca="false">IF(INT(AV$3)=INT($C41), TEXT($C41, "dd-mmm"), "")</f>
        <v/>
      </c>
      <c r="AW41" s="84" t="str">
        <f aca="false">IF(INT(AW$3)=INT($C41), TEXT($C41, "dd-mmm"), "")</f>
        <v/>
      </c>
      <c r="AX41" s="84" t="str">
        <f aca="false">IF(INT(AX$3)=INT($C41), TEXT($C41, "dd-mmm"), "")</f>
        <v/>
      </c>
      <c r="AY41" s="84" t="str">
        <f aca="false">IF(INT(AY$3)=INT($C41), TEXT($C41, "dd-mmm"), "")</f>
        <v/>
      </c>
      <c r="AZ41" s="84" t="str">
        <f aca="false">IF(INT(AZ$3)=INT($C41), TEXT($C41, "dd-mmm"), "")</f>
        <v/>
      </c>
      <c r="BA41" s="84" t="str">
        <f aca="false">IF(INT(BA$3)=INT($C41), TEXT($C41, "dd-mmm"), "")</f>
        <v/>
      </c>
      <c r="BB41" s="84" t="str">
        <f aca="false">IF(INT(BB$3)=INT($C41), TEXT($C41, "dd-mmm"), "")</f>
        <v/>
      </c>
      <c r="BC41" s="84" t="str">
        <f aca="false">IF(INT(BC$3)=INT($C41), TEXT($C41, "dd-mmm"), "")</f>
        <v/>
      </c>
      <c r="BD41" s="84" t="str">
        <f aca="false">IF(INT(BD$3)=INT($C41), TEXT($C41, "dd-mmm"), "")</f>
        <v/>
      </c>
      <c r="BE41" s="84" t="str">
        <f aca="false">IF(INT(BE$3)=INT($C41), TEXT($C41, "dd-mmm"), "")</f>
        <v/>
      </c>
      <c r="BF41" s="84" t="str">
        <f aca="false">IF(INT(BF$3)=INT($C41), TEXT($C41, "dd-mmm"), "")</f>
        <v/>
      </c>
      <c r="BG41" s="84" t="str">
        <f aca="false">IF(INT(BG$3)=INT($C41), TEXT($C41, "dd-mmm"), "")</f>
        <v/>
      </c>
      <c r="BH41" s="84" t="str">
        <f aca="false">IF(INT(BH$3)=INT($C41), TEXT($C41, "dd-mmm"), "")</f>
        <v/>
      </c>
      <c r="BI41" s="84" t="str">
        <f aca="false">IF(INT(BI$3)=INT($C41), TEXT($C41, "dd-mmm"), "")</f>
        <v/>
      </c>
      <c r="BJ41" s="84" t="str">
        <f aca="false">IF(INT(BJ$3)=INT($C41), TEXT($C41, "dd-mmm"), "")</f>
        <v/>
      </c>
      <c r="BK41" s="84" t="str">
        <f aca="false">IF(INT(BK$3)=INT($C41), TEXT($C41, "dd-mmm"), "")</f>
        <v/>
      </c>
      <c r="BL41" s="84" t="str">
        <f aca="false">IF(INT(BL$3)=INT($C41), TEXT($C41, "dd-mmm"), "")</f>
        <v/>
      </c>
      <c r="BM41" s="84" t="str">
        <f aca="false">IF(INT(BM$3)=INT($C41), TEXT($C41, "dd-mmm"), "")</f>
        <v/>
      </c>
      <c r="BN41" s="84" t="str">
        <f aca="false">IF(INT(BN$3)=INT($C41), TEXT($C41, "dd-mmm"), "")</f>
        <v/>
      </c>
    </row>
    <row r="42" customFormat="false" ht="15" hidden="false" customHeight="true" outlineLevel="0" collapsed="false">
      <c r="A42" s="4" t="str">
        <f aca="false">Machine_List!A42</f>
        <v>EDM</v>
      </c>
      <c r="B42" s="4" t="str">
        <f aca="false">Machine_List!B42</f>
        <v>EDM-MC-23</v>
      </c>
      <c r="C42" s="12" t="n">
        <f aca="false">Machine_List!C42</f>
        <v>46324</v>
      </c>
      <c r="D42" s="4" t="n">
        <f aca="false">Machine_List!D42</f>
        <v>6</v>
      </c>
      <c r="E42" s="4" t="n">
        <f aca="true">C42-TODAY()</f>
        <v>206</v>
      </c>
      <c r="F42" s="4" t="str">
        <f aca="false">IF(E42&lt;0,"OVERDUE",IF(E42&lt;=5,"DUE SOON","OK"))</f>
        <v>OK</v>
      </c>
      <c r="G42" s="84" t="str">
        <f aca="false">IF(INT(G$3)=INT($C42), TEXT($C42, "dd-mmm"), "")</f>
        <v/>
      </c>
      <c r="H42" s="84" t="str">
        <f aca="false">IF(INT(H$3)=INT($C42), TEXT($C42, "dd-mmm"), "")</f>
        <v/>
      </c>
      <c r="I42" s="84" t="str">
        <f aca="false">IF(INT(I$3)=INT($C42), TEXT($C42, "dd-mmm"), "")</f>
        <v/>
      </c>
      <c r="J42" s="84" t="str">
        <f aca="false">IF(INT(J$3)=INT($C42), TEXT($C42, "dd-mmm"), "")</f>
        <v/>
      </c>
      <c r="K42" s="84" t="str">
        <f aca="false">IF(INT(K$3)=INT($C42), TEXT($C42, "dd-mmm"), "")</f>
        <v/>
      </c>
      <c r="L42" s="84" t="str">
        <f aca="false">IF(INT(L$3)=INT($C42), TEXT($C42, "dd-mmm"), "")</f>
        <v/>
      </c>
      <c r="M42" s="84" t="str">
        <f aca="false">IF(INT(M$3)=INT($C42), TEXT($C42, "dd-mmm"), "")</f>
        <v/>
      </c>
      <c r="N42" s="84" t="str">
        <f aca="false">IF(INT(N$3)=INT($C42), TEXT($C42, "dd-mmm"), "")</f>
        <v/>
      </c>
      <c r="O42" s="84" t="str">
        <f aca="false">IF(INT(O$3)=INT($C42), TEXT($C42, "dd-mmm"), "")</f>
        <v/>
      </c>
      <c r="P42" s="84" t="str">
        <f aca="false">IF(INT(P$3)=INT($C42), TEXT($C42, "dd-mmm"), "")</f>
        <v/>
      </c>
      <c r="Q42" s="84" t="str">
        <f aca="false">IF(INT(Q$3)=INT($C42), TEXT($C42, "dd-mmm"), "")</f>
        <v/>
      </c>
      <c r="R42" s="84" t="str">
        <f aca="false">IF(INT(R$3)=INT($C42), TEXT($C42, "dd-mmm"), "")</f>
        <v/>
      </c>
      <c r="S42" s="84" t="str">
        <f aca="false">IF(INT(S$3)=INT($C42), TEXT($C42, "dd-mmm"), "")</f>
        <v/>
      </c>
      <c r="T42" s="84" t="str">
        <f aca="false">IF(INT(T$3)=INT($C42), TEXT($C42, "dd-mmm"), "")</f>
        <v/>
      </c>
      <c r="U42" s="84" t="str">
        <f aca="false">IF(INT(U$3)=INT($C42), TEXT($C42, "dd-mmm"), "")</f>
        <v/>
      </c>
      <c r="V42" s="84" t="str">
        <f aca="false">IF(INT(V$3)=INT($C42), TEXT($C42, "dd-mmm"), "")</f>
        <v/>
      </c>
      <c r="W42" s="84" t="str">
        <f aca="false">IF(INT(W$3)=INT($C42), TEXT($C42, "dd-mmm"), "")</f>
        <v/>
      </c>
      <c r="X42" s="84" t="str">
        <f aca="false">IF(INT(X$3)=INT($C42), TEXT($C42, "dd-mmm"), "")</f>
        <v/>
      </c>
      <c r="Y42" s="84" t="str">
        <f aca="false">IF(INT(Y$3)=INT($C42), TEXT($C42, "dd-mmm"), "")</f>
        <v/>
      </c>
      <c r="Z42" s="84" t="str">
        <f aca="false">IF(INT(Z$3)=INT($C42), TEXT($C42, "dd-mmm"), "")</f>
        <v/>
      </c>
      <c r="AA42" s="84" t="str">
        <f aca="false">IF(INT(AA$3)=INT($C42), TEXT($C42, "dd-mmm"), "")</f>
        <v/>
      </c>
      <c r="AB42" s="84" t="str">
        <f aca="false">IF(INT(AB$3)=INT($C42), TEXT($C42, "dd-mmm"), "")</f>
        <v/>
      </c>
      <c r="AC42" s="84" t="str">
        <f aca="false">IF(INT(AC$3)=INT($C42), TEXT($C42, "dd-mmm"), "")</f>
        <v/>
      </c>
      <c r="AD42" s="84" t="str">
        <f aca="false">IF(INT(AD$3)=INT($C42), TEXT($C42, "dd-mmm"), "")</f>
        <v/>
      </c>
      <c r="AE42" s="84" t="str">
        <f aca="false">IF(INT(AE$3)=INT($C42), TEXT($C42, "dd-mmm"), "")</f>
        <v/>
      </c>
      <c r="AF42" s="84" t="str">
        <f aca="false">IF(INT(AF$3)=INT($C42), TEXT($C42, "dd-mmm"), "")</f>
        <v/>
      </c>
      <c r="AG42" s="84" t="str">
        <f aca="false">IF(INT(AG$3)=INT($C42), TEXT($C42, "dd-mmm"), "")</f>
        <v/>
      </c>
      <c r="AH42" s="84" t="str">
        <f aca="false">IF(INT(AH$3)=INT($C42), TEXT($C42, "dd-mmm"), "")</f>
        <v/>
      </c>
      <c r="AI42" s="84" t="str">
        <f aca="false">IF(INT(AI$3)=INT($C42), TEXT($C42, "dd-mmm"), "")</f>
        <v/>
      </c>
      <c r="AJ42" s="84" t="str">
        <f aca="false">IF(INT(AJ$3)=INT($C42), TEXT($C42, "dd-mmm"), "")</f>
        <v/>
      </c>
      <c r="AK42" s="84" t="str">
        <f aca="false">IF(INT(AK$3)=INT($C42), TEXT($C42, "dd-mmm"), "")</f>
        <v/>
      </c>
      <c r="AL42" s="84" t="str">
        <f aca="false">IF(INT(AL$3)=INT($C42), TEXT($C42, "dd-mmm"), "")</f>
        <v/>
      </c>
      <c r="AM42" s="84" t="str">
        <f aca="false">IF(INT(AM$3)=INT($C42), TEXT($C42, "dd-mmm"), "")</f>
        <v/>
      </c>
      <c r="AN42" s="84" t="str">
        <f aca="false">IF(INT(AN$3)=INT($C42), TEXT($C42, "dd-mmm"), "")</f>
        <v/>
      </c>
      <c r="AO42" s="84" t="str">
        <f aca="false">IF(INT(AO$3)=INT($C42), TEXT($C42, "dd-mmm"), "")</f>
        <v/>
      </c>
      <c r="AP42" s="84" t="str">
        <f aca="false">IF(INT(AP$3)=INT($C42), TEXT($C42, "dd-mmm"), "")</f>
        <v/>
      </c>
      <c r="AQ42" s="84" t="str">
        <f aca="false">IF(INT(AQ$3)=INT($C42), TEXT($C42, "dd-mmm"), "")</f>
        <v/>
      </c>
      <c r="AR42" s="84" t="str">
        <f aca="false">IF(INT(AR$3)=INT($C42), TEXT($C42, "dd-mmm"), "")</f>
        <v/>
      </c>
      <c r="AS42" s="84" t="str">
        <f aca="false">IF(INT(AS$3)=INT($C42), TEXT($C42, "dd-mmm"), "")</f>
        <v/>
      </c>
      <c r="AT42" s="84" t="str">
        <f aca="false">IF(INT(AT$3)=INT($C42), TEXT($C42, "dd-mmm"), "")</f>
        <v/>
      </c>
      <c r="AU42" s="84" t="str">
        <f aca="false">IF(INT(AU$3)=INT($C42), TEXT($C42, "dd-mmm"), "")</f>
        <v/>
      </c>
      <c r="AV42" s="84" t="str">
        <f aca="false">IF(INT(AV$3)=INT($C42), TEXT($C42, "dd-mmm"), "")</f>
        <v/>
      </c>
      <c r="AW42" s="84" t="str">
        <f aca="false">IF(INT(AW$3)=INT($C42), TEXT($C42, "dd-mmm"), "")</f>
        <v/>
      </c>
      <c r="AX42" s="84" t="str">
        <f aca="false">IF(INT(AX$3)=INT($C42), TEXT($C42, "dd-mmm"), "")</f>
        <v/>
      </c>
      <c r="AY42" s="84" t="str">
        <f aca="false">IF(INT(AY$3)=INT($C42), TEXT($C42, "dd-mmm"), "")</f>
        <v/>
      </c>
      <c r="AZ42" s="84" t="str">
        <f aca="false">IF(INT(AZ$3)=INT($C42), TEXT($C42, "dd-mmm"), "")</f>
        <v/>
      </c>
      <c r="BA42" s="84" t="str">
        <f aca="false">IF(INT(BA$3)=INT($C42), TEXT($C42, "dd-mmm"), "")</f>
        <v/>
      </c>
      <c r="BB42" s="84" t="str">
        <f aca="false">IF(INT(BB$3)=INT($C42), TEXT($C42, "dd-mmm"), "")</f>
        <v/>
      </c>
      <c r="BC42" s="84" t="str">
        <f aca="false">IF(INT(BC$3)=INT($C42), TEXT($C42, "dd-mmm"), "")</f>
        <v/>
      </c>
      <c r="BD42" s="84" t="str">
        <f aca="false">IF(INT(BD$3)=INT($C42), TEXT($C42, "dd-mmm"), "")</f>
        <v/>
      </c>
      <c r="BE42" s="84" t="str">
        <f aca="false">IF(INT(BE$3)=INT($C42), TEXT($C42, "dd-mmm"), "")</f>
        <v/>
      </c>
      <c r="BF42" s="84" t="str">
        <f aca="false">IF(INT(BF$3)=INT($C42), TEXT($C42, "dd-mmm"), "")</f>
        <v/>
      </c>
      <c r="BG42" s="84" t="str">
        <f aca="false">IF(INT(BG$3)=INT($C42), TEXT($C42, "dd-mmm"), "")</f>
        <v/>
      </c>
      <c r="BH42" s="84" t="str">
        <f aca="false">IF(INT(BH$3)=INT($C42), TEXT($C42, "dd-mmm"), "")</f>
        <v/>
      </c>
      <c r="BI42" s="84" t="str">
        <f aca="false">IF(INT(BI$3)=INT($C42), TEXT($C42, "dd-mmm"), "")</f>
        <v/>
      </c>
      <c r="BJ42" s="84" t="str">
        <f aca="false">IF(INT(BJ$3)=INT($C42), TEXT($C42, "dd-mmm"), "")</f>
        <v/>
      </c>
      <c r="BK42" s="84" t="str">
        <f aca="false">IF(INT(BK$3)=INT($C42), TEXT($C42, "dd-mmm"), "")</f>
        <v/>
      </c>
      <c r="BL42" s="84" t="str">
        <f aca="false">IF(INT(BL$3)=INT($C42), TEXT($C42, "dd-mmm"), "")</f>
        <v/>
      </c>
      <c r="BM42" s="84" t="str">
        <f aca="false">IF(INT(BM$3)=INT($C42), TEXT($C42, "dd-mmm"), "")</f>
        <v/>
      </c>
      <c r="BN42" s="84" t="str">
        <f aca="false">IF(INT(BN$3)=INT($C42), TEXT($C42, "dd-mmm"), "")</f>
        <v/>
      </c>
    </row>
    <row r="43" customFormat="false" ht="15" hidden="false" customHeight="true" outlineLevel="0" collapsed="false">
      <c r="A43" s="4" t="str">
        <f aca="false">Machine_List!A43</f>
        <v>EDM</v>
      </c>
      <c r="B43" s="4" t="str">
        <f aca="false">Machine_List!B43</f>
        <v>EDM-MC-24</v>
      </c>
      <c r="C43" s="12" t="n">
        <f aca="false">Machine_List!C43</f>
        <v>46097</v>
      </c>
      <c r="D43" s="4" t="n">
        <f aca="false">Machine_List!D43</f>
        <v>6</v>
      </c>
      <c r="E43" s="4" t="n">
        <f aca="true">C43-TODAY()</f>
        <v>-21</v>
      </c>
      <c r="F43" s="4" t="str">
        <f aca="false">IF(E43&lt;0,"OVERDUE",IF(E43&lt;=5,"DUE SOON","OK"))</f>
        <v>OVERDUE</v>
      </c>
      <c r="G43" s="84" t="str">
        <f aca="false">IF(INT(G$3)=INT($C43), TEXT($C43, "dd-mmm"), "")</f>
        <v/>
      </c>
      <c r="H43" s="84" t="str">
        <f aca="false">IF(INT(H$3)=INT($C43), TEXT($C43, "dd-mmm"), "")</f>
        <v/>
      </c>
      <c r="I43" s="84" t="str">
        <f aca="false">IF(INT(I$3)=INT($C43), TEXT($C43, "dd-mmm"), "")</f>
        <v/>
      </c>
      <c r="J43" s="84" t="str">
        <f aca="false">IF(INT(J$3)=INT($C43), TEXT($C43, "dd-mmm"), "")</f>
        <v/>
      </c>
      <c r="K43" s="84" t="str">
        <f aca="false">IF(INT(K$3)=INT($C43), TEXT($C43, "dd-mmm"), "")</f>
        <v/>
      </c>
      <c r="L43" s="84" t="str">
        <f aca="false">IF(INT(L$3)=INT($C43), TEXT($C43, "dd-mmm"), "")</f>
        <v/>
      </c>
      <c r="M43" s="84" t="str">
        <f aca="false">IF(INT(M$3)=INT($C43), TEXT($C43, "dd-mmm"), "")</f>
        <v/>
      </c>
      <c r="N43" s="84" t="str">
        <f aca="false">IF(INT(N$3)=INT($C43), TEXT($C43, "dd-mmm"), "")</f>
        <v/>
      </c>
      <c r="O43" s="84" t="str">
        <f aca="false">IF(INT(O$3)=INT($C43), TEXT($C43, "dd-mmm"), "")</f>
        <v/>
      </c>
      <c r="P43" s="84" t="str">
        <f aca="false">IF(INT(P$3)=INT($C43), TEXT($C43, "dd-mmm"), "")</f>
        <v/>
      </c>
      <c r="Q43" s="84" t="str">
        <f aca="false">IF(INT(Q$3)=INT($C43), TEXT($C43, "dd-mmm"), "")</f>
        <v/>
      </c>
      <c r="R43" s="84" t="str">
        <f aca="false">IF(INT(R$3)=INT($C43), TEXT($C43, "dd-mmm"), "")</f>
        <v/>
      </c>
      <c r="S43" s="84" t="str">
        <f aca="false">IF(INT(S$3)=INT($C43), TEXT($C43, "dd-mmm"), "")</f>
        <v/>
      </c>
      <c r="T43" s="84" t="str">
        <f aca="false">IF(INT(T$3)=INT($C43), TEXT($C43, "dd-mmm"), "")</f>
        <v/>
      </c>
      <c r="U43" s="84" t="str">
        <f aca="false">IF(INT(U$3)=INT($C43), TEXT($C43, "dd-mmm"), "")</f>
        <v/>
      </c>
      <c r="V43" s="84" t="str">
        <f aca="false">IF(INT(V$3)=INT($C43), TEXT($C43, "dd-mmm"), "")</f>
        <v/>
      </c>
      <c r="W43" s="84" t="str">
        <f aca="false">IF(INT(W$3)=INT($C43), TEXT($C43, "dd-mmm"), "")</f>
        <v/>
      </c>
      <c r="X43" s="84" t="str">
        <f aca="false">IF(INT(X$3)=INT($C43), TEXT($C43, "dd-mmm"), "")</f>
        <v/>
      </c>
      <c r="Y43" s="84" t="str">
        <f aca="false">IF(INT(Y$3)=INT($C43), TEXT($C43, "dd-mmm"), "")</f>
        <v/>
      </c>
      <c r="Z43" s="84" t="str">
        <f aca="false">IF(INT(Z$3)=INT($C43), TEXT($C43, "dd-mmm"), "")</f>
        <v/>
      </c>
      <c r="AA43" s="84" t="str">
        <f aca="false">IF(INT(AA$3)=INT($C43), TEXT($C43, "dd-mmm"), "")</f>
        <v/>
      </c>
      <c r="AB43" s="84" t="str">
        <f aca="false">IF(INT(AB$3)=INT($C43), TEXT($C43, "dd-mmm"), "")</f>
        <v/>
      </c>
      <c r="AC43" s="84" t="str">
        <f aca="false">IF(INT(AC$3)=INT($C43), TEXT($C43, "dd-mmm"), "")</f>
        <v/>
      </c>
      <c r="AD43" s="84" t="str">
        <f aca="false">IF(INT(AD$3)=INT($C43), TEXT($C43, "dd-mmm"), "")</f>
        <v/>
      </c>
      <c r="AE43" s="84" t="str">
        <f aca="false">IF(INT(AE$3)=INT($C43), TEXT($C43, "dd-mmm"), "")</f>
        <v/>
      </c>
      <c r="AF43" s="84" t="str">
        <f aca="false">IF(INT(AF$3)=INT($C43), TEXT($C43, "dd-mmm"), "")</f>
        <v/>
      </c>
      <c r="AG43" s="84" t="str">
        <f aca="false">IF(INT(AG$3)=INT($C43), TEXT($C43, "dd-mmm"), "")</f>
        <v/>
      </c>
      <c r="AH43" s="84" t="str">
        <f aca="false">IF(INT(AH$3)=INT($C43), TEXT($C43, "dd-mmm"), "")</f>
        <v/>
      </c>
      <c r="AI43" s="84" t="str">
        <f aca="false">IF(INT(AI$3)=INT($C43), TEXT($C43, "dd-mmm"), "")</f>
        <v/>
      </c>
      <c r="AJ43" s="84" t="str">
        <f aca="false">IF(INT(AJ$3)=INT($C43), TEXT($C43, "dd-mmm"), "")</f>
        <v/>
      </c>
      <c r="AK43" s="84" t="str">
        <f aca="false">IF(INT(AK$3)=INT($C43), TEXT($C43, "dd-mmm"), "")</f>
        <v/>
      </c>
      <c r="AL43" s="84" t="str">
        <f aca="false">IF(INT(AL$3)=INT($C43), TEXT($C43, "dd-mmm"), "")</f>
        <v/>
      </c>
      <c r="AM43" s="84" t="str">
        <f aca="false">IF(INT(AM$3)=INT($C43), TEXT($C43, "dd-mmm"), "")</f>
        <v/>
      </c>
      <c r="AN43" s="84" t="str">
        <f aca="false">IF(INT(AN$3)=INT($C43), TEXT($C43, "dd-mmm"), "")</f>
        <v/>
      </c>
      <c r="AO43" s="84" t="str">
        <f aca="false">IF(INT(AO$3)=INT($C43), TEXT($C43, "dd-mmm"), "")</f>
        <v/>
      </c>
      <c r="AP43" s="84" t="str">
        <f aca="false">IF(INT(AP$3)=INT($C43), TEXT($C43, "dd-mmm"), "")</f>
        <v/>
      </c>
      <c r="AQ43" s="84" t="str">
        <f aca="false">IF(INT(AQ$3)=INT($C43), TEXT($C43, "dd-mmm"), "")</f>
        <v/>
      </c>
      <c r="AR43" s="84" t="str">
        <f aca="false">IF(INT(AR$3)=INT($C43), TEXT($C43, "dd-mmm"), "")</f>
        <v/>
      </c>
      <c r="AS43" s="84" t="str">
        <f aca="false">IF(INT(AS$3)=INT($C43), TEXT($C43, "dd-mmm"), "")</f>
        <v/>
      </c>
      <c r="AT43" s="84" t="str">
        <f aca="false">IF(INT(AT$3)=INT($C43), TEXT($C43, "dd-mmm"), "")</f>
        <v/>
      </c>
      <c r="AU43" s="84" t="str">
        <f aca="false">IF(INT(AU$3)=INT($C43), TEXT($C43, "dd-mmm"), "")</f>
        <v/>
      </c>
      <c r="AV43" s="84" t="str">
        <f aca="false">IF(INT(AV$3)=INT($C43), TEXT($C43, "dd-mmm"), "")</f>
        <v/>
      </c>
      <c r="AW43" s="84" t="str">
        <f aca="false">IF(INT(AW$3)=INT($C43), TEXT($C43, "dd-mmm"), "")</f>
        <v/>
      </c>
      <c r="AX43" s="84" t="str">
        <f aca="false">IF(INT(AX$3)=INT($C43), TEXT($C43, "dd-mmm"), "")</f>
        <v/>
      </c>
      <c r="AY43" s="84" t="str">
        <f aca="false">IF(INT(AY$3)=INT($C43), TEXT($C43, "dd-mmm"), "")</f>
        <v/>
      </c>
      <c r="AZ43" s="84" t="str">
        <f aca="false">IF(INT(AZ$3)=INT($C43), TEXT($C43, "dd-mmm"), "")</f>
        <v/>
      </c>
      <c r="BA43" s="84" t="str">
        <f aca="false">IF(INT(BA$3)=INT($C43), TEXT($C43, "dd-mmm"), "")</f>
        <v/>
      </c>
      <c r="BB43" s="84" t="str">
        <f aca="false">IF(INT(BB$3)=INT($C43), TEXT($C43, "dd-mmm"), "")</f>
        <v/>
      </c>
      <c r="BC43" s="84" t="str">
        <f aca="false">IF(INT(BC$3)=INT($C43), TEXT($C43, "dd-mmm"), "")</f>
        <v/>
      </c>
      <c r="BD43" s="84" t="str">
        <f aca="false">IF(INT(BD$3)=INT($C43), TEXT($C43, "dd-mmm"), "")</f>
        <v/>
      </c>
      <c r="BE43" s="84" t="str">
        <f aca="false">IF(INT(BE$3)=INT($C43), TEXT($C43, "dd-mmm"), "")</f>
        <v/>
      </c>
      <c r="BF43" s="84" t="str">
        <f aca="false">IF(INT(BF$3)=INT($C43), TEXT($C43, "dd-mmm"), "")</f>
        <v/>
      </c>
      <c r="BG43" s="84" t="str">
        <f aca="false">IF(INT(BG$3)=INT($C43), TEXT($C43, "dd-mmm"), "")</f>
        <v/>
      </c>
      <c r="BH43" s="84" t="str">
        <f aca="false">IF(INT(BH$3)=INT($C43), TEXT($C43, "dd-mmm"), "")</f>
        <v/>
      </c>
      <c r="BI43" s="84" t="str">
        <f aca="false">IF(INT(BI$3)=INT($C43), TEXT($C43, "dd-mmm"), "")</f>
        <v/>
      </c>
      <c r="BJ43" s="84" t="str">
        <f aca="false">IF(INT(BJ$3)=INT($C43), TEXT($C43, "dd-mmm"), "")</f>
        <v/>
      </c>
      <c r="BK43" s="84" t="str">
        <f aca="false">IF(INT(BK$3)=INT($C43), TEXT($C43, "dd-mmm"), "")</f>
        <v/>
      </c>
      <c r="BL43" s="84" t="str">
        <f aca="false">IF(INT(BL$3)=INT($C43), TEXT($C43, "dd-mmm"), "")</f>
        <v/>
      </c>
      <c r="BM43" s="84" t="str">
        <f aca="false">IF(INT(BM$3)=INT($C43), TEXT($C43, "dd-mmm"), "")</f>
        <v/>
      </c>
      <c r="BN43" s="84" t="str">
        <f aca="false">IF(INT(BN$3)=INT($C43), TEXT($C43, "dd-mmm"), "")</f>
        <v/>
      </c>
    </row>
    <row r="44" customFormat="false" ht="15" hidden="false" customHeight="true" outlineLevel="0" collapsed="false">
      <c r="A44" s="4" t="str">
        <f aca="false">Machine_List!A44</f>
        <v>EDM</v>
      </c>
      <c r="B44" s="4" t="str">
        <f aca="false">Machine_List!B44</f>
        <v>EDM-MC-25</v>
      </c>
      <c r="C44" s="12" t="n">
        <f aca="false">Machine_List!C44</f>
        <v>46098</v>
      </c>
      <c r="D44" s="4" t="n">
        <f aca="false">Machine_List!D44</f>
        <v>6</v>
      </c>
      <c r="E44" s="4" t="n">
        <f aca="true">C44-TODAY()</f>
        <v>-20</v>
      </c>
      <c r="F44" s="4" t="str">
        <f aca="false">IF(E44&lt;0,"OVERDUE",IF(E44&lt;=5,"DUE SOON","OK"))</f>
        <v>OVERDUE</v>
      </c>
      <c r="G44" s="84" t="str">
        <f aca="false">IF(INT(G$3)=INT($C44), TEXT($C44, "dd-mmm"), "")</f>
        <v/>
      </c>
      <c r="H44" s="84" t="str">
        <f aca="false">IF(INT(H$3)=INT($C44), TEXT($C44, "dd-mmm"), "")</f>
        <v/>
      </c>
      <c r="I44" s="84" t="str">
        <f aca="false">IF(INT(I$3)=INT($C44), TEXT($C44, "dd-mmm"), "")</f>
        <v/>
      </c>
      <c r="J44" s="84" t="str">
        <f aca="false">IF(INT(J$3)=INT($C44), TEXT($C44, "dd-mmm"), "")</f>
        <v/>
      </c>
      <c r="K44" s="84" t="str">
        <f aca="false">IF(INT(K$3)=INT($C44), TEXT($C44, "dd-mmm"), "")</f>
        <v/>
      </c>
      <c r="L44" s="84" t="str">
        <f aca="false">IF(INT(L$3)=INT($C44), TEXT($C44, "dd-mmm"), "")</f>
        <v/>
      </c>
      <c r="M44" s="84" t="str">
        <f aca="false">IF(INT(M$3)=INT($C44), TEXT($C44, "dd-mmm"), "")</f>
        <v/>
      </c>
      <c r="N44" s="84" t="str">
        <f aca="false">IF(INT(N$3)=INT($C44), TEXT($C44, "dd-mmm"), "")</f>
        <v/>
      </c>
      <c r="O44" s="84" t="str">
        <f aca="false">IF(INT(O$3)=INT($C44), TEXT($C44, "dd-mmm"), "")</f>
        <v/>
      </c>
      <c r="P44" s="84" t="str">
        <f aca="false">IF(INT(P$3)=INT($C44), TEXT($C44, "dd-mmm"), "")</f>
        <v/>
      </c>
      <c r="Q44" s="84" t="str">
        <f aca="false">IF(INT(Q$3)=INT($C44), TEXT($C44, "dd-mmm"), "")</f>
        <v/>
      </c>
      <c r="R44" s="84" t="str">
        <f aca="false">IF(INT(R$3)=INT($C44), TEXT($C44, "dd-mmm"), "")</f>
        <v/>
      </c>
      <c r="S44" s="84" t="str">
        <f aca="false">IF(INT(S$3)=INT($C44), TEXT($C44, "dd-mmm"), "")</f>
        <v/>
      </c>
      <c r="T44" s="84" t="str">
        <f aca="false">IF(INT(T$3)=INT($C44), TEXT($C44, "dd-mmm"), "")</f>
        <v/>
      </c>
      <c r="U44" s="84" t="str">
        <f aca="false">IF(INT(U$3)=INT($C44), TEXT($C44, "dd-mmm"), "")</f>
        <v/>
      </c>
      <c r="V44" s="84" t="str">
        <f aca="false">IF(INT(V$3)=INT($C44), TEXT($C44, "dd-mmm"), "")</f>
        <v/>
      </c>
      <c r="W44" s="84" t="str">
        <f aca="false">IF(INT(W$3)=INT($C44), TEXT($C44, "dd-mmm"), "")</f>
        <v/>
      </c>
      <c r="X44" s="84" t="str">
        <f aca="false">IF(INT(X$3)=INT($C44), TEXT($C44, "dd-mmm"), "")</f>
        <v/>
      </c>
      <c r="Y44" s="84" t="str">
        <f aca="false">IF(INT(Y$3)=INT($C44), TEXT($C44, "dd-mmm"), "")</f>
        <v/>
      </c>
      <c r="Z44" s="84" t="str">
        <f aca="false">IF(INT(Z$3)=INT($C44), TEXT($C44, "dd-mmm"), "")</f>
        <v/>
      </c>
      <c r="AA44" s="84" t="str">
        <f aca="false">IF(INT(AA$3)=INT($C44), TEXT($C44, "dd-mmm"), "")</f>
        <v/>
      </c>
      <c r="AB44" s="84" t="str">
        <f aca="false">IF(INT(AB$3)=INT($C44), TEXT($C44, "dd-mmm"), "")</f>
        <v/>
      </c>
      <c r="AC44" s="84" t="str">
        <f aca="false">IF(INT(AC$3)=INT($C44), TEXT($C44, "dd-mmm"), "")</f>
        <v/>
      </c>
      <c r="AD44" s="84" t="str">
        <f aca="false">IF(INT(AD$3)=INT($C44), TEXT($C44, "dd-mmm"), "")</f>
        <v/>
      </c>
      <c r="AE44" s="84" t="str">
        <f aca="false">IF(INT(AE$3)=INT($C44), TEXT($C44, "dd-mmm"), "")</f>
        <v/>
      </c>
      <c r="AF44" s="84" t="str">
        <f aca="false">IF(INT(AF$3)=INT($C44), TEXT($C44, "dd-mmm"), "")</f>
        <v/>
      </c>
      <c r="AG44" s="84" t="str">
        <f aca="false">IF(INT(AG$3)=INT($C44), TEXT($C44, "dd-mmm"), "")</f>
        <v/>
      </c>
      <c r="AH44" s="84" t="str">
        <f aca="false">IF(INT(AH$3)=INT($C44), TEXT($C44, "dd-mmm"), "")</f>
        <v/>
      </c>
      <c r="AI44" s="84" t="str">
        <f aca="false">IF(INT(AI$3)=INT($C44), TEXT($C44, "dd-mmm"), "")</f>
        <v/>
      </c>
      <c r="AJ44" s="84" t="str">
        <f aca="false">IF(INT(AJ$3)=INT($C44), TEXT($C44, "dd-mmm"), "")</f>
        <v/>
      </c>
      <c r="AK44" s="84" t="str">
        <f aca="false">IF(INT(AK$3)=INT($C44), TEXT($C44, "dd-mmm"), "")</f>
        <v/>
      </c>
      <c r="AL44" s="84" t="str">
        <f aca="false">IF(INT(AL$3)=INT($C44), TEXT($C44, "dd-mmm"), "")</f>
        <v/>
      </c>
      <c r="AM44" s="84" t="str">
        <f aca="false">IF(INT(AM$3)=INT($C44), TEXT($C44, "dd-mmm"), "")</f>
        <v/>
      </c>
      <c r="AN44" s="84" t="str">
        <f aca="false">IF(INT(AN$3)=INT($C44), TEXT($C44, "dd-mmm"), "")</f>
        <v/>
      </c>
      <c r="AO44" s="84" t="str">
        <f aca="false">IF(INT(AO$3)=INT($C44), TEXT($C44, "dd-mmm"), "")</f>
        <v/>
      </c>
      <c r="AP44" s="84" t="str">
        <f aca="false">IF(INT(AP$3)=INT($C44), TEXT($C44, "dd-mmm"), "")</f>
        <v/>
      </c>
      <c r="AQ44" s="84" t="str">
        <f aca="false">IF(INT(AQ$3)=INT($C44), TEXT($C44, "dd-mmm"), "")</f>
        <v/>
      </c>
      <c r="AR44" s="84" t="str">
        <f aca="false">IF(INT(AR$3)=INT($C44), TEXT($C44, "dd-mmm"), "")</f>
        <v/>
      </c>
      <c r="AS44" s="84" t="str">
        <f aca="false">IF(INT(AS$3)=INT($C44), TEXT($C44, "dd-mmm"), "")</f>
        <v/>
      </c>
      <c r="AT44" s="84" t="str">
        <f aca="false">IF(INT(AT$3)=INT($C44), TEXT($C44, "dd-mmm"), "")</f>
        <v/>
      </c>
      <c r="AU44" s="84" t="str">
        <f aca="false">IF(INT(AU$3)=INT($C44), TEXT($C44, "dd-mmm"), "")</f>
        <v/>
      </c>
      <c r="AV44" s="84" t="str">
        <f aca="false">IF(INT(AV$3)=INT($C44), TEXT($C44, "dd-mmm"), "")</f>
        <v/>
      </c>
      <c r="AW44" s="84" t="str">
        <f aca="false">IF(INT(AW$3)=INT($C44), TEXT($C44, "dd-mmm"), "")</f>
        <v/>
      </c>
      <c r="AX44" s="84" t="str">
        <f aca="false">IF(INT(AX$3)=INT($C44), TEXT($C44, "dd-mmm"), "")</f>
        <v/>
      </c>
      <c r="AY44" s="84" t="str">
        <f aca="false">IF(INT(AY$3)=INT($C44), TEXT($C44, "dd-mmm"), "")</f>
        <v/>
      </c>
      <c r="AZ44" s="84" t="str">
        <f aca="false">IF(INT(AZ$3)=INT($C44), TEXT($C44, "dd-mmm"), "")</f>
        <v/>
      </c>
      <c r="BA44" s="84" t="str">
        <f aca="false">IF(INT(BA$3)=INT($C44), TEXT($C44, "dd-mmm"), "")</f>
        <v/>
      </c>
      <c r="BB44" s="84" t="str">
        <f aca="false">IF(INT(BB$3)=INT($C44), TEXT($C44, "dd-mmm"), "")</f>
        <v/>
      </c>
      <c r="BC44" s="84" t="str">
        <f aca="false">IF(INT(BC$3)=INT($C44), TEXT($C44, "dd-mmm"), "")</f>
        <v/>
      </c>
      <c r="BD44" s="84" t="str">
        <f aca="false">IF(INT(BD$3)=INT($C44), TEXT($C44, "dd-mmm"), "")</f>
        <v/>
      </c>
      <c r="BE44" s="84" t="str">
        <f aca="false">IF(INT(BE$3)=INT($C44), TEXT($C44, "dd-mmm"), "")</f>
        <v/>
      </c>
      <c r="BF44" s="84" t="str">
        <f aca="false">IF(INT(BF$3)=INT($C44), TEXT($C44, "dd-mmm"), "")</f>
        <v/>
      </c>
      <c r="BG44" s="84" t="str">
        <f aca="false">IF(INT(BG$3)=INT($C44), TEXT($C44, "dd-mmm"), "")</f>
        <v/>
      </c>
      <c r="BH44" s="84" t="str">
        <f aca="false">IF(INT(BH$3)=INT($C44), TEXT($C44, "dd-mmm"), "")</f>
        <v/>
      </c>
      <c r="BI44" s="84" t="str">
        <f aca="false">IF(INT(BI$3)=INT($C44), TEXT($C44, "dd-mmm"), "")</f>
        <v/>
      </c>
      <c r="BJ44" s="84" t="str">
        <f aca="false">IF(INT(BJ$3)=INT($C44), TEXT($C44, "dd-mmm"), "")</f>
        <v/>
      </c>
      <c r="BK44" s="84" t="str">
        <f aca="false">IF(INT(BK$3)=INT($C44), TEXT($C44, "dd-mmm"), "")</f>
        <v/>
      </c>
      <c r="BL44" s="84" t="str">
        <f aca="false">IF(INT(BL$3)=INT($C44), TEXT($C44, "dd-mmm"), "")</f>
        <v/>
      </c>
      <c r="BM44" s="84" t="str">
        <f aca="false">IF(INT(BM$3)=INT($C44), TEXT($C44, "dd-mmm"), "")</f>
        <v/>
      </c>
      <c r="BN44" s="84" t="str">
        <f aca="false">IF(INT(BN$3)=INT($C44), TEXT($C44, "dd-mmm"), "")</f>
        <v/>
      </c>
    </row>
    <row r="45" customFormat="false" ht="15" hidden="false" customHeight="true" outlineLevel="0" collapsed="false">
      <c r="A45" s="4" t="str">
        <f aca="false">Machine_List!A45</f>
        <v>EDM</v>
      </c>
      <c r="B45" s="4" t="str">
        <f aca="false">Machine_List!B45</f>
        <v>EDM-MC-26</v>
      </c>
      <c r="C45" s="12" t="n">
        <f aca="false">Machine_List!C45</f>
        <v>46202</v>
      </c>
      <c r="D45" s="4" t="n">
        <f aca="false">Machine_List!D45</f>
        <v>6</v>
      </c>
      <c r="E45" s="4" t="n">
        <f aca="true">C45-TODAY()</f>
        <v>84</v>
      </c>
      <c r="F45" s="4" t="str">
        <f aca="false">IF(E45&lt;0,"OVERDUE",IF(E45&lt;=5,"DUE SOON","OK"))</f>
        <v>OK</v>
      </c>
      <c r="G45" s="84" t="str">
        <f aca="false">IF(INT(G$3)=INT($C45), TEXT($C45, "dd-mmm"), "")</f>
        <v/>
      </c>
      <c r="H45" s="84" t="str">
        <f aca="false">IF(INT(H$3)=INT($C45), TEXT($C45, "dd-mmm"), "")</f>
        <v/>
      </c>
      <c r="I45" s="84" t="str">
        <f aca="false">IF(INT(I$3)=INT($C45), TEXT($C45, "dd-mmm"), "")</f>
        <v/>
      </c>
      <c r="J45" s="84" t="str">
        <f aca="false">IF(INT(J$3)=INT($C45), TEXT($C45, "dd-mmm"), "")</f>
        <v/>
      </c>
      <c r="K45" s="84" t="str">
        <f aca="false">IF(INT(K$3)=INT($C45), TEXT($C45, "dd-mmm"), "")</f>
        <v/>
      </c>
      <c r="L45" s="84" t="str">
        <f aca="false">IF(INT(L$3)=INT($C45), TEXT($C45, "dd-mmm"), "")</f>
        <v/>
      </c>
      <c r="M45" s="84" t="str">
        <f aca="false">IF(INT(M$3)=INT($C45), TEXT($C45, "dd-mmm"), "")</f>
        <v/>
      </c>
      <c r="N45" s="84" t="str">
        <f aca="false">IF(INT(N$3)=INT($C45), TEXT($C45, "dd-mmm"), "")</f>
        <v/>
      </c>
      <c r="O45" s="84" t="str">
        <f aca="false">IF(INT(O$3)=INT($C45), TEXT($C45, "dd-mmm"), "")</f>
        <v/>
      </c>
      <c r="P45" s="84" t="str">
        <f aca="false">IF(INT(P$3)=INT($C45), TEXT($C45, "dd-mmm"), "")</f>
        <v/>
      </c>
      <c r="Q45" s="84" t="str">
        <f aca="false">IF(INT(Q$3)=INT($C45), TEXT($C45, "dd-mmm"), "")</f>
        <v/>
      </c>
      <c r="R45" s="84" t="str">
        <f aca="false">IF(INT(R$3)=INT($C45), TEXT($C45, "dd-mmm"), "")</f>
        <v/>
      </c>
      <c r="S45" s="84" t="str">
        <f aca="false">IF(INT(S$3)=INT($C45), TEXT($C45, "dd-mmm"), "")</f>
        <v/>
      </c>
      <c r="T45" s="84" t="str">
        <f aca="false">IF(INT(T$3)=INT($C45), TEXT($C45, "dd-mmm"), "")</f>
        <v/>
      </c>
      <c r="U45" s="84" t="str">
        <f aca="false">IF(INT(U$3)=INT($C45), TEXT($C45, "dd-mmm"), "")</f>
        <v/>
      </c>
      <c r="V45" s="84" t="str">
        <f aca="false">IF(INT(V$3)=INT($C45), TEXT($C45, "dd-mmm"), "")</f>
        <v/>
      </c>
      <c r="W45" s="84" t="str">
        <f aca="false">IF(INT(W$3)=INT($C45), TEXT($C45, "dd-mmm"), "")</f>
        <v/>
      </c>
      <c r="X45" s="84" t="str">
        <f aca="false">IF(INT(X$3)=INT($C45), TEXT($C45, "dd-mmm"), "")</f>
        <v/>
      </c>
      <c r="Y45" s="84" t="str">
        <f aca="false">IF(INT(Y$3)=INT($C45), TEXT($C45, "dd-mmm"), "")</f>
        <v/>
      </c>
      <c r="Z45" s="84" t="str">
        <f aca="false">IF(INT(Z$3)=INT($C45), TEXT($C45, "dd-mmm"), "")</f>
        <v/>
      </c>
      <c r="AA45" s="84" t="str">
        <f aca="false">IF(INT(AA$3)=INT($C45), TEXT($C45, "dd-mmm"), "")</f>
        <v/>
      </c>
      <c r="AB45" s="84" t="str">
        <f aca="false">IF(INT(AB$3)=INT($C45), TEXT($C45, "dd-mmm"), "")</f>
        <v/>
      </c>
      <c r="AC45" s="84" t="str">
        <f aca="false">IF(INT(AC$3)=INT($C45), TEXT($C45, "dd-mmm"), "")</f>
        <v/>
      </c>
      <c r="AD45" s="84" t="str">
        <f aca="false">IF(INT(AD$3)=INT($C45), TEXT($C45, "dd-mmm"), "")</f>
        <v/>
      </c>
      <c r="AE45" s="84" t="str">
        <f aca="false">IF(INT(AE$3)=INT($C45), TEXT($C45, "dd-mmm"), "")</f>
        <v/>
      </c>
      <c r="AF45" s="84" t="str">
        <f aca="false">IF(INT(AF$3)=INT($C45), TEXT($C45, "dd-mmm"), "")</f>
        <v/>
      </c>
      <c r="AG45" s="84" t="str">
        <f aca="false">IF(INT(AG$3)=INT($C45), TEXT($C45, "dd-mmm"), "")</f>
        <v/>
      </c>
      <c r="AH45" s="84" t="str">
        <f aca="false">IF(INT(AH$3)=INT($C45), TEXT($C45, "dd-mmm"), "")</f>
        <v/>
      </c>
      <c r="AI45" s="84" t="str">
        <f aca="false">IF(INT(AI$3)=INT($C45), TEXT($C45, "dd-mmm"), "")</f>
        <v/>
      </c>
      <c r="AJ45" s="84" t="str">
        <f aca="false">IF(INT(AJ$3)=INT($C45), TEXT($C45, "dd-mmm"), "")</f>
        <v/>
      </c>
      <c r="AK45" s="84" t="str">
        <f aca="false">IF(INT(AK$3)=INT($C45), TEXT($C45, "dd-mmm"), "")</f>
        <v/>
      </c>
      <c r="AL45" s="84" t="str">
        <f aca="false">IF(INT(AL$3)=INT($C45), TEXT($C45, "dd-mmm"), "")</f>
        <v/>
      </c>
      <c r="AM45" s="84" t="str">
        <f aca="false">IF(INT(AM$3)=INT($C45), TEXT($C45, "dd-mmm"), "")</f>
        <v/>
      </c>
      <c r="AN45" s="84" t="str">
        <f aca="false">IF(INT(AN$3)=INT($C45), TEXT($C45, "dd-mmm"), "")</f>
        <v/>
      </c>
      <c r="AO45" s="84" t="str">
        <f aca="false">IF(INT(AO$3)=INT($C45), TEXT($C45, "dd-mmm"), "")</f>
        <v/>
      </c>
      <c r="AP45" s="84" t="str">
        <f aca="false">IF(INT(AP$3)=INT($C45), TEXT($C45, "dd-mmm"), "")</f>
        <v/>
      </c>
      <c r="AQ45" s="84" t="str">
        <f aca="false">IF(INT(AQ$3)=INT($C45), TEXT($C45, "dd-mmm"), "")</f>
        <v/>
      </c>
      <c r="AR45" s="84" t="str">
        <f aca="false">IF(INT(AR$3)=INT($C45), TEXT($C45, "dd-mmm"), "")</f>
        <v/>
      </c>
      <c r="AS45" s="84" t="str">
        <f aca="false">IF(INT(AS$3)=INT($C45), TEXT($C45, "dd-mmm"), "")</f>
        <v/>
      </c>
      <c r="AT45" s="84" t="str">
        <f aca="false">IF(INT(AT$3)=INT($C45), TEXT($C45, "dd-mmm"), "")</f>
        <v/>
      </c>
      <c r="AU45" s="84" t="str">
        <f aca="false">IF(INT(AU$3)=INT($C45), TEXT($C45, "dd-mmm"), "")</f>
        <v/>
      </c>
      <c r="AV45" s="84" t="str">
        <f aca="false">IF(INT(AV$3)=INT($C45), TEXT($C45, "dd-mmm"), "")</f>
        <v/>
      </c>
      <c r="AW45" s="84" t="str">
        <f aca="false">IF(INT(AW$3)=INT($C45), TEXT($C45, "dd-mmm"), "")</f>
        <v/>
      </c>
      <c r="AX45" s="84" t="str">
        <f aca="false">IF(INT(AX$3)=INT($C45), TEXT($C45, "dd-mmm"), "")</f>
        <v/>
      </c>
      <c r="AY45" s="84" t="str">
        <f aca="false">IF(INT(AY$3)=INT($C45), TEXT($C45, "dd-mmm"), "")</f>
        <v/>
      </c>
      <c r="AZ45" s="84" t="str">
        <f aca="false">IF(INT(AZ$3)=INT($C45), TEXT($C45, "dd-mmm"), "")</f>
        <v/>
      </c>
      <c r="BA45" s="84" t="str">
        <f aca="false">IF(INT(BA$3)=INT($C45), TEXT($C45, "dd-mmm"), "")</f>
        <v/>
      </c>
      <c r="BB45" s="84" t="str">
        <f aca="false">IF(INT(BB$3)=INT($C45), TEXT($C45, "dd-mmm"), "")</f>
        <v/>
      </c>
      <c r="BC45" s="84" t="str">
        <f aca="false">IF(INT(BC$3)=INT($C45), TEXT($C45, "dd-mmm"), "")</f>
        <v/>
      </c>
      <c r="BD45" s="84" t="str">
        <f aca="false">IF(INT(BD$3)=INT($C45), TEXT($C45, "dd-mmm"), "")</f>
        <v/>
      </c>
      <c r="BE45" s="84" t="str">
        <f aca="false">IF(INT(BE$3)=INT($C45), TEXT($C45, "dd-mmm"), "")</f>
        <v/>
      </c>
      <c r="BF45" s="84" t="str">
        <f aca="false">IF(INT(BF$3)=INT($C45), TEXT($C45, "dd-mmm"), "")</f>
        <v/>
      </c>
      <c r="BG45" s="84" t="str">
        <f aca="false">IF(INT(BG$3)=INT($C45), TEXT($C45, "dd-mmm"), "")</f>
        <v/>
      </c>
      <c r="BH45" s="84" t="str">
        <f aca="false">IF(INT(BH$3)=INT($C45), TEXT($C45, "dd-mmm"), "")</f>
        <v/>
      </c>
      <c r="BI45" s="84" t="str">
        <f aca="false">IF(INT(BI$3)=INT($C45), TEXT($C45, "dd-mmm"), "")</f>
        <v/>
      </c>
      <c r="BJ45" s="84" t="str">
        <f aca="false">IF(INT(BJ$3)=INT($C45), TEXT($C45, "dd-mmm"), "")</f>
        <v/>
      </c>
      <c r="BK45" s="84" t="str">
        <f aca="false">IF(INT(BK$3)=INT($C45), TEXT($C45, "dd-mmm"), "")</f>
        <v/>
      </c>
      <c r="BL45" s="84" t="str">
        <f aca="false">IF(INT(BL$3)=INT($C45), TEXT($C45, "dd-mmm"), "")</f>
        <v/>
      </c>
      <c r="BM45" s="84" t="str">
        <f aca="false">IF(INT(BM$3)=INT($C45), TEXT($C45, "dd-mmm"), "")</f>
        <v/>
      </c>
      <c r="BN45" s="84" t="str">
        <f aca="false">IF(INT(BN$3)=INT($C45), TEXT($C45, "dd-mmm"), "")</f>
        <v/>
      </c>
    </row>
    <row r="46" customFormat="false" ht="15" hidden="false" customHeight="true" outlineLevel="0" collapsed="false">
      <c r="A46" s="4" t="str">
        <f aca="false">Machine_List!A46</f>
        <v>EDM</v>
      </c>
      <c r="B46" s="4" t="str">
        <f aca="false">Machine_List!B46</f>
        <v>EDM-MC-27</v>
      </c>
      <c r="C46" s="12" t="n">
        <f aca="false">Machine_List!C46</f>
        <v>46188</v>
      </c>
      <c r="D46" s="4" t="n">
        <f aca="false">Machine_List!D46</f>
        <v>6</v>
      </c>
      <c r="E46" s="4" t="n">
        <f aca="true">C46-TODAY()</f>
        <v>70</v>
      </c>
      <c r="F46" s="4" t="str">
        <f aca="false">IF(E46&lt;0,"OVERDUE",IF(E46&lt;=5,"DUE SOON","OK"))</f>
        <v>OK</v>
      </c>
      <c r="G46" s="84" t="str">
        <f aca="false">IF(INT(G$3)=INT($C46), TEXT($C46, "dd-mmm"), "")</f>
        <v/>
      </c>
      <c r="H46" s="84" t="str">
        <f aca="false">IF(INT(H$3)=INT($C46), TEXT($C46, "dd-mmm"), "")</f>
        <v/>
      </c>
      <c r="I46" s="84" t="str">
        <f aca="false">IF(INT(I$3)=INT($C46), TEXT($C46, "dd-mmm"), "")</f>
        <v/>
      </c>
      <c r="J46" s="84" t="str">
        <f aca="false">IF(INT(J$3)=INT($C46), TEXT($C46, "dd-mmm"), "")</f>
        <v/>
      </c>
      <c r="K46" s="84" t="str">
        <f aca="false">IF(INT(K$3)=INT($C46), TEXT($C46, "dd-mmm"), "")</f>
        <v/>
      </c>
      <c r="L46" s="84" t="str">
        <f aca="false">IF(INT(L$3)=INT($C46), TEXT($C46, "dd-mmm"), "")</f>
        <v/>
      </c>
      <c r="M46" s="84" t="str">
        <f aca="false">IF(INT(M$3)=INT($C46), TEXT($C46, "dd-mmm"), "")</f>
        <v/>
      </c>
      <c r="N46" s="84" t="str">
        <f aca="false">IF(INT(N$3)=INT($C46), TEXT($C46, "dd-mmm"), "")</f>
        <v/>
      </c>
      <c r="O46" s="84" t="str">
        <f aca="false">IF(INT(O$3)=INT($C46), TEXT($C46, "dd-mmm"), "")</f>
        <v/>
      </c>
      <c r="P46" s="84" t="str">
        <f aca="false">IF(INT(P$3)=INT($C46), TEXT($C46, "dd-mmm"), "")</f>
        <v/>
      </c>
      <c r="Q46" s="84" t="str">
        <f aca="false">IF(INT(Q$3)=INT($C46), TEXT($C46, "dd-mmm"), "")</f>
        <v/>
      </c>
      <c r="R46" s="84" t="str">
        <f aca="false">IF(INT(R$3)=INT($C46), TEXT($C46, "dd-mmm"), "")</f>
        <v/>
      </c>
      <c r="S46" s="84" t="str">
        <f aca="false">IF(INT(S$3)=INT($C46), TEXT($C46, "dd-mmm"), "")</f>
        <v/>
      </c>
      <c r="T46" s="84" t="str">
        <f aca="false">IF(INT(T$3)=INT($C46), TEXT($C46, "dd-mmm"), "")</f>
        <v/>
      </c>
      <c r="U46" s="84" t="str">
        <f aca="false">IF(INT(U$3)=INT($C46), TEXT($C46, "dd-mmm"), "")</f>
        <v/>
      </c>
      <c r="V46" s="84" t="str">
        <f aca="false">IF(INT(V$3)=INT($C46), TEXT($C46, "dd-mmm"), "")</f>
        <v/>
      </c>
      <c r="W46" s="84" t="str">
        <f aca="false">IF(INT(W$3)=INT($C46), TEXT($C46, "dd-mmm"), "")</f>
        <v/>
      </c>
      <c r="X46" s="84" t="str">
        <f aca="false">IF(INT(X$3)=INT($C46), TEXT($C46, "dd-mmm"), "")</f>
        <v/>
      </c>
      <c r="Y46" s="84" t="str">
        <f aca="false">IF(INT(Y$3)=INT($C46), TEXT($C46, "dd-mmm"), "")</f>
        <v/>
      </c>
      <c r="Z46" s="84" t="str">
        <f aca="false">IF(INT(Z$3)=INT($C46), TEXT($C46, "dd-mmm"), "")</f>
        <v/>
      </c>
      <c r="AA46" s="84" t="str">
        <f aca="false">IF(INT(AA$3)=INT($C46), TEXT($C46, "dd-mmm"), "")</f>
        <v/>
      </c>
      <c r="AB46" s="84" t="str">
        <f aca="false">IF(INT(AB$3)=INT($C46), TEXT($C46, "dd-mmm"), "")</f>
        <v/>
      </c>
      <c r="AC46" s="84" t="str">
        <f aca="false">IF(INT(AC$3)=INT($C46), TEXT($C46, "dd-mmm"), "")</f>
        <v/>
      </c>
      <c r="AD46" s="84" t="str">
        <f aca="false">IF(INT(AD$3)=INT($C46), TEXT($C46, "dd-mmm"), "")</f>
        <v/>
      </c>
      <c r="AE46" s="84" t="str">
        <f aca="false">IF(INT(AE$3)=INT($C46), TEXT($C46, "dd-mmm"), "")</f>
        <v/>
      </c>
      <c r="AF46" s="84" t="str">
        <f aca="false">IF(INT(AF$3)=INT($C46), TEXT($C46, "dd-mmm"), "")</f>
        <v/>
      </c>
      <c r="AG46" s="84" t="str">
        <f aca="false">IF(INT(AG$3)=INT($C46), TEXT($C46, "dd-mmm"), "")</f>
        <v/>
      </c>
      <c r="AH46" s="84" t="str">
        <f aca="false">IF(INT(AH$3)=INT($C46), TEXT($C46, "dd-mmm"), "")</f>
        <v/>
      </c>
      <c r="AI46" s="84" t="str">
        <f aca="false">IF(INT(AI$3)=INT($C46), TEXT($C46, "dd-mmm"), "")</f>
        <v/>
      </c>
      <c r="AJ46" s="84" t="str">
        <f aca="false">IF(INT(AJ$3)=INT($C46), TEXT($C46, "dd-mmm"), "")</f>
        <v/>
      </c>
      <c r="AK46" s="84" t="str">
        <f aca="false">IF(INT(AK$3)=INT($C46), TEXT($C46, "dd-mmm"), "")</f>
        <v/>
      </c>
      <c r="AL46" s="84" t="str">
        <f aca="false">IF(INT(AL$3)=INT($C46), TEXT($C46, "dd-mmm"), "")</f>
        <v/>
      </c>
      <c r="AM46" s="84" t="str">
        <f aca="false">IF(INT(AM$3)=INT($C46), TEXT($C46, "dd-mmm"), "")</f>
        <v/>
      </c>
      <c r="AN46" s="84" t="str">
        <f aca="false">IF(INT(AN$3)=INT($C46), TEXT($C46, "dd-mmm"), "")</f>
        <v/>
      </c>
      <c r="AO46" s="84" t="str">
        <f aca="false">IF(INT(AO$3)=INT($C46), TEXT($C46, "dd-mmm"), "")</f>
        <v/>
      </c>
      <c r="AP46" s="84" t="str">
        <f aca="false">IF(INT(AP$3)=INT($C46), TEXT($C46, "dd-mmm"), "")</f>
        <v/>
      </c>
      <c r="AQ46" s="84" t="str">
        <f aca="false">IF(INT(AQ$3)=INT($C46), TEXT($C46, "dd-mmm"), "")</f>
        <v/>
      </c>
      <c r="AR46" s="84" t="str">
        <f aca="false">IF(INT(AR$3)=INT($C46), TEXT($C46, "dd-mmm"), "")</f>
        <v/>
      </c>
      <c r="AS46" s="84" t="str">
        <f aca="false">IF(INT(AS$3)=INT($C46), TEXT($C46, "dd-mmm"), "")</f>
        <v/>
      </c>
      <c r="AT46" s="84" t="str">
        <f aca="false">IF(INT(AT$3)=INT($C46), TEXT($C46, "dd-mmm"), "")</f>
        <v/>
      </c>
      <c r="AU46" s="84" t="str">
        <f aca="false">IF(INT(AU$3)=INT($C46), TEXT($C46, "dd-mmm"), "")</f>
        <v/>
      </c>
      <c r="AV46" s="84" t="str">
        <f aca="false">IF(INT(AV$3)=INT($C46), TEXT($C46, "dd-mmm"), "")</f>
        <v/>
      </c>
      <c r="AW46" s="84" t="str">
        <f aca="false">IF(INT(AW$3)=INT($C46), TEXT($C46, "dd-mmm"), "")</f>
        <v/>
      </c>
      <c r="AX46" s="84" t="str">
        <f aca="false">IF(INT(AX$3)=INT($C46), TEXT($C46, "dd-mmm"), "")</f>
        <v/>
      </c>
      <c r="AY46" s="84" t="str">
        <f aca="false">IF(INT(AY$3)=INT($C46), TEXT($C46, "dd-mmm"), "")</f>
        <v/>
      </c>
      <c r="AZ46" s="84" t="str">
        <f aca="false">IF(INT(AZ$3)=INT($C46), TEXT($C46, "dd-mmm"), "")</f>
        <v/>
      </c>
      <c r="BA46" s="84" t="str">
        <f aca="false">IF(INT(BA$3)=INT($C46), TEXT($C46, "dd-mmm"), "")</f>
        <v/>
      </c>
      <c r="BB46" s="84" t="str">
        <f aca="false">IF(INT(BB$3)=INT($C46), TEXT($C46, "dd-mmm"), "")</f>
        <v/>
      </c>
      <c r="BC46" s="84" t="str">
        <f aca="false">IF(INT(BC$3)=INT($C46), TEXT($C46, "dd-mmm"), "")</f>
        <v/>
      </c>
      <c r="BD46" s="84" t="str">
        <f aca="false">IF(INT(BD$3)=INT($C46), TEXT($C46, "dd-mmm"), "")</f>
        <v/>
      </c>
      <c r="BE46" s="84" t="str">
        <f aca="false">IF(INT(BE$3)=INT($C46), TEXT($C46, "dd-mmm"), "")</f>
        <v/>
      </c>
      <c r="BF46" s="84" t="str">
        <f aca="false">IF(INT(BF$3)=INT($C46), TEXT($C46, "dd-mmm"), "")</f>
        <v/>
      </c>
      <c r="BG46" s="84" t="str">
        <f aca="false">IF(INT(BG$3)=INT($C46), TEXT($C46, "dd-mmm"), "")</f>
        <v/>
      </c>
      <c r="BH46" s="84" t="str">
        <f aca="false">IF(INT(BH$3)=INT($C46), TEXT($C46, "dd-mmm"), "")</f>
        <v/>
      </c>
      <c r="BI46" s="84" t="str">
        <f aca="false">IF(INT(BI$3)=INT($C46), TEXT($C46, "dd-mmm"), "")</f>
        <v/>
      </c>
      <c r="BJ46" s="84" t="str">
        <f aca="false">IF(INT(BJ$3)=INT($C46), TEXT($C46, "dd-mmm"), "")</f>
        <v/>
      </c>
      <c r="BK46" s="84" t="str">
        <f aca="false">IF(INT(BK$3)=INT($C46), TEXT($C46, "dd-mmm"), "")</f>
        <v/>
      </c>
      <c r="BL46" s="84" t="str">
        <f aca="false">IF(INT(BL$3)=INT($C46), TEXT($C46, "dd-mmm"), "")</f>
        <v/>
      </c>
      <c r="BM46" s="84" t="str">
        <f aca="false">IF(INT(BM$3)=INT($C46), TEXT($C46, "dd-mmm"), "")</f>
        <v/>
      </c>
      <c r="BN46" s="84" t="str">
        <f aca="false">IF(INT(BN$3)=INT($C46), TEXT($C46, "dd-mmm"), "")</f>
        <v/>
      </c>
    </row>
    <row r="47" customFormat="false" ht="15" hidden="false" customHeight="true" outlineLevel="0" collapsed="false">
      <c r="A47" s="4" t="str">
        <f aca="false">Machine_List!A47</f>
        <v>EDM</v>
      </c>
      <c r="B47" s="4" t="str">
        <f aca="false">Machine_List!B47</f>
        <v>EDM-MC-28</v>
      </c>
      <c r="C47" s="12" t="n">
        <f aca="false">Machine_List!C47</f>
        <v>46182</v>
      </c>
      <c r="D47" s="4" t="n">
        <f aca="false">Machine_List!D47</f>
        <v>6</v>
      </c>
      <c r="E47" s="4" t="n">
        <f aca="true">C47-TODAY()</f>
        <v>64</v>
      </c>
      <c r="F47" s="4" t="str">
        <f aca="false">IF(E47&lt;0,"OVERDUE",IF(E47&lt;=5,"DUE SOON","OK"))</f>
        <v>OK</v>
      </c>
      <c r="G47" s="84" t="str">
        <f aca="false">IF(INT(G$3)=INT($C47), TEXT($C47, "dd-mmm"), "")</f>
        <v/>
      </c>
      <c r="H47" s="84" t="str">
        <f aca="false">IF(INT(H$3)=INT($C47), TEXT($C47, "dd-mmm"), "")</f>
        <v/>
      </c>
      <c r="I47" s="84" t="str">
        <f aca="false">IF(INT(I$3)=INT($C47), TEXT($C47, "dd-mmm"), "")</f>
        <v/>
      </c>
      <c r="J47" s="84" t="str">
        <f aca="false">IF(INT(J$3)=INT($C47), TEXT($C47, "dd-mmm"), "")</f>
        <v/>
      </c>
      <c r="K47" s="84" t="str">
        <f aca="false">IF(INT(K$3)=INT($C47), TEXT($C47, "dd-mmm"), "")</f>
        <v/>
      </c>
      <c r="L47" s="84" t="str">
        <f aca="false">IF(INT(L$3)=INT($C47), TEXT($C47, "dd-mmm"), "")</f>
        <v/>
      </c>
      <c r="M47" s="84" t="str">
        <f aca="false">IF(INT(M$3)=INT($C47), TEXT($C47, "dd-mmm"), "")</f>
        <v/>
      </c>
      <c r="N47" s="84" t="str">
        <f aca="false">IF(INT(N$3)=INT($C47), TEXT($C47, "dd-mmm"), "")</f>
        <v/>
      </c>
      <c r="O47" s="84" t="str">
        <f aca="false">IF(INT(O$3)=INT($C47), TEXT($C47, "dd-mmm"), "")</f>
        <v/>
      </c>
      <c r="P47" s="84" t="str">
        <f aca="false">IF(INT(P$3)=INT($C47), TEXT($C47, "dd-mmm"), "")</f>
        <v/>
      </c>
      <c r="Q47" s="84" t="str">
        <f aca="false">IF(INT(Q$3)=INT($C47), TEXT($C47, "dd-mmm"), "")</f>
        <v/>
      </c>
      <c r="R47" s="84" t="str">
        <f aca="false">IF(INT(R$3)=INT($C47), TEXT($C47, "dd-mmm"), "")</f>
        <v/>
      </c>
      <c r="S47" s="84" t="str">
        <f aca="false">IF(INT(S$3)=INT($C47), TEXT($C47, "dd-mmm"), "")</f>
        <v/>
      </c>
      <c r="T47" s="84" t="str">
        <f aca="false">IF(INT(T$3)=INT($C47), TEXT($C47, "dd-mmm"), "")</f>
        <v/>
      </c>
      <c r="U47" s="84" t="str">
        <f aca="false">IF(INT(U$3)=INT($C47), TEXT($C47, "dd-mmm"), "")</f>
        <v/>
      </c>
      <c r="V47" s="84" t="str">
        <f aca="false">IF(INT(V$3)=INT($C47), TEXT($C47, "dd-mmm"), "")</f>
        <v/>
      </c>
      <c r="W47" s="84" t="str">
        <f aca="false">IF(INT(W$3)=INT($C47), TEXT($C47, "dd-mmm"), "")</f>
        <v/>
      </c>
      <c r="X47" s="84" t="str">
        <f aca="false">IF(INT(X$3)=INT($C47), TEXT($C47, "dd-mmm"), "")</f>
        <v/>
      </c>
      <c r="Y47" s="84" t="str">
        <f aca="false">IF(INT(Y$3)=INT($C47), TEXT($C47, "dd-mmm"), "")</f>
        <v/>
      </c>
      <c r="Z47" s="84" t="str">
        <f aca="false">IF(INT(Z$3)=INT($C47), TEXT($C47, "dd-mmm"), "")</f>
        <v/>
      </c>
      <c r="AA47" s="84" t="str">
        <f aca="false">IF(INT(AA$3)=INT($C47), TEXT($C47, "dd-mmm"), "")</f>
        <v/>
      </c>
      <c r="AB47" s="84" t="str">
        <f aca="false">IF(INT(AB$3)=INT($C47), TEXT($C47, "dd-mmm"), "")</f>
        <v/>
      </c>
      <c r="AC47" s="84" t="str">
        <f aca="false">IF(INT(AC$3)=INT($C47), TEXT($C47, "dd-mmm"), "")</f>
        <v/>
      </c>
      <c r="AD47" s="84" t="str">
        <f aca="false">IF(INT(AD$3)=INT($C47), TEXT($C47, "dd-mmm"), "")</f>
        <v/>
      </c>
      <c r="AE47" s="84" t="str">
        <f aca="false">IF(INT(AE$3)=INT($C47), TEXT($C47, "dd-mmm"), "")</f>
        <v/>
      </c>
      <c r="AF47" s="84" t="str">
        <f aca="false">IF(INT(AF$3)=INT($C47), TEXT($C47, "dd-mmm"), "")</f>
        <v/>
      </c>
      <c r="AG47" s="84" t="str">
        <f aca="false">IF(INT(AG$3)=INT($C47), TEXT($C47, "dd-mmm"), "")</f>
        <v/>
      </c>
      <c r="AH47" s="84" t="str">
        <f aca="false">IF(INT(AH$3)=INT($C47), TEXT($C47, "dd-mmm"), "")</f>
        <v/>
      </c>
      <c r="AI47" s="84" t="str">
        <f aca="false">IF(INT(AI$3)=INT($C47), TEXT($C47, "dd-mmm"), "")</f>
        <v/>
      </c>
      <c r="AJ47" s="84" t="str">
        <f aca="false">IF(INT(AJ$3)=INT($C47), TEXT($C47, "dd-mmm"), "")</f>
        <v/>
      </c>
      <c r="AK47" s="84" t="str">
        <f aca="false">IF(INT(AK$3)=INT($C47), TEXT($C47, "dd-mmm"), "")</f>
        <v/>
      </c>
      <c r="AL47" s="84" t="str">
        <f aca="false">IF(INT(AL$3)=INT($C47), TEXT($C47, "dd-mmm"), "")</f>
        <v/>
      </c>
      <c r="AM47" s="84" t="str">
        <f aca="false">IF(INT(AM$3)=INT($C47), TEXT($C47, "dd-mmm"), "")</f>
        <v/>
      </c>
      <c r="AN47" s="84" t="str">
        <f aca="false">IF(INT(AN$3)=INT($C47), TEXT($C47, "dd-mmm"), "")</f>
        <v/>
      </c>
      <c r="AO47" s="84" t="str">
        <f aca="false">IF(INT(AO$3)=INT($C47), TEXT($C47, "dd-mmm"), "")</f>
        <v/>
      </c>
      <c r="AP47" s="84" t="str">
        <f aca="false">IF(INT(AP$3)=INT($C47), TEXT($C47, "dd-mmm"), "")</f>
        <v/>
      </c>
      <c r="AQ47" s="84" t="str">
        <f aca="false">IF(INT(AQ$3)=INT($C47), TEXT($C47, "dd-mmm"), "")</f>
        <v/>
      </c>
      <c r="AR47" s="84" t="str">
        <f aca="false">IF(INT(AR$3)=INT($C47), TEXT($C47, "dd-mmm"), "")</f>
        <v/>
      </c>
      <c r="AS47" s="84" t="str">
        <f aca="false">IF(INT(AS$3)=INT($C47), TEXT($C47, "dd-mmm"), "")</f>
        <v/>
      </c>
      <c r="AT47" s="84" t="str">
        <f aca="false">IF(INT(AT$3)=INT($C47), TEXT($C47, "dd-mmm"), "")</f>
        <v/>
      </c>
      <c r="AU47" s="84" t="str">
        <f aca="false">IF(INT(AU$3)=INT($C47), TEXT($C47, "dd-mmm"), "")</f>
        <v/>
      </c>
      <c r="AV47" s="84" t="str">
        <f aca="false">IF(INT(AV$3)=INT($C47), TEXT($C47, "dd-mmm"), "")</f>
        <v/>
      </c>
      <c r="AW47" s="84" t="str">
        <f aca="false">IF(INT(AW$3)=INT($C47), TEXT($C47, "dd-mmm"), "")</f>
        <v/>
      </c>
      <c r="AX47" s="84" t="str">
        <f aca="false">IF(INT(AX$3)=INT($C47), TEXT($C47, "dd-mmm"), "")</f>
        <v/>
      </c>
      <c r="AY47" s="84" t="str">
        <f aca="false">IF(INT(AY$3)=INT($C47), TEXT($C47, "dd-mmm"), "")</f>
        <v/>
      </c>
      <c r="AZ47" s="84" t="str">
        <f aca="false">IF(INT(AZ$3)=INT($C47), TEXT($C47, "dd-mmm"), "")</f>
        <v/>
      </c>
      <c r="BA47" s="84" t="str">
        <f aca="false">IF(INT(BA$3)=INT($C47), TEXT($C47, "dd-mmm"), "")</f>
        <v/>
      </c>
      <c r="BB47" s="84" t="str">
        <f aca="false">IF(INT(BB$3)=INT($C47), TEXT($C47, "dd-mmm"), "")</f>
        <v/>
      </c>
      <c r="BC47" s="84" t="str">
        <f aca="false">IF(INT(BC$3)=INT($C47), TEXT($C47, "dd-mmm"), "")</f>
        <v/>
      </c>
      <c r="BD47" s="84" t="str">
        <f aca="false">IF(INT(BD$3)=INT($C47), TEXT($C47, "dd-mmm"), "")</f>
        <v/>
      </c>
      <c r="BE47" s="84" t="str">
        <f aca="false">IF(INT(BE$3)=INT($C47), TEXT($C47, "dd-mmm"), "")</f>
        <v/>
      </c>
      <c r="BF47" s="84" t="str">
        <f aca="false">IF(INT(BF$3)=INT($C47), TEXT($C47, "dd-mmm"), "")</f>
        <v/>
      </c>
      <c r="BG47" s="84" t="str">
        <f aca="false">IF(INT(BG$3)=INT($C47), TEXT($C47, "dd-mmm"), "")</f>
        <v/>
      </c>
      <c r="BH47" s="84" t="str">
        <f aca="false">IF(INT(BH$3)=INT($C47), TEXT($C47, "dd-mmm"), "")</f>
        <v/>
      </c>
      <c r="BI47" s="84" t="str">
        <f aca="false">IF(INT(BI$3)=INT($C47), TEXT($C47, "dd-mmm"), "")</f>
        <v/>
      </c>
      <c r="BJ47" s="84" t="str">
        <f aca="false">IF(INT(BJ$3)=INT($C47), TEXT($C47, "dd-mmm"), "")</f>
        <v/>
      </c>
      <c r="BK47" s="84" t="str">
        <f aca="false">IF(INT(BK$3)=INT($C47), TEXT($C47, "dd-mmm"), "")</f>
        <v/>
      </c>
      <c r="BL47" s="84" t="str">
        <f aca="false">IF(INT(BL$3)=INT($C47), TEXT($C47, "dd-mmm"), "")</f>
        <v/>
      </c>
      <c r="BM47" s="84" t="str">
        <f aca="false">IF(INT(BM$3)=INT($C47), TEXT($C47, "dd-mmm"), "")</f>
        <v/>
      </c>
      <c r="BN47" s="84" t="str">
        <f aca="false">IF(INT(BN$3)=INT($C47), TEXT($C47, "dd-mmm"), "")</f>
        <v/>
      </c>
    </row>
    <row r="48" customFormat="false" ht="15" hidden="false" customHeight="true" outlineLevel="0" collapsed="false">
      <c r="A48" s="4" t="str">
        <f aca="false">Machine_List!A48</f>
        <v>EDM</v>
      </c>
      <c r="B48" s="4" t="str">
        <f aca="false">Machine_List!B48</f>
        <v>EDM-MC-29</v>
      </c>
      <c r="C48" s="12" t="n">
        <f aca="false">Machine_List!C48</f>
        <v>46493</v>
      </c>
      <c r="D48" s="4" t="n">
        <f aca="false">Machine_List!D48</f>
        <v>6</v>
      </c>
      <c r="E48" s="4" t="n">
        <f aca="true">C48-TODAY()</f>
        <v>375</v>
      </c>
      <c r="F48" s="4" t="str">
        <f aca="false">IF(E48&lt;0,"OVERDUE",IF(E48&lt;=5,"DUE SOON","OK"))</f>
        <v>OK</v>
      </c>
      <c r="G48" s="84" t="str">
        <f aca="false">IF(INT(G$3)=INT($C48), TEXT($C48, "dd-mmm"), "")</f>
        <v/>
      </c>
      <c r="H48" s="84" t="str">
        <f aca="false">IF(INT(H$3)=INT($C48), TEXT($C48, "dd-mmm"), "")</f>
        <v/>
      </c>
      <c r="I48" s="84" t="str">
        <f aca="false">IF(INT(I$3)=INT($C48), TEXT($C48, "dd-mmm"), "")</f>
        <v/>
      </c>
      <c r="J48" s="84" t="str">
        <f aca="false">IF(INT(J$3)=INT($C48), TEXT($C48, "dd-mmm"), "")</f>
        <v/>
      </c>
      <c r="K48" s="84" t="str">
        <f aca="false">IF(INT(K$3)=INT($C48), TEXT($C48, "dd-mmm"), "")</f>
        <v/>
      </c>
      <c r="L48" s="84" t="str">
        <f aca="false">IF(INT(L$3)=INT($C48), TEXT($C48, "dd-mmm"), "")</f>
        <v/>
      </c>
      <c r="M48" s="84" t="str">
        <f aca="false">IF(INT(M$3)=INT($C48), TEXT($C48, "dd-mmm"), "")</f>
        <v/>
      </c>
      <c r="N48" s="84" t="str">
        <f aca="false">IF(INT(N$3)=INT($C48), TEXT($C48, "dd-mmm"), "")</f>
        <v/>
      </c>
      <c r="O48" s="84" t="str">
        <f aca="false">IF(INT(O$3)=INT($C48), TEXT($C48, "dd-mmm"), "")</f>
        <v/>
      </c>
      <c r="P48" s="84" t="str">
        <f aca="false">IF(INT(P$3)=INT($C48), TEXT($C48, "dd-mmm"), "")</f>
        <v/>
      </c>
      <c r="Q48" s="84" t="str">
        <f aca="false">IF(INT(Q$3)=INT($C48), TEXT($C48, "dd-mmm"), "")</f>
        <v/>
      </c>
      <c r="R48" s="84" t="str">
        <f aca="false">IF(INT(R$3)=INT($C48), TEXT($C48, "dd-mmm"), "")</f>
        <v/>
      </c>
      <c r="S48" s="84" t="str">
        <f aca="false">IF(INT(S$3)=INT($C48), TEXT($C48, "dd-mmm"), "")</f>
        <v/>
      </c>
      <c r="T48" s="84" t="str">
        <f aca="false">IF(INT(T$3)=INT($C48), TEXT($C48, "dd-mmm"), "")</f>
        <v/>
      </c>
      <c r="U48" s="84" t="str">
        <f aca="false">IF(INT(U$3)=INT($C48), TEXT($C48, "dd-mmm"), "")</f>
        <v/>
      </c>
      <c r="V48" s="84" t="str">
        <f aca="false">IF(INT(V$3)=INT($C48), TEXT($C48, "dd-mmm"), "")</f>
        <v/>
      </c>
      <c r="W48" s="84" t="str">
        <f aca="false">IF(INT(W$3)=INT($C48), TEXT($C48, "dd-mmm"), "")</f>
        <v/>
      </c>
      <c r="X48" s="84" t="str">
        <f aca="false">IF(INT(X$3)=INT($C48), TEXT($C48, "dd-mmm"), "")</f>
        <v/>
      </c>
      <c r="Y48" s="84" t="str">
        <f aca="false">IF(INT(Y$3)=INT($C48), TEXT($C48, "dd-mmm"), "")</f>
        <v/>
      </c>
      <c r="Z48" s="84" t="str">
        <f aca="false">IF(INT(Z$3)=INT($C48), TEXT($C48, "dd-mmm"), "")</f>
        <v/>
      </c>
      <c r="AA48" s="84" t="str">
        <f aca="false">IF(INT(AA$3)=INT($C48), TEXT($C48, "dd-mmm"), "")</f>
        <v/>
      </c>
      <c r="AB48" s="84" t="str">
        <f aca="false">IF(INT(AB$3)=INT($C48), TEXT($C48, "dd-mmm"), "")</f>
        <v/>
      </c>
      <c r="AC48" s="84" t="str">
        <f aca="false">IF(INT(AC$3)=INT($C48), TEXT($C48, "dd-mmm"), "")</f>
        <v/>
      </c>
      <c r="AD48" s="84" t="str">
        <f aca="false">IF(INT(AD$3)=INT($C48), TEXT($C48, "dd-mmm"), "")</f>
        <v/>
      </c>
      <c r="AE48" s="84" t="str">
        <f aca="false">IF(INT(AE$3)=INT($C48), TEXT($C48, "dd-mmm"), "")</f>
        <v/>
      </c>
      <c r="AF48" s="84" t="str">
        <f aca="false">IF(INT(AF$3)=INT($C48), TEXT($C48, "dd-mmm"), "")</f>
        <v/>
      </c>
      <c r="AG48" s="84" t="str">
        <f aca="false">IF(INT(AG$3)=INT($C48), TEXT($C48, "dd-mmm"), "")</f>
        <v/>
      </c>
      <c r="AH48" s="84" t="str">
        <f aca="false">IF(INT(AH$3)=INT($C48), TEXT($C48, "dd-mmm"), "")</f>
        <v/>
      </c>
      <c r="AI48" s="84" t="str">
        <f aca="false">IF(INT(AI$3)=INT($C48), TEXT($C48, "dd-mmm"), "")</f>
        <v/>
      </c>
      <c r="AJ48" s="84" t="str">
        <f aca="false">IF(INT(AJ$3)=INT($C48), TEXT($C48, "dd-mmm"), "")</f>
        <v/>
      </c>
      <c r="AK48" s="84" t="str">
        <f aca="false">IF(INT(AK$3)=INT($C48), TEXT($C48, "dd-mmm"), "")</f>
        <v/>
      </c>
      <c r="AL48" s="84" t="str">
        <f aca="false">IF(INT(AL$3)=INT($C48), TEXT($C48, "dd-mmm"), "")</f>
        <v/>
      </c>
      <c r="AM48" s="84" t="str">
        <f aca="false">IF(INT(AM$3)=INT($C48), TEXT($C48, "dd-mmm"), "")</f>
        <v/>
      </c>
      <c r="AN48" s="84" t="str">
        <f aca="false">IF(INT(AN$3)=INT($C48), TEXT($C48, "dd-mmm"), "")</f>
        <v/>
      </c>
      <c r="AO48" s="84" t="str">
        <f aca="false">IF(INT(AO$3)=INT($C48), TEXT($C48, "dd-mmm"), "")</f>
        <v/>
      </c>
      <c r="AP48" s="84" t="str">
        <f aca="false">IF(INT(AP$3)=INT($C48), TEXT($C48, "dd-mmm"), "")</f>
        <v/>
      </c>
      <c r="AQ48" s="84" t="str">
        <f aca="false">IF(INT(AQ$3)=INT($C48), TEXT($C48, "dd-mmm"), "")</f>
        <v/>
      </c>
      <c r="AR48" s="84" t="str">
        <f aca="false">IF(INT(AR$3)=INT($C48), TEXT($C48, "dd-mmm"), "")</f>
        <v/>
      </c>
      <c r="AS48" s="84" t="str">
        <f aca="false">IF(INT(AS$3)=INT($C48), TEXT($C48, "dd-mmm"), "")</f>
        <v/>
      </c>
      <c r="AT48" s="84" t="str">
        <f aca="false">IF(INT(AT$3)=INT($C48), TEXT($C48, "dd-mmm"), "")</f>
        <v/>
      </c>
      <c r="AU48" s="84" t="str">
        <f aca="false">IF(INT(AU$3)=INT($C48), TEXT($C48, "dd-mmm"), "")</f>
        <v/>
      </c>
      <c r="AV48" s="84" t="str">
        <f aca="false">IF(INT(AV$3)=INT($C48), TEXT($C48, "dd-mmm"), "")</f>
        <v/>
      </c>
      <c r="AW48" s="84" t="str">
        <f aca="false">IF(INT(AW$3)=INT($C48), TEXT($C48, "dd-mmm"), "")</f>
        <v/>
      </c>
      <c r="AX48" s="84" t="str">
        <f aca="false">IF(INT(AX$3)=INT($C48), TEXT($C48, "dd-mmm"), "")</f>
        <v/>
      </c>
      <c r="AY48" s="84" t="str">
        <f aca="false">IF(INT(AY$3)=INT($C48), TEXT($C48, "dd-mmm"), "")</f>
        <v/>
      </c>
      <c r="AZ48" s="84" t="str">
        <f aca="false">IF(INT(AZ$3)=INT($C48), TEXT($C48, "dd-mmm"), "")</f>
        <v/>
      </c>
      <c r="BA48" s="84" t="str">
        <f aca="false">IF(INT(BA$3)=INT($C48), TEXT($C48, "dd-mmm"), "")</f>
        <v/>
      </c>
      <c r="BB48" s="84" t="str">
        <f aca="false">IF(INT(BB$3)=INT($C48), TEXT($C48, "dd-mmm"), "")</f>
        <v/>
      </c>
      <c r="BC48" s="84" t="str">
        <f aca="false">IF(INT(BC$3)=INT($C48), TEXT($C48, "dd-mmm"), "")</f>
        <v/>
      </c>
      <c r="BD48" s="84" t="str">
        <f aca="false">IF(INT(BD$3)=INT($C48), TEXT($C48, "dd-mmm"), "")</f>
        <v/>
      </c>
      <c r="BE48" s="84" t="str">
        <f aca="false">IF(INT(BE$3)=INT($C48), TEXT($C48, "dd-mmm"), "")</f>
        <v/>
      </c>
      <c r="BF48" s="84" t="str">
        <f aca="false">IF(INT(BF$3)=INT($C48), TEXT($C48, "dd-mmm"), "")</f>
        <v/>
      </c>
      <c r="BG48" s="84" t="str">
        <f aca="false">IF(INT(BG$3)=INT($C48), TEXT($C48, "dd-mmm"), "")</f>
        <v/>
      </c>
      <c r="BH48" s="84" t="str">
        <f aca="false">IF(INT(BH$3)=INT($C48), TEXT($C48, "dd-mmm"), "")</f>
        <v/>
      </c>
      <c r="BI48" s="84" t="str">
        <f aca="false">IF(INT(BI$3)=INT($C48), TEXT($C48, "dd-mmm"), "")</f>
        <v/>
      </c>
      <c r="BJ48" s="84" t="str">
        <f aca="false">IF(INT(BJ$3)=INT($C48), TEXT($C48, "dd-mmm"), "")</f>
        <v/>
      </c>
      <c r="BK48" s="84" t="str">
        <f aca="false">IF(INT(BK$3)=INT($C48), TEXT($C48, "dd-mmm"), "")</f>
        <v/>
      </c>
      <c r="BL48" s="84" t="str">
        <f aca="false">IF(INT(BL$3)=INT($C48), TEXT($C48, "dd-mmm"), "")</f>
        <v/>
      </c>
      <c r="BM48" s="84" t="str">
        <f aca="false">IF(INT(BM$3)=INT($C48), TEXT($C48, "dd-mmm"), "")</f>
        <v/>
      </c>
      <c r="BN48" s="84" t="str">
        <f aca="false">IF(INT(BN$3)=INT($C48), TEXT($C48, "dd-mmm"), "")</f>
        <v/>
      </c>
    </row>
    <row r="49" customFormat="false" ht="15" hidden="false" customHeight="true" outlineLevel="0" collapsed="false">
      <c r="A49" s="4" t="str">
        <f aca="false">Machine_List!A49</f>
        <v>EDM</v>
      </c>
      <c r="B49" s="4" t="str">
        <f aca="false">Machine_List!B49</f>
        <v>EDM-MC-30</v>
      </c>
      <c r="C49" s="12" t="n">
        <f aca="false">Machine_List!C49</f>
        <v>46106</v>
      </c>
      <c r="D49" s="4" t="n">
        <f aca="false">Machine_List!D49</f>
        <v>6</v>
      </c>
      <c r="E49" s="4" t="n">
        <f aca="true">C49-TODAY()</f>
        <v>-12</v>
      </c>
      <c r="F49" s="4" t="str">
        <f aca="false">IF(E49&lt;0,"OVERDUE",IF(E49&lt;=5,"DUE SOON","OK"))</f>
        <v>OVERDUE</v>
      </c>
      <c r="G49" s="84" t="str">
        <f aca="false">IF(INT(G$3)=INT($C49), TEXT($C49, "dd-mmm"), "")</f>
        <v/>
      </c>
      <c r="H49" s="84" t="str">
        <f aca="false">IF(INT(H$3)=INT($C49), TEXT($C49, "dd-mmm"), "")</f>
        <v/>
      </c>
      <c r="I49" s="84" t="str">
        <f aca="false">IF(INT(I$3)=INT($C49), TEXT($C49, "dd-mmm"), "")</f>
        <v/>
      </c>
      <c r="J49" s="84" t="str">
        <f aca="false">IF(INT(J$3)=INT($C49), TEXT($C49, "dd-mmm"), "")</f>
        <v/>
      </c>
      <c r="K49" s="84" t="str">
        <f aca="false">IF(INT(K$3)=INT($C49), TEXT($C49, "dd-mmm"), "")</f>
        <v/>
      </c>
      <c r="L49" s="84" t="str">
        <f aca="false">IF(INT(L$3)=INT($C49), TEXT($C49, "dd-mmm"), "")</f>
        <v/>
      </c>
      <c r="M49" s="84" t="str">
        <f aca="false">IF(INT(M$3)=INT($C49), TEXT($C49, "dd-mmm"), "")</f>
        <v/>
      </c>
      <c r="N49" s="84" t="str">
        <f aca="false">IF(INT(N$3)=INT($C49), TEXT($C49, "dd-mmm"), "")</f>
        <v/>
      </c>
      <c r="O49" s="84" t="str">
        <f aca="false">IF(INT(O$3)=INT($C49), TEXT($C49, "dd-mmm"), "")</f>
        <v/>
      </c>
      <c r="P49" s="84" t="str">
        <f aca="false">IF(INT(P$3)=INT($C49), TEXT($C49, "dd-mmm"), "")</f>
        <v/>
      </c>
      <c r="Q49" s="84" t="str">
        <f aca="false">IF(INT(Q$3)=INT($C49), TEXT($C49, "dd-mmm"), "")</f>
        <v/>
      </c>
      <c r="R49" s="84" t="str">
        <f aca="false">IF(INT(R$3)=INT($C49), TEXT($C49, "dd-mmm"), "")</f>
        <v/>
      </c>
      <c r="S49" s="84" t="str">
        <f aca="false">IF(INT(S$3)=INT($C49), TEXT($C49, "dd-mmm"), "")</f>
        <v/>
      </c>
      <c r="T49" s="84" t="str">
        <f aca="false">IF(INT(T$3)=INT($C49), TEXT($C49, "dd-mmm"), "")</f>
        <v/>
      </c>
      <c r="U49" s="84" t="str">
        <f aca="false">IF(INT(U$3)=INT($C49), TEXT($C49, "dd-mmm"), "")</f>
        <v/>
      </c>
      <c r="V49" s="84" t="str">
        <f aca="false">IF(INT(V$3)=INT($C49), TEXT($C49, "dd-mmm"), "")</f>
        <v/>
      </c>
      <c r="W49" s="84" t="str">
        <f aca="false">IF(INT(W$3)=INT($C49), TEXT($C49, "dd-mmm"), "")</f>
        <v/>
      </c>
      <c r="X49" s="84" t="str">
        <f aca="false">IF(INT(X$3)=INT($C49), TEXT($C49, "dd-mmm"), "")</f>
        <v/>
      </c>
      <c r="Y49" s="84" t="str">
        <f aca="false">IF(INT(Y$3)=INT($C49), TEXT($C49, "dd-mmm"), "")</f>
        <v/>
      </c>
      <c r="Z49" s="84" t="str">
        <f aca="false">IF(INT(Z$3)=INT($C49), TEXT($C49, "dd-mmm"), "")</f>
        <v/>
      </c>
      <c r="AA49" s="84" t="str">
        <f aca="false">IF(INT(AA$3)=INT($C49), TEXT($C49, "dd-mmm"), "")</f>
        <v/>
      </c>
      <c r="AB49" s="84" t="str">
        <f aca="false">IF(INT(AB$3)=INT($C49), TEXT($C49, "dd-mmm"), "")</f>
        <v/>
      </c>
      <c r="AC49" s="84" t="str">
        <f aca="false">IF(INT(AC$3)=INT($C49), TEXT($C49, "dd-mmm"), "")</f>
        <v/>
      </c>
      <c r="AD49" s="84" t="str">
        <f aca="false">IF(INT(AD$3)=INT($C49), TEXT($C49, "dd-mmm"), "")</f>
        <v/>
      </c>
      <c r="AE49" s="84" t="str">
        <f aca="false">IF(INT(AE$3)=INT($C49), TEXT($C49, "dd-mmm"), "")</f>
        <v/>
      </c>
      <c r="AF49" s="84" t="str">
        <f aca="false">IF(INT(AF$3)=INT($C49), TEXT($C49, "dd-mmm"), "")</f>
        <v/>
      </c>
      <c r="AG49" s="84" t="str">
        <f aca="false">IF(INT(AG$3)=INT($C49), TEXT($C49, "dd-mmm"), "")</f>
        <v/>
      </c>
      <c r="AH49" s="84" t="str">
        <f aca="false">IF(INT(AH$3)=INT($C49), TEXT($C49, "dd-mmm"), "")</f>
        <v/>
      </c>
      <c r="AI49" s="84" t="str">
        <f aca="false">IF(INT(AI$3)=INT($C49), TEXT($C49, "dd-mmm"), "")</f>
        <v/>
      </c>
      <c r="AJ49" s="84" t="str">
        <f aca="false">IF(INT(AJ$3)=INT($C49), TEXT($C49, "dd-mmm"), "")</f>
        <v/>
      </c>
      <c r="AK49" s="84" t="str">
        <f aca="false">IF(INT(AK$3)=INT($C49), TEXT($C49, "dd-mmm"), "")</f>
        <v/>
      </c>
      <c r="AL49" s="84" t="str">
        <f aca="false">IF(INT(AL$3)=INT($C49), TEXT($C49, "dd-mmm"), "")</f>
        <v/>
      </c>
      <c r="AM49" s="84" t="str">
        <f aca="false">IF(INT(AM$3)=INT($C49), TEXT($C49, "dd-mmm"), "")</f>
        <v/>
      </c>
      <c r="AN49" s="84" t="str">
        <f aca="false">IF(INT(AN$3)=INT($C49), TEXT($C49, "dd-mmm"), "")</f>
        <v/>
      </c>
      <c r="AO49" s="84" t="str">
        <f aca="false">IF(INT(AO$3)=INT($C49), TEXT($C49, "dd-mmm"), "")</f>
        <v/>
      </c>
      <c r="AP49" s="84" t="str">
        <f aca="false">IF(INT(AP$3)=INT($C49), TEXT($C49, "dd-mmm"), "")</f>
        <v/>
      </c>
      <c r="AQ49" s="84" t="str">
        <f aca="false">IF(INT(AQ$3)=INT($C49), TEXT($C49, "dd-mmm"), "")</f>
        <v/>
      </c>
      <c r="AR49" s="84" t="str">
        <f aca="false">IF(INT(AR$3)=INT($C49), TEXT($C49, "dd-mmm"), "")</f>
        <v/>
      </c>
      <c r="AS49" s="84" t="str">
        <f aca="false">IF(INT(AS$3)=INT($C49), TEXT($C49, "dd-mmm"), "")</f>
        <v/>
      </c>
      <c r="AT49" s="84" t="str">
        <f aca="false">IF(INT(AT$3)=INT($C49), TEXT($C49, "dd-mmm"), "")</f>
        <v/>
      </c>
      <c r="AU49" s="84" t="str">
        <f aca="false">IF(INT(AU$3)=INT($C49), TEXT($C49, "dd-mmm"), "")</f>
        <v/>
      </c>
      <c r="AV49" s="84" t="str">
        <f aca="false">IF(INT(AV$3)=INT($C49), TEXT($C49, "dd-mmm"), "")</f>
        <v/>
      </c>
      <c r="AW49" s="84" t="str">
        <f aca="false">IF(INT(AW$3)=INT($C49), TEXT($C49, "dd-mmm"), "")</f>
        <v/>
      </c>
      <c r="AX49" s="84" t="str">
        <f aca="false">IF(INT(AX$3)=INT($C49), TEXT($C49, "dd-mmm"), "")</f>
        <v/>
      </c>
      <c r="AY49" s="84" t="str">
        <f aca="false">IF(INT(AY$3)=INT($C49), TEXT($C49, "dd-mmm"), "")</f>
        <v/>
      </c>
      <c r="AZ49" s="84" t="str">
        <f aca="false">IF(INT(AZ$3)=INT($C49), TEXT($C49, "dd-mmm"), "")</f>
        <v/>
      </c>
      <c r="BA49" s="84" t="str">
        <f aca="false">IF(INT(BA$3)=INT($C49), TEXT($C49, "dd-mmm"), "")</f>
        <v/>
      </c>
      <c r="BB49" s="84" t="str">
        <f aca="false">IF(INT(BB$3)=INT($C49), TEXT($C49, "dd-mmm"), "")</f>
        <v/>
      </c>
      <c r="BC49" s="84" t="str">
        <f aca="false">IF(INT(BC$3)=INT($C49), TEXT($C49, "dd-mmm"), "")</f>
        <v/>
      </c>
      <c r="BD49" s="84" t="str">
        <f aca="false">IF(INT(BD$3)=INT($C49), TEXT($C49, "dd-mmm"), "")</f>
        <v/>
      </c>
      <c r="BE49" s="84" t="str">
        <f aca="false">IF(INT(BE$3)=INT($C49), TEXT($C49, "dd-mmm"), "")</f>
        <v/>
      </c>
      <c r="BF49" s="84" t="str">
        <f aca="false">IF(INT(BF$3)=INT($C49), TEXT($C49, "dd-mmm"), "")</f>
        <v/>
      </c>
      <c r="BG49" s="84" t="str">
        <f aca="false">IF(INT(BG$3)=INT($C49), TEXT($C49, "dd-mmm"), "")</f>
        <v/>
      </c>
      <c r="BH49" s="84" t="str">
        <f aca="false">IF(INT(BH$3)=INT($C49), TEXT($C49, "dd-mmm"), "")</f>
        <v/>
      </c>
      <c r="BI49" s="84" t="str">
        <f aca="false">IF(INT(BI$3)=INT($C49), TEXT($C49, "dd-mmm"), "")</f>
        <v/>
      </c>
      <c r="BJ49" s="84" t="str">
        <f aca="false">IF(INT(BJ$3)=INT($C49), TEXT($C49, "dd-mmm"), "")</f>
        <v/>
      </c>
      <c r="BK49" s="84" t="str">
        <f aca="false">IF(INT(BK$3)=INT($C49), TEXT($C49, "dd-mmm"), "")</f>
        <v/>
      </c>
      <c r="BL49" s="84" t="str">
        <f aca="false">IF(INT(BL$3)=INT($C49), TEXT($C49, "dd-mmm"), "")</f>
        <v/>
      </c>
      <c r="BM49" s="84" t="str">
        <f aca="false">IF(INT(BM$3)=INT($C49), TEXT($C49, "dd-mmm"), "")</f>
        <v/>
      </c>
      <c r="BN49" s="84" t="str">
        <f aca="false">IF(INT(BN$3)=INT($C49), TEXT($C49, "dd-mmm"), "")</f>
        <v/>
      </c>
    </row>
    <row r="50" customFormat="false" ht="15" hidden="false" customHeight="true" outlineLevel="0" collapsed="false">
      <c r="A50" s="4" t="str">
        <f aca="false">Machine_List!A50</f>
        <v>ENG</v>
      </c>
      <c r="B50" s="4" t="str">
        <f aca="false">Machine_List!B50</f>
        <v>ENG-MC-01</v>
      </c>
      <c r="C50" s="12" t="n">
        <f aca="false">Machine_List!C50</f>
        <v>46090</v>
      </c>
      <c r="D50" s="4" t="n">
        <f aca="false">Machine_List!D50</f>
        <v>6</v>
      </c>
      <c r="E50" s="4" t="n">
        <f aca="true">C50-TODAY()</f>
        <v>-28</v>
      </c>
      <c r="F50" s="4" t="str">
        <f aca="false">IF(E50&lt;0,"OVERDUE",IF(E50&lt;=5,"DUE SOON","OK"))</f>
        <v>OVERDUE</v>
      </c>
      <c r="G50" s="84" t="str">
        <f aca="false">IF(INT(G$3)=INT($C50), TEXT($C50, "dd-mmm"), "")</f>
        <v/>
      </c>
      <c r="H50" s="84" t="str">
        <f aca="false">IF(INT(H$3)=INT($C50), TEXT($C50, "dd-mmm"), "")</f>
        <v/>
      </c>
      <c r="I50" s="84" t="str">
        <f aca="false">IF(INT(I$3)=INT($C50), TEXT($C50, "dd-mmm"), "")</f>
        <v/>
      </c>
      <c r="J50" s="84" t="str">
        <f aca="false">IF(INT(J$3)=INT($C50), TEXT($C50, "dd-mmm"), "")</f>
        <v/>
      </c>
      <c r="K50" s="84" t="str">
        <f aca="false">IF(INT(K$3)=INT($C50), TEXT($C50, "dd-mmm"), "")</f>
        <v/>
      </c>
      <c r="L50" s="84" t="str">
        <f aca="false">IF(INT(L$3)=INT($C50), TEXT($C50, "dd-mmm"), "")</f>
        <v/>
      </c>
      <c r="M50" s="84" t="str">
        <f aca="false">IF(INT(M$3)=INT($C50), TEXT($C50, "dd-mmm"), "")</f>
        <v/>
      </c>
      <c r="N50" s="84" t="str">
        <f aca="false">IF(INT(N$3)=INT($C50), TEXT($C50, "dd-mmm"), "")</f>
        <v/>
      </c>
      <c r="O50" s="84" t="str">
        <f aca="false">IF(INT(O$3)=INT($C50), TEXT($C50, "dd-mmm"), "")</f>
        <v/>
      </c>
      <c r="P50" s="84" t="str">
        <f aca="false">IF(INT(P$3)=INT($C50), TEXT($C50, "dd-mmm"), "")</f>
        <v/>
      </c>
      <c r="Q50" s="84" t="str">
        <f aca="false">IF(INT(Q$3)=INT($C50), TEXT($C50, "dd-mmm"), "")</f>
        <v/>
      </c>
      <c r="R50" s="84" t="str">
        <f aca="false">IF(INT(R$3)=INT($C50), TEXT($C50, "dd-mmm"), "")</f>
        <v/>
      </c>
      <c r="S50" s="84" t="str">
        <f aca="false">IF(INT(S$3)=INT($C50), TEXT($C50, "dd-mmm"), "")</f>
        <v/>
      </c>
      <c r="T50" s="84" t="str">
        <f aca="false">IF(INT(T$3)=INT($C50), TEXT($C50, "dd-mmm"), "")</f>
        <v/>
      </c>
      <c r="U50" s="84" t="str">
        <f aca="false">IF(INT(U$3)=INT($C50), TEXT($C50, "dd-mmm"), "")</f>
        <v/>
      </c>
      <c r="V50" s="84" t="str">
        <f aca="false">IF(INT(V$3)=INT($C50), TEXT($C50, "dd-mmm"), "")</f>
        <v/>
      </c>
      <c r="W50" s="84" t="str">
        <f aca="false">IF(INT(W$3)=INT($C50), TEXT($C50, "dd-mmm"), "")</f>
        <v/>
      </c>
      <c r="X50" s="84" t="str">
        <f aca="false">IF(INT(X$3)=INT($C50), TEXT($C50, "dd-mmm"), "")</f>
        <v/>
      </c>
      <c r="Y50" s="84" t="str">
        <f aca="false">IF(INT(Y$3)=INT($C50), TEXT($C50, "dd-mmm"), "")</f>
        <v/>
      </c>
      <c r="Z50" s="84" t="str">
        <f aca="false">IF(INT(Z$3)=INT($C50), TEXT($C50, "dd-mmm"), "")</f>
        <v/>
      </c>
      <c r="AA50" s="84" t="str">
        <f aca="false">IF(INT(AA$3)=INT($C50), TEXT($C50, "dd-mmm"), "")</f>
        <v/>
      </c>
      <c r="AB50" s="84" t="str">
        <f aca="false">IF(INT(AB$3)=INT($C50), TEXT($C50, "dd-mmm"), "")</f>
        <v/>
      </c>
      <c r="AC50" s="84" t="str">
        <f aca="false">IF(INT(AC$3)=INT($C50), TEXT($C50, "dd-mmm"), "")</f>
        <v/>
      </c>
      <c r="AD50" s="84" t="str">
        <f aca="false">IF(INT(AD$3)=INT($C50), TEXT($C50, "dd-mmm"), "")</f>
        <v/>
      </c>
      <c r="AE50" s="84" t="str">
        <f aca="false">IF(INT(AE$3)=INT($C50), TEXT($C50, "dd-mmm"), "")</f>
        <v/>
      </c>
      <c r="AF50" s="84" t="str">
        <f aca="false">IF(INT(AF$3)=INT($C50), TEXT($C50, "dd-mmm"), "")</f>
        <v/>
      </c>
      <c r="AG50" s="84" t="str">
        <f aca="false">IF(INT(AG$3)=INT($C50), TEXT($C50, "dd-mmm"), "")</f>
        <v/>
      </c>
      <c r="AH50" s="84" t="str">
        <f aca="false">IF(INT(AH$3)=INT($C50), TEXT($C50, "dd-mmm"), "")</f>
        <v/>
      </c>
      <c r="AI50" s="84" t="str">
        <f aca="false">IF(INT(AI$3)=INT($C50), TEXT($C50, "dd-mmm"), "")</f>
        <v/>
      </c>
      <c r="AJ50" s="84" t="str">
        <f aca="false">IF(INT(AJ$3)=INT($C50), TEXT($C50, "dd-mmm"), "")</f>
        <v/>
      </c>
      <c r="AK50" s="84" t="str">
        <f aca="false">IF(INT(AK$3)=INT($C50), TEXT($C50, "dd-mmm"), "")</f>
        <v/>
      </c>
      <c r="AL50" s="84" t="str">
        <f aca="false">IF(INT(AL$3)=INT($C50), TEXT($C50, "dd-mmm"), "")</f>
        <v/>
      </c>
      <c r="AM50" s="84" t="str">
        <f aca="false">IF(INT(AM$3)=INT($C50), TEXT($C50, "dd-mmm"), "")</f>
        <v/>
      </c>
      <c r="AN50" s="84" t="str">
        <f aca="false">IF(INT(AN$3)=INT($C50), TEXT($C50, "dd-mmm"), "")</f>
        <v/>
      </c>
      <c r="AO50" s="84" t="str">
        <f aca="false">IF(INT(AO$3)=INT($C50), TEXT($C50, "dd-mmm"), "")</f>
        <v/>
      </c>
      <c r="AP50" s="84" t="str">
        <f aca="false">IF(INT(AP$3)=INT($C50), TEXT($C50, "dd-mmm"), "")</f>
        <v/>
      </c>
      <c r="AQ50" s="84" t="str">
        <f aca="false">IF(INT(AQ$3)=INT($C50), TEXT($C50, "dd-mmm"), "")</f>
        <v/>
      </c>
      <c r="AR50" s="84" t="str">
        <f aca="false">IF(INT(AR$3)=INT($C50), TEXT($C50, "dd-mmm"), "")</f>
        <v/>
      </c>
      <c r="AS50" s="84" t="str">
        <f aca="false">IF(INT(AS$3)=INT($C50), TEXT($C50, "dd-mmm"), "")</f>
        <v/>
      </c>
      <c r="AT50" s="84" t="str">
        <f aca="false">IF(INT(AT$3)=INT($C50), TEXT($C50, "dd-mmm"), "")</f>
        <v/>
      </c>
      <c r="AU50" s="84" t="str">
        <f aca="false">IF(INT(AU$3)=INT($C50), TEXT($C50, "dd-mmm"), "")</f>
        <v/>
      </c>
      <c r="AV50" s="84" t="str">
        <f aca="false">IF(INT(AV$3)=INT($C50), TEXT($C50, "dd-mmm"), "")</f>
        <v/>
      </c>
      <c r="AW50" s="84" t="str">
        <f aca="false">IF(INT(AW$3)=INT($C50), TEXT($C50, "dd-mmm"), "")</f>
        <v/>
      </c>
      <c r="AX50" s="84" t="str">
        <f aca="false">IF(INT(AX$3)=INT($C50), TEXT($C50, "dd-mmm"), "")</f>
        <v/>
      </c>
      <c r="AY50" s="84" t="str">
        <f aca="false">IF(INT(AY$3)=INT($C50), TEXT($C50, "dd-mmm"), "")</f>
        <v/>
      </c>
      <c r="AZ50" s="84" t="str">
        <f aca="false">IF(INT(AZ$3)=INT($C50), TEXT($C50, "dd-mmm"), "")</f>
        <v/>
      </c>
      <c r="BA50" s="84" t="str">
        <f aca="false">IF(INT(BA$3)=INT($C50), TEXT($C50, "dd-mmm"), "")</f>
        <v/>
      </c>
      <c r="BB50" s="84" t="str">
        <f aca="false">IF(INT(BB$3)=INT($C50), TEXT($C50, "dd-mmm"), "")</f>
        <v/>
      </c>
      <c r="BC50" s="84" t="str">
        <f aca="false">IF(INT(BC$3)=INT($C50), TEXT($C50, "dd-mmm"), "")</f>
        <v/>
      </c>
      <c r="BD50" s="84" t="str">
        <f aca="false">IF(INT(BD$3)=INT($C50), TEXT($C50, "dd-mmm"), "")</f>
        <v/>
      </c>
      <c r="BE50" s="84" t="str">
        <f aca="false">IF(INT(BE$3)=INT($C50), TEXT($C50, "dd-mmm"), "")</f>
        <v/>
      </c>
      <c r="BF50" s="84" t="str">
        <f aca="false">IF(INT(BF$3)=INT($C50), TEXT($C50, "dd-mmm"), "")</f>
        <v/>
      </c>
      <c r="BG50" s="84" t="str">
        <f aca="false">IF(INT(BG$3)=INT($C50), TEXT($C50, "dd-mmm"), "")</f>
        <v/>
      </c>
      <c r="BH50" s="84" t="str">
        <f aca="false">IF(INT(BH$3)=INT($C50), TEXT($C50, "dd-mmm"), "")</f>
        <v/>
      </c>
      <c r="BI50" s="84" t="str">
        <f aca="false">IF(INT(BI$3)=INT($C50), TEXT($C50, "dd-mmm"), "")</f>
        <v/>
      </c>
      <c r="BJ50" s="84" t="str">
        <f aca="false">IF(INT(BJ$3)=INT($C50), TEXT($C50, "dd-mmm"), "")</f>
        <v/>
      </c>
      <c r="BK50" s="84" t="str">
        <f aca="false">IF(INT(BK$3)=INT($C50), TEXT($C50, "dd-mmm"), "")</f>
        <v/>
      </c>
      <c r="BL50" s="84" t="str">
        <f aca="false">IF(INT(BL$3)=INT($C50), TEXT($C50, "dd-mmm"), "")</f>
        <v/>
      </c>
      <c r="BM50" s="84" t="str">
        <f aca="false">IF(INT(BM$3)=INT($C50), TEXT($C50, "dd-mmm"), "")</f>
        <v/>
      </c>
      <c r="BN50" s="84" t="str">
        <f aca="false">IF(INT(BN$3)=INT($C50), TEXT($C50, "dd-mmm"), "")</f>
        <v/>
      </c>
    </row>
    <row r="51" customFormat="false" ht="15" hidden="false" customHeight="true" outlineLevel="0" collapsed="false">
      <c r="A51" s="4" t="str">
        <f aca="false">Machine_List!A51</f>
        <v>ENG</v>
      </c>
      <c r="B51" s="4" t="str">
        <f aca="false">Machine_List!B51</f>
        <v>ENG-MC-02</v>
      </c>
      <c r="C51" s="12" t="n">
        <f aca="false">Machine_List!C51</f>
        <v>46230</v>
      </c>
      <c r="D51" s="4" t="n">
        <f aca="false">Machine_List!D51</f>
        <v>6</v>
      </c>
      <c r="E51" s="4" t="n">
        <f aca="true">C51-TODAY()</f>
        <v>112</v>
      </c>
      <c r="F51" s="4" t="str">
        <f aca="false">IF(E51&lt;0,"OVERDUE",IF(E51&lt;=5,"DUE SOON","OK"))</f>
        <v>OK</v>
      </c>
      <c r="G51" s="84" t="str">
        <f aca="false">IF(INT(G$3)=INT($C51), TEXT($C51, "dd-mmm"), "")</f>
        <v/>
      </c>
      <c r="H51" s="84" t="str">
        <f aca="false">IF(INT(H$3)=INT($C51), TEXT($C51, "dd-mmm"), "")</f>
        <v/>
      </c>
      <c r="I51" s="84" t="str">
        <f aca="false">IF(INT(I$3)=INT($C51), TEXT($C51, "dd-mmm"), "")</f>
        <v/>
      </c>
      <c r="J51" s="84" t="str">
        <f aca="false">IF(INT(J$3)=INT($C51), TEXT($C51, "dd-mmm"), "")</f>
        <v/>
      </c>
      <c r="K51" s="84" t="str">
        <f aca="false">IF(INT(K$3)=INT($C51), TEXT($C51, "dd-mmm"), "")</f>
        <v/>
      </c>
      <c r="L51" s="84" t="str">
        <f aca="false">IF(INT(L$3)=INT($C51), TEXT($C51, "dd-mmm"), "")</f>
        <v/>
      </c>
      <c r="M51" s="84" t="str">
        <f aca="false">IF(INT(M$3)=INT($C51), TEXT($C51, "dd-mmm"), "")</f>
        <v/>
      </c>
      <c r="N51" s="84" t="str">
        <f aca="false">IF(INT(N$3)=INT($C51), TEXT($C51, "dd-mmm"), "")</f>
        <v/>
      </c>
      <c r="O51" s="84" t="str">
        <f aca="false">IF(INT(O$3)=INT($C51), TEXT($C51, "dd-mmm"), "")</f>
        <v/>
      </c>
      <c r="P51" s="84" t="str">
        <f aca="false">IF(INT(P$3)=INT($C51), TEXT($C51, "dd-mmm"), "")</f>
        <v/>
      </c>
      <c r="Q51" s="84" t="str">
        <f aca="false">IF(INT(Q$3)=INT($C51), TEXT($C51, "dd-mmm"), "")</f>
        <v/>
      </c>
      <c r="R51" s="84" t="str">
        <f aca="false">IF(INT(R$3)=INT($C51), TEXT($C51, "dd-mmm"), "")</f>
        <v/>
      </c>
      <c r="S51" s="84" t="str">
        <f aca="false">IF(INT(S$3)=INT($C51), TEXT($C51, "dd-mmm"), "")</f>
        <v/>
      </c>
      <c r="T51" s="84" t="str">
        <f aca="false">IF(INT(T$3)=INT($C51), TEXT($C51, "dd-mmm"), "")</f>
        <v/>
      </c>
      <c r="U51" s="84" t="str">
        <f aca="false">IF(INT(U$3)=INT($C51), TEXT($C51, "dd-mmm"), "")</f>
        <v/>
      </c>
      <c r="V51" s="84" t="str">
        <f aca="false">IF(INT(V$3)=INT($C51), TEXT($C51, "dd-mmm"), "")</f>
        <v/>
      </c>
      <c r="W51" s="84" t="str">
        <f aca="false">IF(INT(W$3)=INT($C51), TEXT($C51, "dd-mmm"), "")</f>
        <v/>
      </c>
      <c r="X51" s="84" t="str">
        <f aca="false">IF(INT(X$3)=INT($C51), TEXT($C51, "dd-mmm"), "")</f>
        <v/>
      </c>
      <c r="Y51" s="84" t="str">
        <f aca="false">IF(INT(Y$3)=INT($C51), TEXT($C51, "dd-mmm"), "")</f>
        <v/>
      </c>
      <c r="Z51" s="84" t="str">
        <f aca="false">IF(INT(Z$3)=INT($C51), TEXT($C51, "dd-mmm"), "")</f>
        <v/>
      </c>
      <c r="AA51" s="84" t="str">
        <f aca="false">IF(INT(AA$3)=INT($C51), TEXT($C51, "dd-mmm"), "")</f>
        <v/>
      </c>
      <c r="AB51" s="84" t="str">
        <f aca="false">IF(INT(AB$3)=INT($C51), TEXT($C51, "dd-mmm"), "")</f>
        <v/>
      </c>
      <c r="AC51" s="84" t="str">
        <f aca="false">IF(INT(AC$3)=INT($C51), TEXT($C51, "dd-mmm"), "")</f>
        <v/>
      </c>
      <c r="AD51" s="84" t="str">
        <f aca="false">IF(INT(AD$3)=INT($C51), TEXT($C51, "dd-mmm"), "")</f>
        <v/>
      </c>
      <c r="AE51" s="84" t="str">
        <f aca="false">IF(INT(AE$3)=INT($C51), TEXT($C51, "dd-mmm"), "")</f>
        <v/>
      </c>
      <c r="AF51" s="84" t="str">
        <f aca="false">IF(INT(AF$3)=INT($C51), TEXT($C51, "dd-mmm"), "")</f>
        <v/>
      </c>
      <c r="AG51" s="84" t="str">
        <f aca="false">IF(INT(AG$3)=INT($C51), TEXT($C51, "dd-mmm"), "")</f>
        <v/>
      </c>
      <c r="AH51" s="84" t="str">
        <f aca="false">IF(INT(AH$3)=INT($C51), TEXT($C51, "dd-mmm"), "")</f>
        <v/>
      </c>
      <c r="AI51" s="84" t="str">
        <f aca="false">IF(INT(AI$3)=INT($C51), TEXT($C51, "dd-mmm"), "")</f>
        <v/>
      </c>
      <c r="AJ51" s="84" t="str">
        <f aca="false">IF(INT(AJ$3)=INT($C51), TEXT($C51, "dd-mmm"), "")</f>
        <v/>
      </c>
      <c r="AK51" s="84" t="str">
        <f aca="false">IF(INT(AK$3)=INT($C51), TEXT($C51, "dd-mmm"), "")</f>
        <v/>
      </c>
      <c r="AL51" s="84" t="str">
        <f aca="false">IF(INT(AL$3)=INT($C51), TEXT($C51, "dd-mmm"), "")</f>
        <v/>
      </c>
      <c r="AM51" s="84" t="str">
        <f aca="false">IF(INT(AM$3)=INT($C51), TEXT($C51, "dd-mmm"), "")</f>
        <v/>
      </c>
      <c r="AN51" s="84" t="str">
        <f aca="false">IF(INT(AN$3)=INT($C51), TEXT($C51, "dd-mmm"), "")</f>
        <v/>
      </c>
      <c r="AO51" s="84" t="str">
        <f aca="false">IF(INT(AO$3)=INT($C51), TEXT($C51, "dd-mmm"), "")</f>
        <v/>
      </c>
      <c r="AP51" s="84" t="str">
        <f aca="false">IF(INT(AP$3)=INT($C51), TEXT($C51, "dd-mmm"), "")</f>
        <v/>
      </c>
      <c r="AQ51" s="84" t="str">
        <f aca="false">IF(INT(AQ$3)=INT($C51), TEXT($C51, "dd-mmm"), "")</f>
        <v/>
      </c>
      <c r="AR51" s="84" t="str">
        <f aca="false">IF(INT(AR$3)=INT($C51), TEXT($C51, "dd-mmm"), "")</f>
        <v/>
      </c>
      <c r="AS51" s="84" t="str">
        <f aca="false">IF(INT(AS$3)=INT($C51), TEXT($C51, "dd-mmm"), "")</f>
        <v/>
      </c>
      <c r="AT51" s="84" t="str">
        <f aca="false">IF(INT(AT$3)=INT($C51), TEXT($C51, "dd-mmm"), "")</f>
        <v/>
      </c>
      <c r="AU51" s="84" t="str">
        <f aca="false">IF(INT(AU$3)=INT($C51), TEXT($C51, "dd-mmm"), "")</f>
        <v/>
      </c>
      <c r="AV51" s="84" t="str">
        <f aca="false">IF(INT(AV$3)=INT($C51), TEXT($C51, "dd-mmm"), "")</f>
        <v/>
      </c>
      <c r="AW51" s="84" t="str">
        <f aca="false">IF(INT(AW$3)=INT($C51), TEXT($C51, "dd-mmm"), "")</f>
        <v/>
      </c>
      <c r="AX51" s="84" t="str">
        <f aca="false">IF(INT(AX$3)=INT($C51), TEXT($C51, "dd-mmm"), "")</f>
        <v/>
      </c>
      <c r="AY51" s="84" t="str">
        <f aca="false">IF(INT(AY$3)=INT($C51), TEXT($C51, "dd-mmm"), "")</f>
        <v/>
      </c>
      <c r="AZ51" s="84" t="str">
        <f aca="false">IF(INT(AZ$3)=INT($C51), TEXT($C51, "dd-mmm"), "")</f>
        <v/>
      </c>
      <c r="BA51" s="84" t="str">
        <f aca="false">IF(INT(BA$3)=INT($C51), TEXT($C51, "dd-mmm"), "")</f>
        <v/>
      </c>
      <c r="BB51" s="84" t="str">
        <f aca="false">IF(INT(BB$3)=INT($C51), TEXT($C51, "dd-mmm"), "")</f>
        <v/>
      </c>
      <c r="BC51" s="84" t="str">
        <f aca="false">IF(INT(BC$3)=INT($C51), TEXT($C51, "dd-mmm"), "")</f>
        <v/>
      </c>
      <c r="BD51" s="84" t="str">
        <f aca="false">IF(INT(BD$3)=INT($C51), TEXT($C51, "dd-mmm"), "")</f>
        <v/>
      </c>
      <c r="BE51" s="84" t="str">
        <f aca="false">IF(INT(BE$3)=INT($C51), TEXT($C51, "dd-mmm"), "")</f>
        <v/>
      </c>
      <c r="BF51" s="84" t="str">
        <f aca="false">IF(INT(BF$3)=INT($C51), TEXT($C51, "dd-mmm"), "")</f>
        <v/>
      </c>
      <c r="BG51" s="84" t="str">
        <f aca="false">IF(INT(BG$3)=INT($C51), TEXT($C51, "dd-mmm"), "")</f>
        <v/>
      </c>
      <c r="BH51" s="84" t="str">
        <f aca="false">IF(INT(BH$3)=INT($C51), TEXT($C51, "dd-mmm"), "")</f>
        <v/>
      </c>
      <c r="BI51" s="84" t="str">
        <f aca="false">IF(INT(BI$3)=INT($C51), TEXT($C51, "dd-mmm"), "")</f>
        <v/>
      </c>
      <c r="BJ51" s="84" t="str">
        <f aca="false">IF(INT(BJ$3)=INT($C51), TEXT($C51, "dd-mmm"), "")</f>
        <v/>
      </c>
      <c r="BK51" s="84" t="str">
        <f aca="false">IF(INT(BK$3)=INT($C51), TEXT($C51, "dd-mmm"), "")</f>
        <v/>
      </c>
      <c r="BL51" s="84" t="str">
        <f aca="false">IF(INT(BL$3)=INT($C51), TEXT($C51, "dd-mmm"), "")</f>
        <v/>
      </c>
      <c r="BM51" s="84" t="str">
        <f aca="false">IF(INT(BM$3)=INT($C51), TEXT($C51, "dd-mmm"), "")</f>
        <v/>
      </c>
      <c r="BN51" s="84" t="str">
        <f aca="false">IF(INT(BN$3)=INT($C51), TEXT($C51, "dd-mmm"), "")</f>
        <v/>
      </c>
    </row>
    <row r="52" customFormat="false" ht="15" hidden="false" customHeight="true" outlineLevel="0" collapsed="false">
      <c r="A52" s="4" t="str">
        <f aca="false">Machine_List!A52</f>
        <v>ENG</v>
      </c>
      <c r="B52" s="4" t="str">
        <f aca="false">Machine_List!B52</f>
        <v>ENG-MC-03</v>
      </c>
      <c r="C52" s="12" t="n">
        <f aca="false">Machine_List!C52</f>
        <v>46433</v>
      </c>
      <c r="D52" s="4" t="n">
        <f aca="false">Machine_List!D52</f>
        <v>6</v>
      </c>
      <c r="E52" s="4" t="n">
        <f aca="true">C52-TODAY()</f>
        <v>315</v>
      </c>
      <c r="F52" s="4" t="str">
        <f aca="false">IF(E52&lt;0,"OVERDUE",IF(E52&lt;=5,"DUE SOON","OK"))</f>
        <v>OK</v>
      </c>
      <c r="G52" s="84" t="str">
        <f aca="false">IF(INT(G$3)=INT($C52), TEXT($C52, "dd-mmm"), "")</f>
        <v/>
      </c>
      <c r="H52" s="84" t="str">
        <f aca="false">IF(INT(H$3)=INT($C52), TEXT($C52, "dd-mmm"), "")</f>
        <v/>
      </c>
      <c r="I52" s="84" t="str">
        <f aca="false">IF(INT(I$3)=INT($C52), TEXT($C52, "dd-mmm"), "")</f>
        <v/>
      </c>
      <c r="J52" s="84" t="str">
        <f aca="false">IF(INT(J$3)=INT($C52), TEXT($C52, "dd-mmm"), "")</f>
        <v/>
      </c>
      <c r="K52" s="84" t="str">
        <f aca="false">IF(INT(K$3)=INT($C52), TEXT($C52, "dd-mmm"), "")</f>
        <v/>
      </c>
      <c r="L52" s="84" t="str">
        <f aca="false">IF(INT(L$3)=INT($C52), TEXT($C52, "dd-mmm"), "")</f>
        <v/>
      </c>
      <c r="M52" s="84" t="str">
        <f aca="false">IF(INT(M$3)=INT($C52), TEXT($C52, "dd-mmm"), "")</f>
        <v/>
      </c>
      <c r="N52" s="84" t="str">
        <f aca="false">IF(INT(N$3)=INT($C52), TEXT($C52, "dd-mmm"), "")</f>
        <v/>
      </c>
      <c r="O52" s="84" t="str">
        <f aca="false">IF(INT(O$3)=INT($C52), TEXT($C52, "dd-mmm"), "")</f>
        <v/>
      </c>
      <c r="P52" s="84" t="str">
        <f aca="false">IF(INT(P$3)=INT($C52), TEXT($C52, "dd-mmm"), "")</f>
        <v/>
      </c>
      <c r="Q52" s="84" t="str">
        <f aca="false">IF(INT(Q$3)=INT($C52), TEXT($C52, "dd-mmm"), "")</f>
        <v/>
      </c>
      <c r="R52" s="84" t="str">
        <f aca="false">IF(INT(R$3)=INT($C52), TEXT($C52, "dd-mmm"), "")</f>
        <v/>
      </c>
      <c r="S52" s="84" t="str">
        <f aca="false">IF(INT(S$3)=INT($C52), TEXT($C52, "dd-mmm"), "")</f>
        <v/>
      </c>
      <c r="T52" s="84" t="str">
        <f aca="false">IF(INT(T$3)=INT($C52), TEXT($C52, "dd-mmm"), "")</f>
        <v/>
      </c>
      <c r="U52" s="84" t="str">
        <f aca="false">IF(INT(U$3)=INT($C52), TEXT($C52, "dd-mmm"), "")</f>
        <v/>
      </c>
      <c r="V52" s="84" t="str">
        <f aca="false">IF(INT(V$3)=INT($C52), TEXT($C52, "dd-mmm"), "")</f>
        <v/>
      </c>
      <c r="W52" s="84" t="str">
        <f aca="false">IF(INT(W$3)=INT($C52), TEXT($C52, "dd-mmm"), "")</f>
        <v/>
      </c>
      <c r="X52" s="84" t="str">
        <f aca="false">IF(INT(X$3)=INT($C52), TEXT($C52, "dd-mmm"), "")</f>
        <v/>
      </c>
      <c r="Y52" s="84" t="str">
        <f aca="false">IF(INT(Y$3)=INT($C52), TEXT($C52, "dd-mmm"), "")</f>
        <v/>
      </c>
      <c r="Z52" s="84" t="str">
        <f aca="false">IF(INT(Z$3)=INT($C52), TEXT($C52, "dd-mmm"), "")</f>
        <v/>
      </c>
      <c r="AA52" s="84" t="str">
        <f aca="false">IF(INT(AA$3)=INT($C52), TEXT($C52, "dd-mmm"), "")</f>
        <v/>
      </c>
      <c r="AB52" s="84" t="str">
        <f aca="false">IF(INT(AB$3)=INT($C52), TEXT($C52, "dd-mmm"), "")</f>
        <v/>
      </c>
      <c r="AC52" s="84" t="str">
        <f aca="false">IF(INT(AC$3)=INT($C52), TEXT($C52, "dd-mmm"), "")</f>
        <v/>
      </c>
      <c r="AD52" s="84" t="str">
        <f aca="false">IF(INT(AD$3)=INT($C52), TEXT($C52, "dd-mmm"), "")</f>
        <v/>
      </c>
      <c r="AE52" s="84" t="str">
        <f aca="false">IF(INT(AE$3)=INT($C52), TEXT($C52, "dd-mmm"), "")</f>
        <v/>
      </c>
      <c r="AF52" s="84" t="str">
        <f aca="false">IF(INT(AF$3)=INT($C52), TEXT($C52, "dd-mmm"), "")</f>
        <v/>
      </c>
      <c r="AG52" s="84" t="str">
        <f aca="false">IF(INT(AG$3)=INT($C52), TEXT($C52, "dd-mmm"), "")</f>
        <v/>
      </c>
      <c r="AH52" s="84" t="str">
        <f aca="false">IF(INT(AH$3)=INT($C52), TEXT($C52, "dd-mmm"), "")</f>
        <v/>
      </c>
      <c r="AI52" s="84" t="str">
        <f aca="false">IF(INT(AI$3)=INT($C52), TEXT($C52, "dd-mmm"), "")</f>
        <v/>
      </c>
      <c r="AJ52" s="84" t="str">
        <f aca="false">IF(INT(AJ$3)=INT($C52), TEXT($C52, "dd-mmm"), "")</f>
        <v/>
      </c>
      <c r="AK52" s="84" t="str">
        <f aca="false">IF(INT(AK$3)=INT($C52), TEXT($C52, "dd-mmm"), "")</f>
        <v/>
      </c>
      <c r="AL52" s="84" t="str">
        <f aca="false">IF(INT(AL$3)=INT($C52), TEXT($C52, "dd-mmm"), "")</f>
        <v/>
      </c>
      <c r="AM52" s="84" t="str">
        <f aca="false">IF(INT(AM$3)=INT($C52), TEXT($C52, "dd-mmm"), "")</f>
        <v/>
      </c>
      <c r="AN52" s="84" t="str">
        <f aca="false">IF(INT(AN$3)=INT($C52), TEXT($C52, "dd-mmm"), "")</f>
        <v/>
      </c>
      <c r="AO52" s="84" t="str">
        <f aca="false">IF(INT(AO$3)=INT($C52), TEXT($C52, "dd-mmm"), "")</f>
        <v/>
      </c>
      <c r="AP52" s="84" t="str">
        <f aca="false">IF(INT(AP$3)=INT($C52), TEXT($C52, "dd-mmm"), "")</f>
        <v/>
      </c>
      <c r="AQ52" s="84" t="str">
        <f aca="false">IF(INT(AQ$3)=INT($C52), TEXT($C52, "dd-mmm"), "")</f>
        <v/>
      </c>
      <c r="AR52" s="84" t="str">
        <f aca="false">IF(INT(AR$3)=INT($C52), TEXT($C52, "dd-mmm"), "")</f>
        <v/>
      </c>
      <c r="AS52" s="84" t="str">
        <f aca="false">IF(INT(AS$3)=INT($C52), TEXT($C52, "dd-mmm"), "")</f>
        <v/>
      </c>
      <c r="AT52" s="84" t="str">
        <f aca="false">IF(INT(AT$3)=INT($C52), TEXT($C52, "dd-mmm"), "")</f>
        <v/>
      </c>
      <c r="AU52" s="84" t="str">
        <f aca="false">IF(INT(AU$3)=INT($C52), TEXT($C52, "dd-mmm"), "")</f>
        <v/>
      </c>
      <c r="AV52" s="84" t="str">
        <f aca="false">IF(INT(AV$3)=INT($C52), TEXT($C52, "dd-mmm"), "")</f>
        <v/>
      </c>
      <c r="AW52" s="84" t="str">
        <f aca="false">IF(INT(AW$3)=INT($C52), TEXT($C52, "dd-mmm"), "")</f>
        <v/>
      </c>
      <c r="AX52" s="84" t="str">
        <f aca="false">IF(INT(AX$3)=INT($C52), TEXT($C52, "dd-mmm"), "")</f>
        <v/>
      </c>
      <c r="AY52" s="84" t="str">
        <f aca="false">IF(INT(AY$3)=INT($C52), TEXT($C52, "dd-mmm"), "")</f>
        <v/>
      </c>
      <c r="AZ52" s="84" t="str">
        <f aca="false">IF(INT(AZ$3)=INT($C52), TEXT($C52, "dd-mmm"), "")</f>
        <v/>
      </c>
      <c r="BA52" s="84" t="str">
        <f aca="false">IF(INT(BA$3)=INT($C52), TEXT($C52, "dd-mmm"), "")</f>
        <v/>
      </c>
      <c r="BB52" s="84" t="str">
        <f aca="false">IF(INT(BB$3)=INT($C52), TEXT($C52, "dd-mmm"), "")</f>
        <v/>
      </c>
      <c r="BC52" s="84" t="str">
        <f aca="false">IF(INT(BC$3)=INT($C52), TEXT($C52, "dd-mmm"), "")</f>
        <v/>
      </c>
      <c r="BD52" s="84" t="str">
        <f aca="false">IF(INT(BD$3)=INT($C52), TEXT($C52, "dd-mmm"), "")</f>
        <v/>
      </c>
      <c r="BE52" s="84" t="str">
        <f aca="false">IF(INT(BE$3)=INT($C52), TEXT($C52, "dd-mmm"), "")</f>
        <v/>
      </c>
      <c r="BF52" s="84" t="str">
        <f aca="false">IF(INT(BF$3)=INT($C52), TEXT($C52, "dd-mmm"), "")</f>
        <v/>
      </c>
      <c r="BG52" s="84" t="str">
        <f aca="false">IF(INT(BG$3)=INT($C52), TEXT($C52, "dd-mmm"), "")</f>
        <v/>
      </c>
      <c r="BH52" s="84" t="str">
        <f aca="false">IF(INT(BH$3)=INT($C52), TEXT($C52, "dd-mmm"), "")</f>
        <v/>
      </c>
      <c r="BI52" s="84" t="str">
        <f aca="false">IF(INT(BI$3)=INT($C52), TEXT($C52, "dd-mmm"), "")</f>
        <v/>
      </c>
      <c r="BJ52" s="84" t="str">
        <f aca="false">IF(INT(BJ$3)=INT($C52), TEXT($C52, "dd-mmm"), "")</f>
        <v/>
      </c>
      <c r="BK52" s="84" t="str">
        <f aca="false">IF(INT(BK$3)=INT($C52), TEXT($C52, "dd-mmm"), "")</f>
        <v/>
      </c>
      <c r="BL52" s="84" t="str">
        <f aca="false">IF(INT(BL$3)=INT($C52), TEXT($C52, "dd-mmm"), "")</f>
        <v/>
      </c>
      <c r="BM52" s="84" t="str">
        <f aca="false">IF(INT(BM$3)=INT($C52), TEXT($C52, "dd-mmm"), "")</f>
        <v/>
      </c>
      <c r="BN52" s="84" t="str">
        <f aca="false">IF(INT(BN$3)=INT($C52), TEXT($C52, "dd-mmm"), "")</f>
        <v/>
      </c>
    </row>
    <row r="53" customFormat="false" ht="15" hidden="false" customHeight="true" outlineLevel="0" collapsed="false">
      <c r="A53" s="4" t="str">
        <f aca="false">Machine_List!A53</f>
        <v>ENG</v>
      </c>
      <c r="B53" s="4" t="str">
        <f aca="false">Machine_List!B53</f>
        <v>ENG-MC-04</v>
      </c>
      <c r="C53" s="12" t="n">
        <f aca="false">Machine_List!C53</f>
        <v>46450</v>
      </c>
      <c r="D53" s="4" t="n">
        <f aca="false">Machine_List!D53</f>
        <v>6</v>
      </c>
      <c r="E53" s="4" t="n">
        <f aca="true">C53-TODAY()</f>
        <v>332</v>
      </c>
      <c r="F53" s="4" t="str">
        <f aca="false">IF(E53&lt;0,"OVERDUE",IF(E53&lt;=5,"DUE SOON","OK"))</f>
        <v>OK</v>
      </c>
      <c r="G53" s="84" t="str">
        <f aca="false">IF(INT(G$3)=INT($C53), TEXT($C53, "dd-mmm"), "")</f>
        <v/>
      </c>
      <c r="H53" s="84" t="str">
        <f aca="false">IF(INT(H$3)=INT($C53), TEXT($C53, "dd-mmm"), "")</f>
        <v/>
      </c>
      <c r="I53" s="84" t="str">
        <f aca="false">IF(INT(I$3)=INT($C53), TEXT($C53, "dd-mmm"), "")</f>
        <v/>
      </c>
      <c r="J53" s="84" t="str">
        <f aca="false">IF(INT(J$3)=INT($C53), TEXT($C53, "dd-mmm"), "")</f>
        <v/>
      </c>
      <c r="K53" s="84" t="str">
        <f aca="false">IF(INT(K$3)=INT($C53), TEXT($C53, "dd-mmm"), "")</f>
        <v/>
      </c>
      <c r="L53" s="84" t="str">
        <f aca="false">IF(INT(L$3)=INT($C53), TEXT($C53, "dd-mmm"), "")</f>
        <v/>
      </c>
      <c r="M53" s="84" t="str">
        <f aca="false">IF(INT(M$3)=INT($C53), TEXT($C53, "dd-mmm"), "")</f>
        <v/>
      </c>
      <c r="N53" s="84" t="str">
        <f aca="false">IF(INT(N$3)=INT($C53), TEXT($C53, "dd-mmm"), "")</f>
        <v/>
      </c>
      <c r="O53" s="84" t="str">
        <f aca="false">IF(INT(O$3)=INT($C53), TEXT($C53, "dd-mmm"), "")</f>
        <v/>
      </c>
      <c r="P53" s="84" t="str">
        <f aca="false">IF(INT(P$3)=INT($C53), TEXT($C53, "dd-mmm"), "")</f>
        <v/>
      </c>
      <c r="Q53" s="84" t="str">
        <f aca="false">IF(INT(Q$3)=INT($C53), TEXT($C53, "dd-mmm"), "")</f>
        <v/>
      </c>
      <c r="R53" s="84" t="str">
        <f aca="false">IF(INT(R$3)=INT($C53), TEXT($C53, "dd-mmm"), "")</f>
        <v/>
      </c>
      <c r="S53" s="84" t="str">
        <f aca="false">IF(INT(S$3)=INT($C53), TEXT($C53, "dd-mmm"), "")</f>
        <v/>
      </c>
      <c r="T53" s="84" t="str">
        <f aca="false">IF(INT(T$3)=INT($C53), TEXT($C53, "dd-mmm"), "")</f>
        <v/>
      </c>
      <c r="U53" s="84" t="str">
        <f aca="false">IF(INT(U$3)=INT($C53), TEXT($C53, "dd-mmm"), "")</f>
        <v/>
      </c>
      <c r="V53" s="84" t="str">
        <f aca="false">IF(INT(V$3)=INT($C53), TEXT($C53, "dd-mmm"), "")</f>
        <v/>
      </c>
      <c r="W53" s="84" t="str">
        <f aca="false">IF(INT(W$3)=INT($C53), TEXT($C53, "dd-mmm"), "")</f>
        <v/>
      </c>
      <c r="X53" s="84" t="str">
        <f aca="false">IF(INT(X$3)=INT($C53), TEXT($C53, "dd-mmm"), "")</f>
        <v/>
      </c>
      <c r="Y53" s="84" t="str">
        <f aca="false">IF(INT(Y$3)=INT($C53), TEXT($C53, "dd-mmm"), "")</f>
        <v/>
      </c>
      <c r="Z53" s="84" t="str">
        <f aca="false">IF(INT(Z$3)=INT($C53), TEXT($C53, "dd-mmm"), "")</f>
        <v/>
      </c>
      <c r="AA53" s="84" t="str">
        <f aca="false">IF(INT(AA$3)=INT($C53), TEXT($C53, "dd-mmm"), "")</f>
        <v/>
      </c>
      <c r="AB53" s="84" t="str">
        <f aca="false">IF(INT(AB$3)=INT($C53), TEXT($C53, "dd-mmm"), "")</f>
        <v/>
      </c>
      <c r="AC53" s="84" t="str">
        <f aca="false">IF(INT(AC$3)=INT($C53), TEXT($C53, "dd-mmm"), "")</f>
        <v/>
      </c>
      <c r="AD53" s="84" t="str">
        <f aca="false">IF(INT(AD$3)=INT($C53), TEXT($C53, "dd-mmm"), "")</f>
        <v/>
      </c>
      <c r="AE53" s="84" t="str">
        <f aca="false">IF(INT(AE$3)=INT($C53), TEXT($C53, "dd-mmm"), "")</f>
        <v/>
      </c>
      <c r="AF53" s="84" t="str">
        <f aca="false">IF(INT(AF$3)=INT($C53), TEXT($C53, "dd-mmm"), "")</f>
        <v/>
      </c>
      <c r="AG53" s="84" t="str">
        <f aca="false">IF(INT(AG$3)=INT($C53), TEXT($C53, "dd-mmm"), "")</f>
        <v/>
      </c>
      <c r="AH53" s="84" t="str">
        <f aca="false">IF(INT(AH$3)=INT($C53), TEXT($C53, "dd-mmm"), "")</f>
        <v/>
      </c>
      <c r="AI53" s="84" t="str">
        <f aca="false">IF(INT(AI$3)=INT($C53), TEXT($C53, "dd-mmm"), "")</f>
        <v/>
      </c>
      <c r="AJ53" s="84" t="str">
        <f aca="false">IF(INT(AJ$3)=INT($C53), TEXT($C53, "dd-mmm"), "")</f>
        <v/>
      </c>
      <c r="AK53" s="84" t="str">
        <f aca="false">IF(INT(AK$3)=INT($C53), TEXT($C53, "dd-mmm"), "")</f>
        <v/>
      </c>
      <c r="AL53" s="84" t="str">
        <f aca="false">IF(INT(AL$3)=INT($C53), TEXT($C53, "dd-mmm"), "")</f>
        <v/>
      </c>
      <c r="AM53" s="84" t="str">
        <f aca="false">IF(INT(AM$3)=INT($C53), TEXT($C53, "dd-mmm"), "")</f>
        <v/>
      </c>
      <c r="AN53" s="84" t="str">
        <f aca="false">IF(INT(AN$3)=INT($C53), TEXT($C53, "dd-mmm"), "")</f>
        <v/>
      </c>
      <c r="AO53" s="84" t="str">
        <f aca="false">IF(INT(AO$3)=INT($C53), TEXT($C53, "dd-mmm"), "")</f>
        <v/>
      </c>
      <c r="AP53" s="84" t="str">
        <f aca="false">IF(INT(AP$3)=INT($C53), TEXT($C53, "dd-mmm"), "")</f>
        <v/>
      </c>
      <c r="AQ53" s="84" t="str">
        <f aca="false">IF(INT(AQ$3)=INT($C53), TEXT($C53, "dd-mmm"), "")</f>
        <v/>
      </c>
      <c r="AR53" s="84" t="str">
        <f aca="false">IF(INT(AR$3)=INT($C53), TEXT($C53, "dd-mmm"), "")</f>
        <v/>
      </c>
      <c r="AS53" s="84" t="str">
        <f aca="false">IF(INT(AS$3)=INT($C53), TEXT($C53, "dd-mmm"), "")</f>
        <v/>
      </c>
      <c r="AT53" s="84" t="str">
        <f aca="false">IF(INT(AT$3)=INT($C53), TEXT($C53, "dd-mmm"), "")</f>
        <v/>
      </c>
      <c r="AU53" s="84" t="str">
        <f aca="false">IF(INT(AU$3)=INT($C53), TEXT($C53, "dd-mmm"), "")</f>
        <v/>
      </c>
      <c r="AV53" s="84" t="str">
        <f aca="false">IF(INT(AV$3)=INT($C53), TEXT($C53, "dd-mmm"), "")</f>
        <v/>
      </c>
      <c r="AW53" s="84" t="str">
        <f aca="false">IF(INT(AW$3)=INT($C53), TEXT($C53, "dd-mmm"), "")</f>
        <v/>
      </c>
      <c r="AX53" s="84" t="str">
        <f aca="false">IF(INT(AX$3)=INT($C53), TEXT($C53, "dd-mmm"), "")</f>
        <v/>
      </c>
      <c r="AY53" s="84" t="str">
        <f aca="false">IF(INT(AY$3)=INT($C53), TEXT($C53, "dd-mmm"), "")</f>
        <v/>
      </c>
      <c r="AZ53" s="84" t="str">
        <f aca="false">IF(INT(AZ$3)=INT($C53), TEXT($C53, "dd-mmm"), "")</f>
        <v/>
      </c>
      <c r="BA53" s="84" t="str">
        <f aca="false">IF(INT(BA$3)=INT($C53), TEXT($C53, "dd-mmm"), "")</f>
        <v/>
      </c>
      <c r="BB53" s="84" t="str">
        <f aca="false">IF(INT(BB$3)=INT($C53), TEXT($C53, "dd-mmm"), "")</f>
        <v/>
      </c>
      <c r="BC53" s="84" t="str">
        <f aca="false">IF(INT(BC$3)=INT($C53), TEXT($C53, "dd-mmm"), "")</f>
        <v/>
      </c>
      <c r="BD53" s="84" t="str">
        <f aca="false">IF(INT(BD$3)=INT($C53), TEXT($C53, "dd-mmm"), "")</f>
        <v/>
      </c>
      <c r="BE53" s="84" t="str">
        <f aca="false">IF(INT(BE$3)=INT($C53), TEXT($C53, "dd-mmm"), "")</f>
        <v/>
      </c>
      <c r="BF53" s="84" t="str">
        <f aca="false">IF(INT(BF$3)=INT($C53), TEXT($C53, "dd-mmm"), "")</f>
        <v/>
      </c>
      <c r="BG53" s="84" t="str">
        <f aca="false">IF(INT(BG$3)=INT($C53), TEXT($C53, "dd-mmm"), "")</f>
        <v/>
      </c>
      <c r="BH53" s="84" t="str">
        <f aca="false">IF(INT(BH$3)=INT($C53), TEXT($C53, "dd-mmm"), "")</f>
        <v/>
      </c>
      <c r="BI53" s="84" t="str">
        <f aca="false">IF(INT(BI$3)=INT($C53), TEXT($C53, "dd-mmm"), "")</f>
        <v/>
      </c>
      <c r="BJ53" s="84" t="str">
        <f aca="false">IF(INT(BJ$3)=INT($C53), TEXT($C53, "dd-mmm"), "")</f>
        <v/>
      </c>
      <c r="BK53" s="84" t="str">
        <f aca="false">IF(INT(BK$3)=INT($C53), TEXT($C53, "dd-mmm"), "")</f>
        <v/>
      </c>
      <c r="BL53" s="84" t="str">
        <f aca="false">IF(INT(BL$3)=INT($C53), TEXT($C53, "dd-mmm"), "")</f>
        <v/>
      </c>
      <c r="BM53" s="84" t="str">
        <f aca="false">IF(INT(BM$3)=INT($C53), TEXT($C53, "dd-mmm"), "")</f>
        <v/>
      </c>
      <c r="BN53" s="84" t="str">
        <f aca="false">IF(INT(BN$3)=INT($C53), TEXT($C53, "dd-mmm"), "")</f>
        <v/>
      </c>
    </row>
    <row r="54" customFormat="false" ht="15" hidden="false" customHeight="true" outlineLevel="0" collapsed="false">
      <c r="A54" s="4" t="str">
        <f aca="false">Machine_List!A54</f>
        <v>ENG</v>
      </c>
      <c r="B54" s="4" t="str">
        <f aca="false">Machine_List!B54</f>
        <v>ENG-MC-05</v>
      </c>
      <c r="C54" s="12" t="n">
        <f aca="false">Machine_List!C54</f>
        <v>46049</v>
      </c>
      <c r="D54" s="4" t="n">
        <f aca="false">Machine_List!D54</f>
        <v>6</v>
      </c>
      <c r="E54" s="4" t="n">
        <f aca="true">C54-TODAY()</f>
        <v>-69</v>
      </c>
      <c r="F54" s="4" t="str">
        <f aca="false">IF(E54&lt;0,"OVERDUE",IF(E54&lt;=5,"DUE SOON","OK"))</f>
        <v>OVERDUE</v>
      </c>
      <c r="G54" s="84" t="str">
        <f aca="false">IF(INT(G$3)=INT($C54), TEXT($C54, "dd-mmm"), "")</f>
        <v/>
      </c>
      <c r="H54" s="84" t="str">
        <f aca="false">IF(INT(H$3)=INT($C54), TEXT($C54, "dd-mmm"), "")</f>
        <v/>
      </c>
      <c r="I54" s="84" t="str">
        <f aca="false">IF(INT(I$3)=INT($C54), TEXT($C54, "dd-mmm"), "")</f>
        <v/>
      </c>
      <c r="J54" s="84" t="str">
        <f aca="false">IF(INT(J$3)=INT($C54), TEXT($C54, "dd-mmm"), "")</f>
        <v/>
      </c>
      <c r="K54" s="84" t="str">
        <f aca="false">IF(INT(K$3)=INT($C54), TEXT($C54, "dd-mmm"), "")</f>
        <v/>
      </c>
      <c r="L54" s="84" t="str">
        <f aca="false">IF(INT(L$3)=INT($C54), TEXT($C54, "dd-mmm"), "")</f>
        <v/>
      </c>
      <c r="M54" s="84" t="str">
        <f aca="false">IF(INT(M$3)=INT($C54), TEXT($C54, "dd-mmm"), "")</f>
        <v/>
      </c>
      <c r="N54" s="84" t="str">
        <f aca="false">IF(INT(N$3)=INT($C54), TEXT($C54, "dd-mmm"), "")</f>
        <v/>
      </c>
      <c r="O54" s="84" t="str">
        <f aca="false">IF(INT(O$3)=INT($C54), TEXT($C54, "dd-mmm"), "")</f>
        <v/>
      </c>
      <c r="P54" s="84" t="str">
        <f aca="false">IF(INT(P$3)=INT($C54), TEXT($C54, "dd-mmm"), "")</f>
        <v/>
      </c>
      <c r="Q54" s="84" t="str">
        <f aca="false">IF(INT(Q$3)=INT($C54), TEXT($C54, "dd-mmm"), "")</f>
        <v/>
      </c>
      <c r="R54" s="84" t="str">
        <f aca="false">IF(INT(R$3)=INT($C54), TEXT($C54, "dd-mmm"), "")</f>
        <v/>
      </c>
      <c r="S54" s="84" t="str">
        <f aca="false">IF(INT(S$3)=INT($C54), TEXT($C54, "dd-mmm"), "")</f>
        <v/>
      </c>
      <c r="T54" s="84" t="str">
        <f aca="false">IF(INT(T$3)=INT($C54), TEXT($C54, "dd-mmm"), "")</f>
        <v/>
      </c>
      <c r="U54" s="84" t="str">
        <f aca="false">IF(INT(U$3)=INT($C54), TEXT($C54, "dd-mmm"), "")</f>
        <v/>
      </c>
      <c r="V54" s="84" t="str">
        <f aca="false">IF(INT(V$3)=INT($C54), TEXT($C54, "dd-mmm"), "")</f>
        <v/>
      </c>
      <c r="W54" s="84" t="str">
        <f aca="false">IF(INT(W$3)=INT($C54), TEXT($C54, "dd-mmm"), "")</f>
        <v/>
      </c>
      <c r="X54" s="84" t="str">
        <f aca="false">IF(INT(X$3)=INT($C54), TEXT($C54, "dd-mmm"), "")</f>
        <v/>
      </c>
      <c r="Y54" s="84" t="str">
        <f aca="false">IF(INT(Y$3)=INT($C54), TEXT($C54, "dd-mmm"), "")</f>
        <v/>
      </c>
      <c r="Z54" s="84" t="str">
        <f aca="false">IF(INT(Z$3)=INT($C54), TEXT($C54, "dd-mmm"), "")</f>
        <v/>
      </c>
      <c r="AA54" s="84" t="str">
        <f aca="false">IF(INT(AA$3)=INT($C54), TEXT($C54, "dd-mmm"), "")</f>
        <v/>
      </c>
      <c r="AB54" s="84" t="str">
        <f aca="false">IF(INT(AB$3)=INT($C54), TEXT($C54, "dd-mmm"), "")</f>
        <v/>
      </c>
      <c r="AC54" s="84" t="str">
        <f aca="false">IF(INT(AC$3)=INT($C54), TEXT($C54, "dd-mmm"), "")</f>
        <v/>
      </c>
      <c r="AD54" s="84" t="str">
        <f aca="false">IF(INT(AD$3)=INT($C54), TEXT($C54, "dd-mmm"), "")</f>
        <v/>
      </c>
      <c r="AE54" s="84" t="str">
        <f aca="false">IF(INT(AE$3)=INT($C54), TEXT($C54, "dd-mmm"), "")</f>
        <v/>
      </c>
      <c r="AF54" s="84" t="str">
        <f aca="false">IF(INT(AF$3)=INT($C54), TEXT($C54, "dd-mmm"), "")</f>
        <v/>
      </c>
      <c r="AG54" s="84" t="str">
        <f aca="false">IF(INT(AG$3)=INT($C54), TEXT($C54, "dd-mmm"), "")</f>
        <v/>
      </c>
      <c r="AH54" s="84" t="str">
        <f aca="false">IF(INT(AH$3)=INT($C54), TEXT($C54, "dd-mmm"), "")</f>
        <v/>
      </c>
      <c r="AI54" s="84" t="str">
        <f aca="false">IF(INT(AI$3)=INT($C54), TEXT($C54, "dd-mmm"), "")</f>
        <v/>
      </c>
      <c r="AJ54" s="84" t="str">
        <f aca="false">IF(INT(AJ$3)=INT($C54), TEXT($C54, "dd-mmm"), "")</f>
        <v/>
      </c>
      <c r="AK54" s="84" t="str">
        <f aca="false">IF(INT(AK$3)=INT($C54), TEXT($C54, "dd-mmm"), "")</f>
        <v/>
      </c>
      <c r="AL54" s="84" t="str">
        <f aca="false">IF(INT(AL$3)=INT($C54), TEXT($C54, "dd-mmm"), "")</f>
        <v/>
      </c>
      <c r="AM54" s="84" t="str">
        <f aca="false">IF(INT(AM$3)=INT($C54), TEXT($C54, "dd-mmm"), "")</f>
        <v/>
      </c>
      <c r="AN54" s="84" t="str">
        <f aca="false">IF(INT(AN$3)=INT($C54), TEXT($C54, "dd-mmm"), "")</f>
        <v/>
      </c>
      <c r="AO54" s="84" t="str">
        <f aca="false">IF(INT(AO$3)=INT($C54), TEXT($C54, "dd-mmm"), "")</f>
        <v/>
      </c>
      <c r="AP54" s="84" t="str">
        <f aca="false">IF(INT(AP$3)=INT($C54), TEXT($C54, "dd-mmm"), "")</f>
        <v/>
      </c>
      <c r="AQ54" s="84" t="str">
        <f aca="false">IF(INT(AQ$3)=INT($C54), TEXT($C54, "dd-mmm"), "")</f>
        <v/>
      </c>
      <c r="AR54" s="84" t="str">
        <f aca="false">IF(INT(AR$3)=INT($C54), TEXT($C54, "dd-mmm"), "")</f>
        <v/>
      </c>
      <c r="AS54" s="84" t="str">
        <f aca="false">IF(INT(AS$3)=INT($C54), TEXT($C54, "dd-mmm"), "")</f>
        <v/>
      </c>
      <c r="AT54" s="84" t="str">
        <f aca="false">IF(INT(AT$3)=INT($C54), TEXT($C54, "dd-mmm"), "")</f>
        <v/>
      </c>
      <c r="AU54" s="84" t="str">
        <f aca="false">IF(INT(AU$3)=INT($C54), TEXT($C54, "dd-mmm"), "")</f>
        <v/>
      </c>
      <c r="AV54" s="84" t="str">
        <f aca="false">IF(INT(AV$3)=INT($C54), TEXT($C54, "dd-mmm"), "")</f>
        <v/>
      </c>
      <c r="AW54" s="84" t="str">
        <f aca="false">IF(INT(AW$3)=INT($C54), TEXT($C54, "dd-mmm"), "")</f>
        <v/>
      </c>
      <c r="AX54" s="84" t="str">
        <f aca="false">IF(INT(AX$3)=INT($C54), TEXT($C54, "dd-mmm"), "")</f>
        <v/>
      </c>
      <c r="AY54" s="84" t="str">
        <f aca="false">IF(INT(AY$3)=INT($C54), TEXT($C54, "dd-mmm"), "")</f>
        <v/>
      </c>
      <c r="AZ54" s="84" t="str">
        <f aca="false">IF(INT(AZ$3)=INT($C54), TEXT($C54, "dd-mmm"), "")</f>
        <v/>
      </c>
      <c r="BA54" s="84" t="str">
        <f aca="false">IF(INT(BA$3)=INT($C54), TEXT($C54, "dd-mmm"), "")</f>
        <v/>
      </c>
      <c r="BB54" s="84" t="str">
        <f aca="false">IF(INT(BB$3)=INT($C54), TEXT($C54, "dd-mmm"), "")</f>
        <v/>
      </c>
      <c r="BC54" s="84" t="str">
        <f aca="false">IF(INT(BC$3)=INT($C54), TEXT($C54, "dd-mmm"), "")</f>
        <v/>
      </c>
      <c r="BD54" s="84" t="str">
        <f aca="false">IF(INT(BD$3)=INT($C54), TEXT($C54, "dd-mmm"), "")</f>
        <v/>
      </c>
      <c r="BE54" s="84" t="str">
        <f aca="false">IF(INT(BE$3)=INT($C54), TEXT($C54, "dd-mmm"), "")</f>
        <v/>
      </c>
      <c r="BF54" s="84" t="str">
        <f aca="false">IF(INT(BF$3)=INT($C54), TEXT($C54, "dd-mmm"), "")</f>
        <v/>
      </c>
      <c r="BG54" s="84" t="str">
        <f aca="false">IF(INT(BG$3)=INT($C54), TEXT($C54, "dd-mmm"), "")</f>
        <v/>
      </c>
      <c r="BH54" s="84" t="str">
        <f aca="false">IF(INT(BH$3)=INT($C54), TEXT($C54, "dd-mmm"), "")</f>
        <v/>
      </c>
      <c r="BI54" s="84" t="str">
        <f aca="false">IF(INT(BI$3)=INT($C54), TEXT($C54, "dd-mmm"), "")</f>
        <v/>
      </c>
      <c r="BJ54" s="84" t="str">
        <f aca="false">IF(INT(BJ$3)=INT($C54), TEXT($C54, "dd-mmm"), "")</f>
        <v/>
      </c>
      <c r="BK54" s="84" t="str">
        <f aca="false">IF(INT(BK$3)=INT($C54), TEXT($C54, "dd-mmm"), "")</f>
        <v/>
      </c>
      <c r="BL54" s="84" t="str">
        <f aca="false">IF(INT(BL$3)=INT($C54), TEXT($C54, "dd-mmm"), "")</f>
        <v/>
      </c>
      <c r="BM54" s="84" t="str">
        <f aca="false">IF(INT(BM$3)=INT($C54), TEXT($C54, "dd-mmm"), "")</f>
        <v/>
      </c>
      <c r="BN54" s="84" t="str">
        <f aca="false">IF(INT(BN$3)=INT($C54), TEXT($C54, "dd-mmm"), "")</f>
        <v/>
      </c>
    </row>
    <row r="55" customFormat="false" ht="15" hidden="false" customHeight="true" outlineLevel="0" collapsed="false">
      <c r="A55" s="4" t="str">
        <f aca="false">Machine_List!A55</f>
        <v>ENG</v>
      </c>
      <c r="B55" s="4" t="str">
        <f aca="false">Machine_List!B55</f>
        <v>ENG-MC-06</v>
      </c>
      <c r="C55" s="12" t="n">
        <f aca="false">Machine_List!C55</f>
        <v>46074</v>
      </c>
      <c r="D55" s="4" t="n">
        <f aca="false">Machine_List!D55</f>
        <v>6</v>
      </c>
      <c r="E55" s="4" t="n">
        <f aca="true">C55-TODAY()</f>
        <v>-44</v>
      </c>
      <c r="F55" s="4" t="str">
        <f aca="false">IF(E55&lt;0,"OVERDUE",IF(E55&lt;=5,"DUE SOON","OK"))</f>
        <v>OVERDUE</v>
      </c>
      <c r="G55" s="84" t="str">
        <f aca="false">IF(INT(G$3)=INT($C55), TEXT($C55, "dd-mmm"), "")</f>
        <v/>
      </c>
      <c r="H55" s="84" t="str">
        <f aca="false">IF(INT(H$3)=INT($C55), TEXT($C55, "dd-mmm"), "")</f>
        <v/>
      </c>
      <c r="I55" s="84" t="str">
        <f aca="false">IF(INT(I$3)=INT($C55), TEXT($C55, "dd-mmm"), "")</f>
        <v/>
      </c>
      <c r="J55" s="84" t="str">
        <f aca="false">IF(INT(J$3)=INT($C55), TEXT($C55, "dd-mmm"), "")</f>
        <v/>
      </c>
      <c r="K55" s="84" t="str">
        <f aca="false">IF(INT(K$3)=INT($C55), TEXT($C55, "dd-mmm"), "")</f>
        <v/>
      </c>
      <c r="L55" s="84" t="str">
        <f aca="false">IF(INT(L$3)=INT($C55), TEXT($C55, "dd-mmm"), "")</f>
        <v/>
      </c>
      <c r="M55" s="84" t="str">
        <f aca="false">IF(INT(M$3)=INT($C55), TEXT($C55, "dd-mmm"), "")</f>
        <v/>
      </c>
      <c r="N55" s="84" t="str">
        <f aca="false">IF(INT(N$3)=INT($C55), TEXT($C55, "dd-mmm"), "")</f>
        <v/>
      </c>
      <c r="O55" s="84" t="str">
        <f aca="false">IF(INT(O$3)=INT($C55), TEXT($C55, "dd-mmm"), "")</f>
        <v/>
      </c>
      <c r="P55" s="84" t="str">
        <f aca="false">IF(INT(P$3)=INT($C55), TEXT($C55, "dd-mmm"), "")</f>
        <v/>
      </c>
      <c r="Q55" s="84" t="str">
        <f aca="false">IF(INT(Q$3)=INT($C55), TEXT($C55, "dd-mmm"), "")</f>
        <v/>
      </c>
      <c r="R55" s="84" t="str">
        <f aca="false">IF(INT(R$3)=INT($C55), TEXT($C55, "dd-mmm"), "")</f>
        <v/>
      </c>
      <c r="S55" s="84" t="str">
        <f aca="false">IF(INT(S$3)=INT($C55), TEXT($C55, "dd-mmm"), "")</f>
        <v/>
      </c>
      <c r="T55" s="84" t="str">
        <f aca="false">IF(INT(T$3)=INT($C55), TEXT($C55, "dd-mmm"), "")</f>
        <v/>
      </c>
      <c r="U55" s="84" t="str">
        <f aca="false">IF(INT(U$3)=INT($C55), TEXT($C55, "dd-mmm"), "")</f>
        <v/>
      </c>
      <c r="V55" s="84" t="str">
        <f aca="false">IF(INT(V$3)=INT($C55), TEXT($C55, "dd-mmm"), "")</f>
        <v/>
      </c>
      <c r="W55" s="84" t="str">
        <f aca="false">IF(INT(W$3)=INT($C55), TEXT($C55, "dd-mmm"), "")</f>
        <v/>
      </c>
      <c r="X55" s="84" t="str">
        <f aca="false">IF(INT(X$3)=INT($C55), TEXT($C55, "dd-mmm"), "")</f>
        <v/>
      </c>
      <c r="Y55" s="84" t="str">
        <f aca="false">IF(INT(Y$3)=INT($C55), TEXT($C55, "dd-mmm"), "")</f>
        <v/>
      </c>
      <c r="Z55" s="84" t="str">
        <f aca="false">IF(INT(Z$3)=INT($C55), TEXT($C55, "dd-mmm"), "")</f>
        <v/>
      </c>
      <c r="AA55" s="84" t="str">
        <f aca="false">IF(INT(AA$3)=INT($C55), TEXT($C55, "dd-mmm"), "")</f>
        <v/>
      </c>
      <c r="AB55" s="84" t="str">
        <f aca="false">IF(INT(AB$3)=INT($C55), TEXT($C55, "dd-mmm"), "")</f>
        <v/>
      </c>
      <c r="AC55" s="84" t="str">
        <f aca="false">IF(INT(AC$3)=INT($C55), TEXT($C55, "dd-mmm"), "")</f>
        <v/>
      </c>
      <c r="AD55" s="84" t="str">
        <f aca="false">IF(INT(AD$3)=INT($C55), TEXT($C55, "dd-mmm"), "")</f>
        <v/>
      </c>
      <c r="AE55" s="84" t="str">
        <f aca="false">IF(INT(AE$3)=INT($C55), TEXT($C55, "dd-mmm"), "")</f>
        <v/>
      </c>
      <c r="AF55" s="84" t="str">
        <f aca="false">IF(INT(AF$3)=INT($C55), TEXT($C55, "dd-mmm"), "")</f>
        <v/>
      </c>
      <c r="AG55" s="84" t="str">
        <f aca="false">IF(INT(AG$3)=INT($C55), TEXT($C55, "dd-mmm"), "")</f>
        <v/>
      </c>
      <c r="AH55" s="84" t="str">
        <f aca="false">IF(INT(AH$3)=INT($C55), TEXT($C55, "dd-mmm"), "")</f>
        <v/>
      </c>
      <c r="AI55" s="84" t="str">
        <f aca="false">IF(INT(AI$3)=INT($C55), TEXT($C55, "dd-mmm"), "")</f>
        <v/>
      </c>
      <c r="AJ55" s="84" t="str">
        <f aca="false">IF(INT(AJ$3)=INT($C55), TEXT($C55, "dd-mmm"), "")</f>
        <v/>
      </c>
      <c r="AK55" s="84" t="str">
        <f aca="false">IF(INT(AK$3)=INT($C55), TEXT($C55, "dd-mmm"), "")</f>
        <v/>
      </c>
      <c r="AL55" s="84" t="str">
        <f aca="false">IF(INT(AL$3)=INT($C55), TEXT($C55, "dd-mmm"), "")</f>
        <v/>
      </c>
      <c r="AM55" s="84" t="str">
        <f aca="false">IF(INT(AM$3)=INT($C55), TEXT($C55, "dd-mmm"), "")</f>
        <v/>
      </c>
      <c r="AN55" s="84" t="str">
        <f aca="false">IF(INT(AN$3)=INT($C55), TEXT($C55, "dd-mmm"), "")</f>
        <v/>
      </c>
      <c r="AO55" s="84" t="str">
        <f aca="false">IF(INT(AO$3)=INT($C55), TEXT($C55, "dd-mmm"), "")</f>
        <v/>
      </c>
      <c r="AP55" s="84" t="str">
        <f aca="false">IF(INT(AP$3)=INT($C55), TEXT($C55, "dd-mmm"), "")</f>
        <v/>
      </c>
      <c r="AQ55" s="84" t="str">
        <f aca="false">IF(INT(AQ$3)=INT($C55), TEXT($C55, "dd-mmm"), "")</f>
        <v/>
      </c>
      <c r="AR55" s="84" t="str">
        <f aca="false">IF(INT(AR$3)=INT($C55), TEXT($C55, "dd-mmm"), "")</f>
        <v/>
      </c>
      <c r="AS55" s="84" t="str">
        <f aca="false">IF(INT(AS$3)=INT($C55), TEXT($C55, "dd-mmm"), "")</f>
        <v/>
      </c>
      <c r="AT55" s="84" t="str">
        <f aca="false">IF(INT(AT$3)=INT($C55), TEXT($C55, "dd-mmm"), "")</f>
        <v/>
      </c>
      <c r="AU55" s="84" t="str">
        <f aca="false">IF(INT(AU$3)=INT($C55), TEXT($C55, "dd-mmm"), "")</f>
        <v/>
      </c>
      <c r="AV55" s="84" t="str">
        <f aca="false">IF(INT(AV$3)=INT($C55), TEXT($C55, "dd-mmm"), "")</f>
        <v/>
      </c>
      <c r="AW55" s="84" t="str">
        <f aca="false">IF(INT(AW$3)=INT($C55), TEXT($C55, "dd-mmm"), "")</f>
        <v/>
      </c>
      <c r="AX55" s="84" t="str">
        <f aca="false">IF(INT(AX$3)=INT($C55), TEXT($C55, "dd-mmm"), "")</f>
        <v/>
      </c>
      <c r="AY55" s="84" t="str">
        <f aca="false">IF(INT(AY$3)=INT($C55), TEXT($C55, "dd-mmm"), "")</f>
        <v/>
      </c>
      <c r="AZ55" s="84" t="str">
        <f aca="false">IF(INT(AZ$3)=INT($C55), TEXT($C55, "dd-mmm"), "")</f>
        <v/>
      </c>
      <c r="BA55" s="84" t="str">
        <f aca="false">IF(INT(BA$3)=INT($C55), TEXT($C55, "dd-mmm"), "")</f>
        <v/>
      </c>
      <c r="BB55" s="84" t="str">
        <f aca="false">IF(INT(BB$3)=INT($C55), TEXT($C55, "dd-mmm"), "")</f>
        <v/>
      </c>
      <c r="BC55" s="84" t="str">
        <f aca="false">IF(INT(BC$3)=INT($C55), TEXT($C55, "dd-mmm"), "")</f>
        <v/>
      </c>
      <c r="BD55" s="84" t="str">
        <f aca="false">IF(INT(BD$3)=INT($C55), TEXT($C55, "dd-mmm"), "")</f>
        <v/>
      </c>
      <c r="BE55" s="84" t="str">
        <f aca="false">IF(INT(BE$3)=INT($C55), TEXT($C55, "dd-mmm"), "")</f>
        <v/>
      </c>
      <c r="BF55" s="84" t="str">
        <f aca="false">IF(INT(BF$3)=INT($C55), TEXT($C55, "dd-mmm"), "")</f>
        <v/>
      </c>
      <c r="BG55" s="84" t="str">
        <f aca="false">IF(INT(BG$3)=INT($C55), TEXT($C55, "dd-mmm"), "")</f>
        <v/>
      </c>
      <c r="BH55" s="84" t="str">
        <f aca="false">IF(INT(BH$3)=INT($C55), TEXT($C55, "dd-mmm"), "")</f>
        <v/>
      </c>
      <c r="BI55" s="84" t="str">
        <f aca="false">IF(INT(BI$3)=INT($C55), TEXT($C55, "dd-mmm"), "")</f>
        <v/>
      </c>
      <c r="BJ55" s="84" t="str">
        <f aca="false">IF(INT(BJ$3)=INT($C55), TEXT($C55, "dd-mmm"), "")</f>
        <v/>
      </c>
      <c r="BK55" s="84" t="str">
        <f aca="false">IF(INT(BK$3)=INT($C55), TEXT($C55, "dd-mmm"), "")</f>
        <v/>
      </c>
      <c r="BL55" s="84" t="str">
        <f aca="false">IF(INT(BL$3)=INT($C55), TEXT($C55, "dd-mmm"), "")</f>
        <v/>
      </c>
      <c r="BM55" s="84" t="str">
        <f aca="false">IF(INT(BM$3)=INT($C55), TEXT($C55, "dd-mmm"), "")</f>
        <v/>
      </c>
      <c r="BN55" s="84" t="str">
        <f aca="false">IF(INT(BN$3)=INT($C55), TEXT($C55, "dd-mmm"), "")</f>
        <v/>
      </c>
    </row>
    <row r="56" customFormat="false" ht="15" hidden="false" customHeight="true" outlineLevel="0" collapsed="false">
      <c r="A56" s="4" t="str">
        <f aca="false">Machine_List!A56</f>
        <v>ENG</v>
      </c>
      <c r="B56" s="4" t="str">
        <f aca="false">Machine_List!B56</f>
        <v>ENG-MC-07</v>
      </c>
      <c r="C56" s="12" t="n">
        <f aca="false">Machine_List!C56</f>
        <v>46272</v>
      </c>
      <c r="D56" s="4" t="n">
        <f aca="false">Machine_List!D56</f>
        <v>6</v>
      </c>
      <c r="E56" s="4" t="n">
        <f aca="true">C56-TODAY()</f>
        <v>154</v>
      </c>
      <c r="F56" s="4" t="str">
        <f aca="false">IF(E56&lt;0,"OVERDUE",IF(E56&lt;=5,"DUE SOON","OK"))</f>
        <v>OK</v>
      </c>
      <c r="G56" s="84" t="str">
        <f aca="false">IF(INT(G$3)=INT($C56), TEXT($C56, "dd-mmm"), "")</f>
        <v/>
      </c>
      <c r="H56" s="84" t="str">
        <f aca="false">IF(INT(H$3)=INT($C56), TEXT($C56, "dd-mmm"), "")</f>
        <v/>
      </c>
      <c r="I56" s="84" t="str">
        <f aca="false">IF(INT(I$3)=INT($C56), TEXT($C56, "dd-mmm"), "")</f>
        <v/>
      </c>
      <c r="J56" s="84" t="str">
        <f aca="false">IF(INT(J$3)=INT($C56), TEXT($C56, "dd-mmm"), "")</f>
        <v/>
      </c>
      <c r="K56" s="84" t="str">
        <f aca="false">IF(INT(K$3)=INT($C56), TEXT($C56, "dd-mmm"), "")</f>
        <v/>
      </c>
      <c r="L56" s="84" t="str">
        <f aca="false">IF(INT(L$3)=INT($C56), TEXT($C56, "dd-mmm"), "")</f>
        <v/>
      </c>
      <c r="M56" s="84" t="str">
        <f aca="false">IF(INT(M$3)=INT($C56), TEXT($C56, "dd-mmm"), "")</f>
        <v/>
      </c>
      <c r="N56" s="84" t="str">
        <f aca="false">IF(INT(N$3)=INT($C56), TEXT($C56, "dd-mmm"), "")</f>
        <v/>
      </c>
      <c r="O56" s="84" t="str">
        <f aca="false">IF(INT(O$3)=INT($C56), TEXT($C56, "dd-mmm"), "")</f>
        <v/>
      </c>
      <c r="P56" s="84" t="str">
        <f aca="false">IF(INT(P$3)=INT($C56), TEXT($C56, "dd-mmm"), "")</f>
        <v/>
      </c>
      <c r="Q56" s="84" t="str">
        <f aca="false">IF(INT(Q$3)=INT($C56), TEXT($C56, "dd-mmm"), "")</f>
        <v/>
      </c>
      <c r="R56" s="84" t="str">
        <f aca="false">IF(INT(R$3)=INT($C56), TEXT($C56, "dd-mmm"), "")</f>
        <v/>
      </c>
      <c r="S56" s="84" t="str">
        <f aca="false">IF(INT(S$3)=INT($C56), TEXT($C56, "dd-mmm"), "")</f>
        <v/>
      </c>
      <c r="T56" s="84" t="str">
        <f aca="false">IF(INT(T$3)=INT($C56), TEXT($C56, "dd-mmm"), "")</f>
        <v/>
      </c>
      <c r="U56" s="84" t="str">
        <f aca="false">IF(INT(U$3)=INT($C56), TEXT($C56, "dd-mmm"), "")</f>
        <v/>
      </c>
      <c r="V56" s="84" t="str">
        <f aca="false">IF(INT(V$3)=INT($C56), TEXT($C56, "dd-mmm"), "")</f>
        <v/>
      </c>
      <c r="W56" s="84" t="str">
        <f aca="false">IF(INT(W$3)=INT($C56), TEXT($C56, "dd-mmm"), "")</f>
        <v/>
      </c>
      <c r="X56" s="84" t="str">
        <f aca="false">IF(INT(X$3)=INT($C56), TEXT($C56, "dd-mmm"), "")</f>
        <v/>
      </c>
      <c r="Y56" s="84" t="str">
        <f aca="false">IF(INT(Y$3)=INT($C56), TEXT($C56, "dd-mmm"), "")</f>
        <v/>
      </c>
      <c r="Z56" s="84" t="str">
        <f aca="false">IF(INT(Z$3)=INT($C56), TEXT($C56, "dd-mmm"), "")</f>
        <v/>
      </c>
      <c r="AA56" s="84" t="str">
        <f aca="false">IF(INT(AA$3)=INT($C56), TEXT($C56, "dd-mmm"), "")</f>
        <v/>
      </c>
      <c r="AB56" s="84" t="str">
        <f aca="false">IF(INT(AB$3)=INT($C56), TEXT($C56, "dd-mmm"), "")</f>
        <v/>
      </c>
      <c r="AC56" s="84" t="str">
        <f aca="false">IF(INT(AC$3)=INT($C56), TEXT($C56, "dd-mmm"), "")</f>
        <v/>
      </c>
      <c r="AD56" s="84" t="str">
        <f aca="false">IF(INT(AD$3)=INT($C56), TEXT($C56, "dd-mmm"), "")</f>
        <v/>
      </c>
      <c r="AE56" s="84" t="str">
        <f aca="false">IF(INT(AE$3)=INT($C56), TEXT($C56, "dd-mmm"), "")</f>
        <v/>
      </c>
      <c r="AF56" s="84" t="str">
        <f aca="false">IF(INT(AF$3)=INT($C56), TEXT($C56, "dd-mmm"), "")</f>
        <v/>
      </c>
      <c r="AG56" s="84" t="str">
        <f aca="false">IF(INT(AG$3)=INT($C56), TEXT($C56, "dd-mmm"), "")</f>
        <v/>
      </c>
      <c r="AH56" s="84" t="str">
        <f aca="false">IF(INT(AH$3)=INT($C56), TEXT($C56, "dd-mmm"), "")</f>
        <v/>
      </c>
      <c r="AI56" s="84" t="str">
        <f aca="false">IF(INT(AI$3)=INT($C56), TEXT($C56, "dd-mmm"), "")</f>
        <v/>
      </c>
      <c r="AJ56" s="84" t="str">
        <f aca="false">IF(INT(AJ$3)=INT($C56), TEXT($C56, "dd-mmm"), "")</f>
        <v/>
      </c>
      <c r="AK56" s="84" t="str">
        <f aca="false">IF(INT(AK$3)=INT($C56), TEXT($C56, "dd-mmm"), "")</f>
        <v/>
      </c>
      <c r="AL56" s="84" t="str">
        <f aca="false">IF(INT(AL$3)=INT($C56), TEXT($C56, "dd-mmm"), "")</f>
        <v/>
      </c>
      <c r="AM56" s="84" t="str">
        <f aca="false">IF(INT(AM$3)=INT($C56), TEXT($C56, "dd-mmm"), "")</f>
        <v/>
      </c>
      <c r="AN56" s="84" t="str">
        <f aca="false">IF(INT(AN$3)=INT($C56), TEXT($C56, "dd-mmm"), "")</f>
        <v/>
      </c>
      <c r="AO56" s="84" t="str">
        <f aca="false">IF(INT(AO$3)=INT($C56), TEXT($C56, "dd-mmm"), "")</f>
        <v/>
      </c>
      <c r="AP56" s="84" t="str">
        <f aca="false">IF(INT(AP$3)=INT($C56), TEXT($C56, "dd-mmm"), "")</f>
        <v/>
      </c>
      <c r="AQ56" s="84" t="str">
        <f aca="false">IF(INT(AQ$3)=INT($C56), TEXT($C56, "dd-mmm"), "")</f>
        <v/>
      </c>
      <c r="AR56" s="84" t="str">
        <f aca="false">IF(INT(AR$3)=INT($C56), TEXT($C56, "dd-mmm"), "")</f>
        <v/>
      </c>
      <c r="AS56" s="84" t="str">
        <f aca="false">IF(INT(AS$3)=INT($C56), TEXT($C56, "dd-mmm"), "")</f>
        <v/>
      </c>
      <c r="AT56" s="84" t="str">
        <f aca="false">IF(INT(AT$3)=INT($C56), TEXT($C56, "dd-mmm"), "")</f>
        <v/>
      </c>
      <c r="AU56" s="84" t="str">
        <f aca="false">IF(INT(AU$3)=INT($C56), TEXT($C56, "dd-mmm"), "")</f>
        <v/>
      </c>
      <c r="AV56" s="84" t="str">
        <f aca="false">IF(INT(AV$3)=INT($C56), TEXT($C56, "dd-mmm"), "")</f>
        <v/>
      </c>
      <c r="AW56" s="84" t="str">
        <f aca="false">IF(INT(AW$3)=INT($C56), TEXT($C56, "dd-mmm"), "")</f>
        <v/>
      </c>
      <c r="AX56" s="84" t="str">
        <f aca="false">IF(INT(AX$3)=INT($C56), TEXT($C56, "dd-mmm"), "")</f>
        <v/>
      </c>
      <c r="AY56" s="84" t="str">
        <f aca="false">IF(INT(AY$3)=INT($C56), TEXT($C56, "dd-mmm"), "")</f>
        <v/>
      </c>
      <c r="AZ56" s="84" t="str">
        <f aca="false">IF(INT(AZ$3)=INT($C56), TEXT($C56, "dd-mmm"), "")</f>
        <v/>
      </c>
      <c r="BA56" s="84" t="str">
        <f aca="false">IF(INT(BA$3)=INT($C56), TEXT($C56, "dd-mmm"), "")</f>
        <v/>
      </c>
      <c r="BB56" s="84" t="str">
        <f aca="false">IF(INT(BB$3)=INT($C56), TEXT($C56, "dd-mmm"), "")</f>
        <v/>
      </c>
      <c r="BC56" s="84" t="str">
        <f aca="false">IF(INT(BC$3)=INT($C56), TEXT($C56, "dd-mmm"), "")</f>
        <v/>
      </c>
      <c r="BD56" s="84" t="str">
        <f aca="false">IF(INT(BD$3)=INT($C56), TEXT($C56, "dd-mmm"), "")</f>
        <v/>
      </c>
      <c r="BE56" s="84" t="str">
        <f aca="false">IF(INT(BE$3)=INT($C56), TEXT($C56, "dd-mmm"), "")</f>
        <v/>
      </c>
      <c r="BF56" s="84" t="str">
        <f aca="false">IF(INT(BF$3)=INT($C56), TEXT($C56, "dd-mmm"), "")</f>
        <v/>
      </c>
      <c r="BG56" s="84" t="str">
        <f aca="false">IF(INT(BG$3)=INT($C56), TEXT($C56, "dd-mmm"), "")</f>
        <v/>
      </c>
      <c r="BH56" s="84" t="str">
        <f aca="false">IF(INT(BH$3)=INT($C56), TEXT($C56, "dd-mmm"), "")</f>
        <v/>
      </c>
      <c r="BI56" s="84" t="str">
        <f aca="false">IF(INT(BI$3)=INT($C56), TEXT($C56, "dd-mmm"), "")</f>
        <v/>
      </c>
      <c r="BJ56" s="84" t="str">
        <f aca="false">IF(INT(BJ$3)=INT($C56), TEXT($C56, "dd-mmm"), "")</f>
        <v/>
      </c>
      <c r="BK56" s="84" t="str">
        <f aca="false">IF(INT(BK$3)=INT($C56), TEXT($C56, "dd-mmm"), "")</f>
        <v/>
      </c>
      <c r="BL56" s="84" t="str">
        <f aca="false">IF(INT(BL$3)=INT($C56), TEXT($C56, "dd-mmm"), "")</f>
        <v/>
      </c>
      <c r="BM56" s="84" t="str">
        <f aca="false">IF(INT(BM$3)=INT($C56), TEXT($C56, "dd-mmm"), "")</f>
        <v/>
      </c>
      <c r="BN56" s="84" t="str">
        <f aca="false">IF(INT(BN$3)=INT($C56), TEXT($C56, "dd-mmm"), "")</f>
        <v/>
      </c>
    </row>
    <row r="57" customFormat="false" ht="15" hidden="false" customHeight="true" outlineLevel="0" collapsed="false">
      <c r="A57" s="4" t="str">
        <f aca="false">Machine_List!A57</f>
        <v>ENG</v>
      </c>
      <c r="B57" s="4" t="str">
        <f aca="false">Machine_List!B57</f>
        <v>ENG-MC-08</v>
      </c>
      <c r="C57" s="12" t="n">
        <f aca="false">Machine_List!C57</f>
        <v>46383</v>
      </c>
      <c r="D57" s="4" t="n">
        <f aca="false">Machine_List!D57</f>
        <v>6</v>
      </c>
      <c r="E57" s="4" t="n">
        <f aca="true">C57-TODAY()</f>
        <v>265</v>
      </c>
      <c r="F57" s="4" t="str">
        <f aca="false">IF(E57&lt;0,"OVERDUE",IF(E57&lt;=5,"DUE SOON","OK"))</f>
        <v>OK</v>
      </c>
      <c r="G57" s="84" t="str">
        <f aca="false">IF(INT(G$3)=INT($C57), TEXT($C57, "dd-mmm"), "")</f>
        <v/>
      </c>
      <c r="H57" s="84" t="str">
        <f aca="false">IF(INT(H$3)=INT($C57), TEXT($C57, "dd-mmm"), "")</f>
        <v/>
      </c>
      <c r="I57" s="84" t="str">
        <f aca="false">IF(INT(I$3)=INT($C57), TEXT($C57, "dd-mmm"), "")</f>
        <v/>
      </c>
      <c r="J57" s="84" t="str">
        <f aca="false">IF(INT(J$3)=INT($C57), TEXT($C57, "dd-mmm"), "")</f>
        <v/>
      </c>
      <c r="K57" s="84" t="str">
        <f aca="false">IF(INT(K$3)=INT($C57), TEXT($C57, "dd-mmm"), "")</f>
        <v/>
      </c>
      <c r="L57" s="84" t="str">
        <f aca="false">IF(INT(L$3)=INT($C57), TEXT($C57, "dd-mmm"), "")</f>
        <v/>
      </c>
      <c r="M57" s="84" t="str">
        <f aca="false">IF(INT(M$3)=INT($C57), TEXT($C57, "dd-mmm"), "")</f>
        <v/>
      </c>
      <c r="N57" s="84" t="str">
        <f aca="false">IF(INT(N$3)=INT($C57), TEXT($C57, "dd-mmm"), "")</f>
        <v/>
      </c>
      <c r="O57" s="84" t="str">
        <f aca="false">IF(INT(O$3)=INT($C57), TEXT($C57, "dd-mmm"), "")</f>
        <v/>
      </c>
      <c r="P57" s="84" t="str">
        <f aca="false">IF(INT(P$3)=INT($C57), TEXT($C57, "dd-mmm"), "")</f>
        <v/>
      </c>
      <c r="Q57" s="84" t="str">
        <f aca="false">IF(INT(Q$3)=INT($C57), TEXT($C57, "dd-mmm"), "")</f>
        <v/>
      </c>
      <c r="R57" s="84" t="str">
        <f aca="false">IF(INT(R$3)=INT($C57), TEXT($C57, "dd-mmm"), "")</f>
        <v/>
      </c>
      <c r="S57" s="84" t="str">
        <f aca="false">IF(INT(S$3)=INT($C57), TEXT($C57, "dd-mmm"), "")</f>
        <v/>
      </c>
      <c r="T57" s="84" t="str">
        <f aca="false">IF(INT(T$3)=INT($C57), TEXT($C57, "dd-mmm"), "")</f>
        <v/>
      </c>
      <c r="U57" s="84" t="str">
        <f aca="false">IF(INT(U$3)=INT($C57), TEXT($C57, "dd-mmm"), "")</f>
        <v/>
      </c>
      <c r="V57" s="84" t="str">
        <f aca="false">IF(INT(V$3)=INT($C57), TEXT($C57, "dd-mmm"), "")</f>
        <v/>
      </c>
      <c r="W57" s="84" t="str">
        <f aca="false">IF(INT(W$3)=INT($C57), TEXT($C57, "dd-mmm"), "")</f>
        <v/>
      </c>
      <c r="X57" s="84" t="str">
        <f aca="false">IF(INT(X$3)=INT($C57), TEXT($C57, "dd-mmm"), "")</f>
        <v/>
      </c>
      <c r="Y57" s="84" t="str">
        <f aca="false">IF(INT(Y$3)=INT($C57), TEXT($C57, "dd-mmm"), "")</f>
        <v/>
      </c>
      <c r="Z57" s="84" t="str">
        <f aca="false">IF(INT(Z$3)=INT($C57), TEXT($C57, "dd-mmm"), "")</f>
        <v/>
      </c>
      <c r="AA57" s="84" t="str">
        <f aca="false">IF(INT(AA$3)=INT($C57), TEXT($C57, "dd-mmm"), "")</f>
        <v/>
      </c>
      <c r="AB57" s="84" t="str">
        <f aca="false">IF(INT(AB$3)=INT($C57), TEXT($C57, "dd-mmm"), "")</f>
        <v/>
      </c>
      <c r="AC57" s="84" t="str">
        <f aca="false">IF(INT(AC$3)=INT($C57), TEXT($C57, "dd-mmm"), "")</f>
        <v/>
      </c>
      <c r="AD57" s="84" t="str">
        <f aca="false">IF(INT(AD$3)=INT($C57), TEXT($C57, "dd-mmm"), "")</f>
        <v/>
      </c>
      <c r="AE57" s="84" t="str">
        <f aca="false">IF(INT(AE$3)=INT($C57), TEXT($C57, "dd-mmm"), "")</f>
        <v/>
      </c>
      <c r="AF57" s="84" t="str">
        <f aca="false">IF(INT(AF$3)=INT($C57), TEXT($C57, "dd-mmm"), "")</f>
        <v/>
      </c>
      <c r="AG57" s="84" t="str">
        <f aca="false">IF(INT(AG$3)=INT($C57), TEXT($C57, "dd-mmm"), "")</f>
        <v/>
      </c>
      <c r="AH57" s="84" t="str">
        <f aca="false">IF(INT(AH$3)=INT($C57), TEXT($C57, "dd-mmm"), "")</f>
        <v/>
      </c>
      <c r="AI57" s="84" t="str">
        <f aca="false">IF(INT(AI$3)=INT($C57), TEXT($C57, "dd-mmm"), "")</f>
        <v/>
      </c>
      <c r="AJ57" s="84" t="str">
        <f aca="false">IF(INT(AJ$3)=INT($C57), TEXT($C57, "dd-mmm"), "")</f>
        <v/>
      </c>
      <c r="AK57" s="84" t="str">
        <f aca="false">IF(INT(AK$3)=INT($C57), TEXT($C57, "dd-mmm"), "")</f>
        <v/>
      </c>
      <c r="AL57" s="84" t="str">
        <f aca="false">IF(INT(AL$3)=INT($C57), TEXT($C57, "dd-mmm"), "")</f>
        <v/>
      </c>
      <c r="AM57" s="84" t="str">
        <f aca="false">IF(INT(AM$3)=INT($C57), TEXT($C57, "dd-mmm"), "")</f>
        <v/>
      </c>
      <c r="AN57" s="84" t="str">
        <f aca="false">IF(INT(AN$3)=INT($C57), TEXT($C57, "dd-mmm"), "")</f>
        <v/>
      </c>
      <c r="AO57" s="84" t="str">
        <f aca="false">IF(INT(AO$3)=INT($C57), TEXT($C57, "dd-mmm"), "")</f>
        <v/>
      </c>
      <c r="AP57" s="84" t="str">
        <f aca="false">IF(INT(AP$3)=INT($C57), TEXT($C57, "dd-mmm"), "")</f>
        <v/>
      </c>
      <c r="AQ57" s="84" t="str">
        <f aca="false">IF(INT(AQ$3)=INT($C57), TEXT($C57, "dd-mmm"), "")</f>
        <v/>
      </c>
      <c r="AR57" s="84" t="str">
        <f aca="false">IF(INT(AR$3)=INT($C57), TEXT($C57, "dd-mmm"), "")</f>
        <v/>
      </c>
      <c r="AS57" s="84" t="str">
        <f aca="false">IF(INT(AS$3)=INT($C57), TEXT($C57, "dd-mmm"), "")</f>
        <v/>
      </c>
      <c r="AT57" s="84" t="str">
        <f aca="false">IF(INT(AT$3)=INT($C57), TEXT($C57, "dd-mmm"), "")</f>
        <v/>
      </c>
      <c r="AU57" s="84" t="str">
        <f aca="false">IF(INT(AU$3)=INT($C57), TEXT($C57, "dd-mmm"), "")</f>
        <v/>
      </c>
      <c r="AV57" s="84" t="str">
        <f aca="false">IF(INT(AV$3)=INT($C57), TEXT($C57, "dd-mmm"), "")</f>
        <v/>
      </c>
      <c r="AW57" s="84" t="str">
        <f aca="false">IF(INT(AW$3)=INT($C57), TEXT($C57, "dd-mmm"), "")</f>
        <v/>
      </c>
      <c r="AX57" s="84" t="str">
        <f aca="false">IF(INT(AX$3)=INT($C57), TEXT($C57, "dd-mmm"), "")</f>
        <v/>
      </c>
      <c r="AY57" s="84" t="str">
        <f aca="false">IF(INT(AY$3)=INT($C57), TEXT($C57, "dd-mmm"), "")</f>
        <v/>
      </c>
      <c r="AZ57" s="84" t="str">
        <f aca="false">IF(INT(AZ$3)=INT($C57), TEXT($C57, "dd-mmm"), "")</f>
        <v/>
      </c>
      <c r="BA57" s="84" t="str">
        <f aca="false">IF(INT(BA$3)=INT($C57), TEXT($C57, "dd-mmm"), "")</f>
        <v/>
      </c>
      <c r="BB57" s="84" t="str">
        <f aca="false">IF(INT(BB$3)=INT($C57), TEXT($C57, "dd-mmm"), "")</f>
        <v/>
      </c>
      <c r="BC57" s="84" t="str">
        <f aca="false">IF(INT(BC$3)=INT($C57), TEXT($C57, "dd-mmm"), "")</f>
        <v/>
      </c>
      <c r="BD57" s="84" t="str">
        <f aca="false">IF(INT(BD$3)=INT($C57), TEXT($C57, "dd-mmm"), "")</f>
        <v/>
      </c>
      <c r="BE57" s="84" t="str">
        <f aca="false">IF(INT(BE$3)=INT($C57), TEXT($C57, "dd-mmm"), "")</f>
        <v/>
      </c>
      <c r="BF57" s="84" t="str">
        <f aca="false">IF(INT(BF$3)=INT($C57), TEXT($C57, "dd-mmm"), "")</f>
        <v/>
      </c>
      <c r="BG57" s="84" t="str">
        <f aca="false">IF(INT(BG$3)=INT($C57), TEXT($C57, "dd-mmm"), "")</f>
        <v/>
      </c>
      <c r="BH57" s="84" t="str">
        <f aca="false">IF(INT(BH$3)=INT($C57), TEXT($C57, "dd-mmm"), "")</f>
        <v/>
      </c>
      <c r="BI57" s="84" t="str">
        <f aca="false">IF(INT(BI$3)=INT($C57), TEXT($C57, "dd-mmm"), "")</f>
        <v/>
      </c>
      <c r="BJ57" s="84" t="str">
        <f aca="false">IF(INT(BJ$3)=INT($C57), TEXT($C57, "dd-mmm"), "")</f>
        <v/>
      </c>
      <c r="BK57" s="84" t="str">
        <f aca="false">IF(INT(BK$3)=INT($C57), TEXT($C57, "dd-mmm"), "")</f>
        <v/>
      </c>
      <c r="BL57" s="84" t="str">
        <f aca="false">IF(INT(BL$3)=INT($C57), TEXT($C57, "dd-mmm"), "")</f>
        <v/>
      </c>
      <c r="BM57" s="84" t="str">
        <f aca="false">IF(INT(BM$3)=INT($C57), TEXT($C57, "dd-mmm"), "")</f>
        <v/>
      </c>
      <c r="BN57" s="84" t="str">
        <f aca="false">IF(INT(BN$3)=INT($C57), TEXT($C57, "dd-mmm"), "")</f>
        <v/>
      </c>
    </row>
    <row r="58" customFormat="false" ht="15" hidden="false" customHeight="true" outlineLevel="0" collapsed="false">
      <c r="A58" s="4" t="str">
        <f aca="false">Machine_List!A58</f>
        <v>ENG</v>
      </c>
      <c r="B58" s="4" t="str">
        <f aca="false">Machine_List!B58</f>
        <v>ENG-MC-09</v>
      </c>
      <c r="C58" s="12" t="n">
        <f aca="false">Machine_List!C58</f>
        <v>46471</v>
      </c>
      <c r="D58" s="4" t="n">
        <f aca="false">Machine_List!D58</f>
        <v>6</v>
      </c>
      <c r="E58" s="4" t="n">
        <f aca="true">C58-TODAY()</f>
        <v>353</v>
      </c>
      <c r="F58" s="4" t="str">
        <f aca="false">IF(E58&lt;0,"OVERDUE",IF(E58&lt;=5,"DUE SOON","OK"))</f>
        <v>OK</v>
      </c>
      <c r="G58" s="84" t="str">
        <f aca="false">IF(INT(G$3)=INT($C58), TEXT($C58, "dd-mmm"), "")</f>
        <v/>
      </c>
      <c r="H58" s="84" t="str">
        <f aca="false">IF(INT(H$3)=INT($C58), TEXT($C58, "dd-mmm"), "")</f>
        <v/>
      </c>
      <c r="I58" s="84" t="str">
        <f aca="false">IF(INT(I$3)=INT($C58), TEXT($C58, "dd-mmm"), "")</f>
        <v/>
      </c>
      <c r="J58" s="84" t="str">
        <f aca="false">IF(INT(J$3)=INT($C58), TEXT($C58, "dd-mmm"), "")</f>
        <v/>
      </c>
      <c r="K58" s="84" t="str">
        <f aca="false">IF(INT(K$3)=INT($C58), TEXT($C58, "dd-mmm"), "")</f>
        <v/>
      </c>
      <c r="L58" s="84" t="str">
        <f aca="false">IF(INT(L$3)=INT($C58), TEXT($C58, "dd-mmm"), "")</f>
        <v/>
      </c>
      <c r="M58" s="84" t="str">
        <f aca="false">IF(INT(M$3)=INT($C58), TEXT($C58, "dd-mmm"), "")</f>
        <v/>
      </c>
      <c r="N58" s="84" t="str">
        <f aca="false">IF(INT(N$3)=INT($C58), TEXT($C58, "dd-mmm"), "")</f>
        <v/>
      </c>
      <c r="O58" s="84" t="str">
        <f aca="false">IF(INT(O$3)=INT($C58), TEXT($C58, "dd-mmm"), "")</f>
        <v/>
      </c>
      <c r="P58" s="84" t="str">
        <f aca="false">IF(INT(P$3)=INT($C58), TEXT($C58, "dd-mmm"), "")</f>
        <v/>
      </c>
      <c r="Q58" s="84" t="str">
        <f aca="false">IF(INT(Q$3)=INT($C58), TEXT($C58, "dd-mmm"), "")</f>
        <v/>
      </c>
      <c r="R58" s="84" t="str">
        <f aca="false">IF(INT(R$3)=INT($C58), TEXT($C58, "dd-mmm"), "")</f>
        <v/>
      </c>
      <c r="S58" s="84" t="str">
        <f aca="false">IF(INT(S$3)=INT($C58), TEXT($C58, "dd-mmm"), "")</f>
        <v/>
      </c>
      <c r="T58" s="84" t="str">
        <f aca="false">IF(INT(T$3)=INT($C58), TEXT($C58, "dd-mmm"), "")</f>
        <v/>
      </c>
      <c r="U58" s="84" t="str">
        <f aca="false">IF(INT(U$3)=INT($C58), TEXT($C58, "dd-mmm"), "")</f>
        <v/>
      </c>
      <c r="V58" s="84" t="str">
        <f aca="false">IF(INT(V$3)=INT($C58), TEXT($C58, "dd-mmm"), "")</f>
        <v/>
      </c>
      <c r="W58" s="84" t="str">
        <f aca="false">IF(INT(W$3)=INT($C58), TEXT($C58, "dd-mmm"), "")</f>
        <v/>
      </c>
      <c r="X58" s="84" t="str">
        <f aca="false">IF(INT(X$3)=INT($C58), TEXT($C58, "dd-mmm"), "")</f>
        <v/>
      </c>
      <c r="Y58" s="84" t="str">
        <f aca="false">IF(INT(Y$3)=INT($C58), TEXT($C58, "dd-mmm"), "")</f>
        <v/>
      </c>
      <c r="Z58" s="84" t="str">
        <f aca="false">IF(INT(Z$3)=INT($C58), TEXT($C58, "dd-mmm"), "")</f>
        <v/>
      </c>
      <c r="AA58" s="84" t="str">
        <f aca="false">IF(INT(AA$3)=INT($C58), TEXT($C58, "dd-mmm"), "")</f>
        <v/>
      </c>
      <c r="AB58" s="84" t="str">
        <f aca="false">IF(INT(AB$3)=INT($C58), TEXT($C58, "dd-mmm"), "")</f>
        <v/>
      </c>
      <c r="AC58" s="84" t="str">
        <f aca="false">IF(INT(AC$3)=INT($C58), TEXT($C58, "dd-mmm"), "")</f>
        <v/>
      </c>
      <c r="AD58" s="84" t="str">
        <f aca="false">IF(INT(AD$3)=INT($C58), TEXT($C58, "dd-mmm"), "")</f>
        <v/>
      </c>
      <c r="AE58" s="84" t="str">
        <f aca="false">IF(INT(AE$3)=INT($C58), TEXT($C58, "dd-mmm"), "")</f>
        <v/>
      </c>
      <c r="AF58" s="84" t="str">
        <f aca="false">IF(INT(AF$3)=INT($C58), TEXT($C58, "dd-mmm"), "")</f>
        <v/>
      </c>
      <c r="AG58" s="84" t="str">
        <f aca="false">IF(INT(AG$3)=INT($C58), TEXT($C58, "dd-mmm"), "")</f>
        <v/>
      </c>
      <c r="AH58" s="84" t="str">
        <f aca="false">IF(INT(AH$3)=INT($C58), TEXT($C58, "dd-mmm"), "")</f>
        <v/>
      </c>
      <c r="AI58" s="84" t="str">
        <f aca="false">IF(INT(AI$3)=INT($C58), TEXT($C58, "dd-mmm"), "")</f>
        <v/>
      </c>
      <c r="AJ58" s="84" t="str">
        <f aca="false">IF(INT(AJ$3)=INT($C58), TEXT($C58, "dd-mmm"), "")</f>
        <v/>
      </c>
      <c r="AK58" s="84" t="str">
        <f aca="false">IF(INT(AK$3)=INT($C58), TEXT($C58, "dd-mmm"), "")</f>
        <v/>
      </c>
      <c r="AL58" s="84" t="str">
        <f aca="false">IF(INT(AL$3)=INT($C58), TEXT($C58, "dd-mmm"), "")</f>
        <v/>
      </c>
      <c r="AM58" s="84" t="str">
        <f aca="false">IF(INT(AM$3)=INT($C58), TEXT($C58, "dd-mmm"), "")</f>
        <v/>
      </c>
      <c r="AN58" s="84" t="str">
        <f aca="false">IF(INT(AN$3)=INT($C58), TEXT($C58, "dd-mmm"), "")</f>
        <v/>
      </c>
      <c r="AO58" s="84" t="str">
        <f aca="false">IF(INT(AO$3)=INT($C58), TEXT($C58, "dd-mmm"), "")</f>
        <v/>
      </c>
      <c r="AP58" s="84" t="str">
        <f aca="false">IF(INT(AP$3)=INT($C58), TEXT($C58, "dd-mmm"), "")</f>
        <v/>
      </c>
      <c r="AQ58" s="84" t="str">
        <f aca="false">IF(INT(AQ$3)=INT($C58), TEXT($C58, "dd-mmm"), "")</f>
        <v/>
      </c>
      <c r="AR58" s="84" t="str">
        <f aca="false">IF(INT(AR$3)=INT($C58), TEXT($C58, "dd-mmm"), "")</f>
        <v/>
      </c>
      <c r="AS58" s="84" t="str">
        <f aca="false">IF(INT(AS$3)=INT($C58), TEXT($C58, "dd-mmm"), "")</f>
        <v/>
      </c>
      <c r="AT58" s="84" t="str">
        <f aca="false">IF(INT(AT$3)=INT($C58), TEXT($C58, "dd-mmm"), "")</f>
        <v/>
      </c>
      <c r="AU58" s="84" t="str">
        <f aca="false">IF(INT(AU$3)=INT($C58), TEXT($C58, "dd-mmm"), "")</f>
        <v/>
      </c>
      <c r="AV58" s="84" t="str">
        <f aca="false">IF(INT(AV$3)=INT($C58), TEXT($C58, "dd-mmm"), "")</f>
        <v/>
      </c>
      <c r="AW58" s="84" t="str">
        <f aca="false">IF(INT(AW$3)=INT($C58), TEXT($C58, "dd-mmm"), "")</f>
        <v/>
      </c>
      <c r="AX58" s="84" t="str">
        <f aca="false">IF(INT(AX$3)=INT($C58), TEXT($C58, "dd-mmm"), "")</f>
        <v/>
      </c>
      <c r="AY58" s="84" t="str">
        <f aca="false">IF(INT(AY$3)=INT($C58), TEXT($C58, "dd-mmm"), "")</f>
        <v/>
      </c>
      <c r="AZ58" s="84" t="str">
        <f aca="false">IF(INT(AZ$3)=INT($C58), TEXT($C58, "dd-mmm"), "")</f>
        <v/>
      </c>
      <c r="BA58" s="84" t="str">
        <f aca="false">IF(INT(BA$3)=INT($C58), TEXT($C58, "dd-mmm"), "")</f>
        <v/>
      </c>
      <c r="BB58" s="84" t="str">
        <f aca="false">IF(INT(BB$3)=INT($C58), TEXT($C58, "dd-mmm"), "")</f>
        <v/>
      </c>
      <c r="BC58" s="84" t="str">
        <f aca="false">IF(INT(BC$3)=INT($C58), TEXT($C58, "dd-mmm"), "")</f>
        <v/>
      </c>
      <c r="BD58" s="84" t="str">
        <f aca="false">IF(INT(BD$3)=INT($C58), TEXT($C58, "dd-mmm"), "")</f>
        <v/>
      </c>
      <c r="BE58" s="84" t="str">
        <f aca="false">IF(INT(BE$3)=INT($C58), TEXT($C58, "dd-mmm"), "")</f>
        <v/>
      </c>
      <c r="BF58" s="84" t="str">
        <f aca="false">IF(INT(BF$3)=INT($C58), TEXT($C58, "dd-mmm"), "")</f>
        <v/>
      </c>
      <c r="BG58" s="84" t="str">
        <f aca="false">IF(INT(BG$3)=INT($C58), TEXT($C58, "dd-mmm"), "")</f>
        <v/>
      </c>
      <c r="BH58" s="84" t="str">
        <f aca="false">IF(INT(BH$3)=INT($C58), TEXT($C58, "dd-mmm"), "")</f>
        <v/>
      </c>
      <c r="BI58" s="84" t="str">
        <f aca="false">IF(INT(BI$3)=INT($C58), TEXT($C58, "dd-mmm"), "")</f>
        <v/>
      </c>
      <c r="BJ58" s="84" t="str">
        <f aca="false">IF(INT(BJ$3)=INT($C58), TEXT($C58, "dd-mmm"), "")</f>
        <v/>
      </c>
      <c r="BK58" s="84" t="str">
        <f aca="false">IF(INT(BK$3)=INT($C58), TEXT($C58, "dd-mmm"), "")</f>
        <v/>
      </c>
      <c r="BL58" s="84" t="str">
        <f aca="false">IF(INT(BL$3)=INT($C58), TEXT($C58, "dd-mmm"), "")</f>
        <v/>
      </c>
      <c r="BM58" s="84" t="str">
        <f aca="false">IF(INT(BM$3)=INT($C58), TEXT($C58, "dd-mmm"), "")</f>
        <v/>
      </c>
      <c r="BN58" s="84" t="str">
        <f aca="false">IF(INT(BN$3)=INT($C58), TEXT($C58, "dd-mmm"), "")</f>
        <v/>
      </c>
    </row>
    <row r="59" customFormat="false" ht="15" hidden="false" customHeight="true" outlineLevel="0" collapsed="false">
      <c r="A59" s="4" t="str">
        <f aca="false">Machine_List!A59</f>
        <v>ENG</v>
      </c>
      <c r="B59" s="4" t="str">
        <f aca="false">Machine_List!B59</f>
        <v>ENG-MC-10</v>
      </c>
      <c r="C59" s="12" t="n">
        <f aca="false">Machine_List!C59</f>
        <v>46377</v>
      </c>
      <c r="D59" s="4" t="n">
        <f aca="false">Machine_List!D59</f>
        <v>6</v>
      </c>
      <c r="E59" s="4" t="n">
        <f aca="true">C59-TODAY()</f>
        <v>259</v>
      </c>
      <c r="F59" s="4" t="str">
        <f aca="false">IF(E59&lt;0,"OVERDUE",IF(E59&lt;=5,"DUE SOON","OK"))</f>
        <v>OK</v>
      </c>
      <c r="G59" s="84" t="str">
        <f aca="false">IF(INT(G$3)=INT($C59), TEXT($C59, "dd-mmm"), "")</f>
        <v/>
      </c>
      <c r="H59" s="84" t="str">
        <f aca="false">IF(INT(H$3)=INT($C59), TEXT($C59, "dd-mmm"), "")</f>
        <v/>
      </c>
      <c r="I59" s="84" t="str">
        <f aca="false">IF(INT(I$3)=INT($C59), TEXT($C59, "dd-mmm"), "")</f>
        <v/>
      </c>
      <c r="J59" s="84" t="str">
        <f aca="false">IF(INT(J$3)=INT($C59), TEXT($C59, "dd-mmm"), "")</f>
        <v/>
      </c>
      <c r="K59" s="84" t="str">
        <f aca="false">IF(INT(K$3)=INT($C59), TEXT($C59, "dd-mmm"), "")</f>
        <v/>
      </c>
      <c r="L59" s="84" t="str">
        <f aca="false">IF(INT(L$3)=INT($C59), TEXT($C59, "dd-mmm"), "")</f>
        <v/>
      </c>
      <c r="M59" s="84" t="str">
        <f aca="false">IF(INT(M$3)=INT($C59), TEXT($C59, "dd-mmm"), "")</f>
        <v/>
      </c>
      <c r="N59" s="84" t="str">
        <f aca="false">IF(INT(N$3)=INT($C59), TEXT($C59, "dd-mmm"), "")</f>
        <v/>
      </c>
      <c r="O59" s="84" t="str">
        <f aca="false">IF(INT(O$3)=INT($C59), TEXT($C59, "dd-mmm"), "")</f>
        <v/>
      </c>
      <c r="P59" s="84" t="str">
        <f aca="false">IF(INT(P$3)=INT($C59), TEXT($C59, "dd-mmm"), "")</f>
        <v/>
      </c>
      <c r="Q59" s="84" t="str">
        <f aca="false">IF(INT(Q$3)=INT($C59), TEXT($C59, "dd-mmm"), "")</f>
        <v/>
      </c>
      <c r="R59" s="84" t="str">
        <f aca="false">IF(INT(R$3)=INT($C59), TEXT($C59, "dd-mmm"), "")</f>
        <v/>
      </c>
      <c r="S59" s="84" t="str">
        <f aca="false">IF(INT(S$3)=INT($C59), TEXT($C59, "dd-mmm"), "")</f>
        <v/>
      </c>
      <c r="T59" s="84" t="str">
        <f aca="false">IF(INT(T$3)=INT($C59), TEXT($C59, "dd-mmm"), "")</f>
        <v/>
      </c>
      <c r="U59" s="84" t="str">
        <f aca="false">IF(INT(U$3)=INT($C59), TEXT($C59, "dd-mmm"), "")</f>
        <v/>
      </c>
      <c r="V59" s="84" t="str">
        <f aca="false">IF(INT(V$3)=INT($C59), TEXT($C59, "dd-mmm"), "")</f>
        <v/>
      </c>
      <c r="W59" s="84" t="str">
        <f aca="false">IF(INT(W$3)=INT($C59), TEXT($C59, "dd-mmm"), "")</f>
        <v/>
      </c>
      <c r="X59" s="84" t="str">
        <f aca="false">IF(INT(X$3)=INT($C59), TEXT($C59, "dd-mmm"), "")</f>
        <v/>
      </c>
      <c r="Y59" s="84" t="str">
        <f aca="false">IF(INT(Y$3)=INT($C59), TEXT($C59, "dd-mmm"), "")</f>
        <v/>
      </c>
      <c r="Z59" s="84" t="str">
        <f aca="false">IF(INT(Z$3)=INT($C59), TEXT($C59, "dd-mmm"), "")</f>
        <v/>
      </c>
      <c r="AA59" s="84" t="str">
        <f aca="false">IF(INT(AA$3)=INT($C59), TEXT($C59, "dd-mmm"), "")</f>
        <v/>
      </c>
      <c r="AB59" s="84" t="str">
        <f aca="false">IF(INT(AB$3)=INT($C59), TEXT($C59, "dd-mmm"), "")</f>
        <v/>
      </c>
      <c r="AC59" s="84" t="str">
        <f aca="false">IF(INT(AC$3)=INT($C59), TEXT($C59, "dd-mmm"), "")</f>
        <v/>
      </c>
      <c r="AD59" s="84" t="str">
        <f aca="false">IF(INT(AD$3)=INT($C59), TEXT($C59, "dd-mmm"), "")</f>
        <v/>
      </c>
      <c r="AE59" s="84" t="str">
        <f aca="false">IF(INT(AE$3)=INT($C59), TEXT($C59, "dd-mmm"), "")</f>
        <v/>
      </c>
      <c r="AF59" s="84" t="str">
        <f aca="false">IF(INT(AF$3)=INT($C59), TEXT($C59, "dd-mmm"), "")</f>
        <v/>
      </c>
      <c r="AG59" s="84" t="str">
        <f aca="false">IF(INT(AG$3)=INT($C59), TEXT($C59, "dd-mmm"), "")</f>
        <v/>
      </c>
      <c r="AH59" s="84" t="str">
        <f aca="false">IF(INT(AH$3)=INT($C59), TEXT($C59, "dd-mmm"), "")</f>
        <v/>
      </c>
      <c r="AI59" s="84" t="str">
        <f aca="false">IF(INT(AI$3)=INT($C59), TEXT($C59, "dd-mmm"), "")</f>
        <v/>
      </c>
      <c r="AJ59" s="84" t="str">
        <f aca="false">IF(INT(AJ$3)=INT($C59), TEXT($C59, "dd-mmm"), "")</f>
        <v/>
      </c>
      <c r="AK59" s="84" t="str">
        <f aca="false">IF(INT(AK$3)=INT($C59), TEXT($C59, "dd-mmm"), "")</f>
        <v/>
      </c>
      <c r="AL59" s="84" t="str">
        <f aca="false">IF(INT(AL$3)=INT($C59), TEXT($C59, "dd-mmm"), "")</f>
        <v/>
      </c>
      <c r="AM59" s="84" t="str">
        <f aca="false">IF(INT(AM$3)=INT($C59), TEXT($C59, "dd-mmm"), "")</f>
        <v/>
      </c>
      <c r="AN59" s="84" t="str">
        <f aca="false">IF(INT(AN$3)=INT($C59), TEXT($C59, "dd-mmm"), "")</f>
        <v/>
      </c>
      <c r="AO59" s="84" t="str">
        <f aca="false">IF(INT(AO$3)=INT($C59), TEXT($C59, "dd-mmm"), "")</f>
        <v/>
      </c>
      <c r="AP59" s="84" t="str">
        <f aca="false">IF(INT(AP$3)=INT($C59), TEXT($C59, "dd-mmm"), "")</f>
        <v/>
      </c>
      <c r="AQ59" s="84" t="str">
        <f aca="false">IF(INT(AQ$3)=INT($C59), TEXT($C59, "dd-mmm"), "")</f>
        <v/>
      </c>
      <c r="AR59" s="84" t="str">
        <f aca="false">IF(INT(AR$3)=INT($C59), TEXT($C59, "dd-mmm"), "")</f>
        <v/>
      </c>
      <c r="AS59" s="84" t="str">
        <f aca="false">IF(INT(AS$3)=INT($C59), TEXT($C59, "dd-mmm"), "")</f>
        <v/>
      </c>
      <c r="AT59" s="84" t="str">
        <f aca="false">IF(INT(AT$3)=INT($C59), TEXT($C59, "dd-mmm"), "")</f>
        <v/>
      </c>
      <c r="AU59" s="84" t="str">
        <f aca="false">IF(INT(AU$3)=INT($C59), TEXT($C59, "dd-mmm"), "")</f>
        <v/>
      </c>
      <c r="AV59" s="84" t="str">
        <f aca="false">IF(INT(AV$3)=INT($C59), TEXT($C59, "dd-mmm"), "")</f>
        <v/>
      </c>
      <c r="AW59" s="84" t="str">
        <f aca="false">IF(INT(AW$3)=INT($C59), TEXT($C59, "dd-mmm"), "")</f>
        <v/>
      </c>
      <c r="AX59" s="84" t="str">
        <f aca="false">IF(INT(AX$3)=INT($C59), TEXT($C59, "dd-mmm"), "")</f>
        <v/>
      </c>
      <c r="AY59" s="84" t="str">
        <f aca="false">IF(INT(AY$3)=INT($C59), TEXT($C59, "dd-mmm"), "")</f>
        <v/>
      </c>
      <c r="AZ59" s="84" t="str">
        <f aca="false">IF(INT(AZ$3)=INT($C59), TEXT($C59, "dd-mmm"), "")</f>
        <v/>
      </c>
      <c r="BA59" s="84" t="str">
        <f aca="false">IF(INT(BA$3)=INT($C59), TEXT($C59, "dd-mmm"), "")</f>
        <v/>
      </c>
      <c r="BB59" s="84" t="str">
        <f aca="false">IF(INT(BB$3)=INT($C59), TEXT($C59, "dd-mmm"), "")</f>
        <v/>
      </c>
      <c r="BC59" s="84" t="str">
        <f aca="false">IF(INT(BC$3)=INT($C59), TEXT($C59, "dd-mmm"), "")</f>
        <v/>
      </c>
      <c r="BD59" s="84" t="str">
        <f aca="false">IF(INT(BD$3)=INT($C59), TEXT($C59, "dd-mmm"), "")</f>
        <v/>
      </c>
      <c r="BE59" s="84" t="str">
        <f aca="false">IF(INT(BE$3)=INT($C59), TEXT($C59, "dd-mmm"), "")</f>
        <v/>
      </c>
      <c r="BF59" s="84" t="str">
        <f aca="false">IF(INT(BF$3)=INT($C59), TEXT($C59, "dd-mmm"), "")</f>
        <v/>
      </c>
      <c r="BG59" s="84" t="str">
        <f aca="false">IF(INT(BG$3)=INT($C59), TEXT($C59, "dd-mmm"), "")</f>
        <v/>
      </c>
      <c r="BH59" s="84" t="str">
        <f aca="false">IF(INT(BH$3)=INT($C59), TEXT($C59, "dd-mmm"), "")</f>
        <v/>
      </c>
      <c r="BI59" s="84" t="str">
        <f aca="false">IF(INT(BI$3)=INT($C59), TEXT($C59, "dd-mmm"), "")</f>
        <v/>
      </c>
      <c r="BJ59" s="84" t="str">
        <f aca="false">IF(INT(BJ$3)=INT($C59), TEXT($C59, "dd-mmm"), "")</f>
        <v/>
      </c>
      <c r="BK59" s="84" t="str">
        <f aca="false">IF(INT(BK$3)=INT($C59), TEXT($C59, "dd-mmm"), "")</f>
        <v/>
      </c>
      <c r="BL59" s="84" t="str">
        <f aca="false">IF(INT(BL$3)=INT($C59), TEXT($C59, "dd-mmm"), "")</f>
        <v/>
      </c>
      <c r="BM59" s="84" t="str">
        <f aca="false">IF(INT(BM$3)=INT($C59), TEXT($C59, "dd-mmm"), "")</f>
        <v/>
      </c>
      <c r="BN59" s="84" t="str">
        <f aca="false">IF(INT(BN$3)=INT($C59), TEXT($C59, "dd-mmm"), "")</f>
        <v/>
      </c>
    </row>
    <row r="60" customFormat="false" ht="15" hidden="false" customHeight="true" outlineLevel="0" collapsed="false">
      <c r="A60" s="4" t="str">
        <f aca="false">Machine_List!A60</f>
        <v>ENG</v>
      </c>
      <c r="B60" s="4" t="str">
        <f aca="false">Machine_List!B60</f>
        <v>ENG-MC-11</v>
      </c>
      <c r="C60" s="12" t="n">
        <f aca="false">Machine_List!C60</f>
        <v>46517</v>
      </c>
      <c r="D60" s="4" t="n">
        <f aca="false">Machine_List!D60</f>
        <v>6</v>
      </c>
      <c r="E60" s="4" t="n">
        <f aca="true">C60-TODAY()</f>
        <v>399</v>
      </c>
      <c r="F60" s="4" t="str">
        <f aca="false">IF(E60&lt;0,"OVERDUE",IF(E60&lt;=5,"DUE SOON","OK"))</f>
        <v>OK</v>
      </c>
      <c r="G60" s="84" t="str">
        <f aca="false">IF(INT(G$3)=INT($C60), TEXT($C60, "dd-mmm"), "")</f>
        <v/>
      </c>
      <c r="H60" s="84" t="str">
        <f aca="false">IF(INT(H$3)=INT($C60), TEXT($C60, "dd-mmm"), "")</f>
        <v/>
      </c>
      <c r="I60" s="84" t="str">
        <f aca="false">IF(INT(I$3)=INT($C60), TEXT($C60, "dd-mmm"), "")</f>
        <v/>
      </c>
      <c r="J60" s="84" t="str">
        <f aca="false">IF(INT(J$3)=INT($C60), TEXT($C60, "dd-mmm"), "")</f>
        <v/>
      </c>
      <c r="K60" s="84" t="str">
        <f aca="false">IF(INT(K$3)=INT($C60), TEXT($C60, "dd-mmm"), "")</f>
        <v/>
      </c>
      <c r="L60" s="84" t="str">
        <f aca="false">IF(INT(L$3)=INT($C60), TEXT($C60, "dd-mmm"), "")</f>
        <v/>
      </c>
      <c r="M60" s="84" t="str">
        <f aca="false">IF(INT(M$3)=INT($C60), TEXT($C60, "dd-mmm"), "")</f>
        <v/>
      </c>
      <c r="N60" s="84" t="str">
        <f aca="false">IF(INT(N$3)=INT($C60), TEXT($C60, "dd-mmm"), "")</f>
        <v/>
      </c>
      <c r="O60" s="84" t="str">
        <f aca="false">IF(INT(O$3)=INT($C60), TEXT($C60, "dd-mmm"), "")</f>
        <v/>
      </c>
      <c r="P60" s="84" t="str">
        <f aca="false">IF(INT(P$3)=INT($C60), TEXT($C60, "dd-mmm"), "")</f>
        <v/>
      </c>
      <c r="Q60" s="84" t="str">
        <f aca="false">IF(INT(Q$3)=INT($C60), TEXT($C60, "dd-mmm"), "")</f>
        <v/>
      </c>
      <c r="R60" s="84" t="str">
        <f aca="false">IF(INT(R$3)=INT($C60), TEXT($C60, "dd-mmm"), "")</f>
        <v/>
      </c>
      <c r="S60" s="84" t="str">
        <f aca="false">IF(INT(S$3)=INT($C60), TEXT($C60, "dd-mmm"), "")</f>
        <v/>
      </c>
      <c r="T60" s="84" t="str">
        <f aca="false">IF(INT(T$3)=INT($C60), TEXT($C60, "dd-mmm"), "")</f>
        <v/>
      </c>
      <c r="U60" s="84" t="str">
        <f aca="false">IF(INT(U$3)=INT($C60), TEXT($C60, "dd-mmm"), "")</f>
        <v/>
      </c>
      <c r="V60" s="84" t="str">
        <f aca="false">IF(INT(V$3)=INT($C60), TEXT($C60, "dd-mmm"), "")</f>
        <v/>
      </c>
      <c r="W60" s="84" t="str">
        <f aca="false">IF(INT(W$3)=INT($C60), TEXT($C60, "dd-mmm"), "")</f>
        <v/>
      </c>
      <c r="X60" s="84" t="str">
        <f aca="false">IF(INT(X$3)=INT($C60), TEXT($C60, "dd-mmm"), "")</f>
        <v/>
      </c>
      <c r="Y60" s="84" t="str">
        <f aca="false">IF(INT(Y$3)=INT($C60), TEXT($C60, "dd-mmm"), "")</f>
        <v/>
      </c>
      <c r="Z60" s="84" t="str">
        <f aca="false">IF(INT(Z$3)=INT($C60), TEXT($C60, "dd-mmm"), "")</f>
        <v/>
      </c>
      <c r="AA60" s="84" t="str">
        <f aca="false">IF(INT(AA$3)=INT($C60), TEXT($C60, "dd-mmm"), "")</f>
        <v/>
      </c>
      <c r="AB60" s="84" t="str">
        <f aca="false">IF(INT(AB$3)=INT($C60), TEXT($C60, "dd-mmm"), "")</f>
        <v/>
      </c>
      <c r="AC60" s="84" t="str">
        <f aca="false">IF(INT(AC$3)=INT($C60), TEXT($C60, "dd-mmm"), "")</f>
        <v/>
      </c>
      <c r="AD60" s="84" t="str">
        <f aca="false">IF(INT(AD$3)=INT($C60), TEXT($C60, "dd-mmm"), "")</f>
        <v/>
      </c>
      <c r="AE60" s="84" t="str">
        <f aca="false">IF(INT(AE$3)=INT($C60), TEXT($C60, "dd-mmm"), "")</f>
        <v/>
      </c>
      <c r="AF60" s="84" t="str">
        <f aca="false">IF(INT(AF$3)=INT($C60), TEXT($C60, "dd-mmm"), "")</f>
        <v/>
      </c>
      <c r="AG60" s="84" t="str">
        <f aca="false">IF(INT(AG$3)=INT($C60), TEXT($C60, "dd-mmm"), "")</f>
        <v/>
      </c>
      <c r="AH60" s="84" t="str">
        <f aca="false">IF(INT(AH$3)=INT($C60), TEXT($C60, "dd-mmm"), "")</f>
        <v/>
      </c>
      <c r="AI60" s="84" t="str">
        <f aca="false">IF(INT(AI$3)=INT($C60), TEXT($C60, "dd-mmm"), "")</f>
        <v/>
      </c>
      <c r="AJ60" s="84" t="str">
        <f aca="false">IF(INT(AJ$3)=INT($C60), TEXT($C60, "dd-mmm"), "")</f>
        <v/>
      </c>
      <c r="AK60" s="84" t="str">
        <f aca="false">IF(INT(AK$3)=INT($C60), TEXT($C60, "dd-mmm"), "")</f>
        <v/>
      </c>
      <c r="AL60" s="84" t="str">
        <f aca="false">IF(INT(AL$3)=INT($C60), TEXT($C60, "dd-mmm"), "")</f>
        <v/>
      </c>
      <c r="AM60" s="84" t="str">
        <f aca="false">IF(INT(AM$3)=INT($C60), TEXT($C60, "dd-mmm"), "")</f>
        <v/>
      </c>
      <c r="AN60" s="84" t="str">
        <f aca="false">IF(INT(AN$3)=INT($C60), TEXT($C60, "dd-mmm"), "")</f>
        <v/>
      </c>
      <c r="AO60" s="84" t="str">
        <f aca="false">IF(INT(AO$3)=INT($C60), TEXT($C60, "dd-mmm"), "")</f>
        <v/>
      </c>
      <c r="AP60" s="84" t="str">
        <f aca="false">IF(INT(AP$3)=INT($C60), TEXT($C60, "dd-mmm"), "")</f>
        <v/>
      </c>
      <c r="AQ60" s="84" t="str">
        <f aca="false">IF(INT(AQ$3)=INT($C60), TEXT($C60, "dd-mmm"), "")</f>
        <v/>
      </c>
      <c r="AR60" s="84" t="str">
        <f aca="false">IF(INT(AR$3)=INT($C60), TEXT($C60, "dd-mmm"), "")</f>
        <v/>
      </c>
      <c r="AS60" s="84" t="str">
        <f aca="false">IF(INT(AS$3)=INT($C60), TEXT($C60, "dd-mmm"), "")</f>
        <v/>
      </c>
      <c r="AT60" s="84" t="str">
        <f aca="false">IF(INT(AT$3)=INT($C60), TEXT($C60, "dd-mmm"), "")</f>
        <v/>
      </c>
      <c r="AU60" s="84" t="str">
        <f aca="false">IF(INT(AU$3)=INT($C60), TEXT($C60, "dd-mmm"), "")</f>
        <v/>
      </c>
      <c r="AV60" s="84" t="str">
        <f aca="false">IF(INT(AV$3)=INT($C60), TEXT($C60, "dd-mmm"), "")</f>
        <v/>
      </c>
      <c r="AW60" s="84" t="str">
        <f aca="false">IF(INT(AW$3)=INT($C60), TEXT($C60, "dd-mmm"), "")</f>
        <v/>
      </c>
      <c r="AX60" s="84" t="str">
        <f aca="false">IF(INT(AX$3)=INT($C60), TEXT($C60, "dd-mmm"), "")</f>
        <v/>
      </c>
      <c r="AY60" s="84" t="str">
        <f aca="false">IF(INT(AY$3)=INT($C60), TEXT($C60, "dd-mmm"), "")</f>
        <v/>
      </c>
      <c r="AZ60" s="84" t="str">
        <f aca="false">IF(INT(AZ$3)=INT($C60), TEXT($C60, "dd-mmm"), "")</f>
        <v/>
      </c>
      <c r="BA60" s="84" t="str">
        <f aca="false">IF(INT(BA$3)=INT($C60), TEXT($C60, "dd-mmm"), "")</f>
        <v/>
      </c>
      <c r="BB60" s="84" t="str">
        <f aca="false">IF(INT(BB$3)=INT($C60), TEXT($C60, "dd-mmm"), "")</f>
        <v/>
      </c>
      <c r="BC60" s="84" t="str">
        <f aca="false">IF(INT(BC$3)=INT($C60), TEXT($C60, "dd-mmm"), "")</f>
        <v/>
      </c>
      <c r="BD60" s="84" t="str">
        <f aca="false">IF(INT(BD$3)=INT($C60), TEXT($C60, "dd-mmm"), "")</f>
        <v/>
      </c>
      <c r="BE60" s="84" t="str">
        <f aca="false">IF(INT(BE$3)=INT($C60), TEXT($C60, "dd-mmm"), "")</f>
        <v/>
      </c>
      <c r="BF60" s="84" t="str">
        <f aca="false">IF(INT(BF$3)=INT($C60), TEXT($C60, "dd-mmm"), "")</f>
        <v/>
      </c>
      <c r="BG60" s="84" t="str">
        <f aca="false">IF(INT(BG$3)=INT($C60), TEXT($C60, "dd-mmm"), "")</f>
        <v/>
      </c>
      <c r="BH60" s="84" t="str">
        <f aca="false">IF(INT(BH$3)=INT($C60), TEXT($C60, "dd-mmm"), "")</f>
        <v/>
      </c>
      <c r="BI60" s="84" t="str">
        <f aca="false">IF(INT(BI$3)=INT($C60), TEXT($C60, "dd-mmm"), "")</f>
        <v/>
      </c>
      <c r="BJ60" s="84" t="str">
        <f aca="false">IF(INT(BJ$3)=INT($C60), TEXT($C60, "dd-mmm"), "")</f>
        <v/>
      </c>
      <c r="BK60" s="84" t="str">
        <f aca="false">IF(INT(BK$3)=INT($C60), TEXT($C60, "dd-mmm"), "")</f>
        <v/>
      </c>
      <c r="BL60" s="84" t="str">
        <f aca="false">IF(INT(BL$3)=INT($C60), TEXT($C60, "dd-mmm"), "")</f>
        <v/>
      </c>
      <c r="BM60" s="84" t="str">
        <f aca="false">IF(INT(BM$3)=INT($C60), TEXT($C60, "dd-mmm"), "")</f>
        <v/>
      </c>
      <c r="BN60" s="84" t="str">
        <f aca="false">IF(INT(BN$3)=INT($C60), TEXT($C60, "dd-mmm"), "")</f>
        <v/>
      </c>
    </row>
    <row r="61" customFormat="false" ht="15" hidden="false" customHeight="true" outlineLevel="0" collapsed="false">
      <c r="A61" s="4" t="str">
        <f aca="false">Machine_List!A61</f>
        <v>ENG</v>
      </c>
      <c r="B61" s="4" t="str">
        <f aca="false">Machine_List!B61</f>
        <v>ENG-MC-12</v>
      </c>
      <c r="C61" s="12" t="n">
        <f aca="false">Machine_List!C61</f>
        <v>46454</v>
      </c>
      <c r="D61" s="4" t="n">
        <f aca="false">Machine_List!D61</f>
        <v>6</v>
      </c>
      <c r="E61" s="4" t="n">
        <f aca="true">C61-TODAY()</f>
        <v>336</v>
      </c>
      <c r="F61" s="4" t="str">
        <f aca="false">IF(E61&lt;0,"OVERDUE",IF(E61&lt;=5,"DUE SOON","OK"))</f>
        <v>OK</v>
      </c>
      <c r="G61" s="84" t="str">
        <f aca="false">IF(INT(G$3)=INT($C61), TEXT($C61, "dd-mmm"), "")</f>
        <v/>
      </c>
      <c r="H61" s="84" t="str">
        <f aca="false">IF(INT(H$3)=INT($C61), TEXT($C61, "dd-mmm"), "")</f>
        <v/>
      </c>
      <c r="I61" s="84" t="str">
        <f aca="false">IF(INT(I$3)=INT($C61), TEXT($C61, "dd-mmm"), "")</f>
        <v/>
      </c>
      <c r="J61" s="84" t="str">
        <f aca="false">IF(INT(J$3)=INT($C61), TEXT($C61, "dd-mmm"), "")</f>
        <v/>
      </c>
      <c r="K61" s="84" t="str">
        <f aca="false">IF(INT(K$3)=INT($C61), TEXT($C61, "dd-mmm"), "")</f>
        <v/>
      </c>
      <c r="L61" s="84" t="str">
        <f aca="false">IF(INT(L$3)=INT($C61), TEXT($C61, "dd-mmm"), "")</f>
        <v/>
      </c>
      <c r="M61" s="84" t="str">
        <f aca="false">IF(INT(M$3)=INT($C61), TEXT($C61, "dd-mmm"), "")</f>
        <v/>
      </c>
      <c r="N61" s="84" t="str">
        <f aca="false">IF(INT(N$3)=INT($C61), TEXT($C61, "dd-mmm"), "")</f>
        <v/>
      </c>
      <c r="O61" s="84" t="str">
        <f aca="false">IF(INT(O$3)=INT($C61), TEXT($C61, "dd-mmm"), "")</f>
        <v/>
      </c>
      <c r="P61" s="84" t="str">
        <f aca="false">IF(INT(P$3)=INT($C61), TEXT($C61, "dd-mmm"), "")</f>
        <v/>
      </c>
      <c r="Q61" s="84" t="str">
        <f aca="false">IF(INT(Q$3)=INT($C61), TEXT($C61, "dd-mmm"), "")</f>
        <v/>
      </c>
      <c r="R61" s="84" t="str">
        <f aca="false">IF(INT(R$3)=INT($C61), TEXT($C61, "dd-mmm"), "")</f>
        <v/>
      </c>
      <c r="S61" s="84" t="str">
        <f aca="false">IF(INT(S$3)=INT($C61), TEXT($C61, "dd-mmm"), "")</f>
        <v/>
      </c>
      <c r="T61" s="84" t="str">
        <f aca="false">IF(INT(T$3)=INT($C61), TEXT($C61, "dd-mmm"), "")</f>
        <v/>
      </c>
      <c r="U61" s="84" t="str">
        <f aca="false">IF(INT(U$3)=INT($C61), TEXT($C61, "dd-mmm"), "")</f>
        <v/>
      </c>
      <c r="V61" s="84" t="str">
        <f aca="false">IF(INT(V$3)=INT($C61), TEXT($C61, "dd-mmm"), "")</f>
        <v/>
      </c>
      <c r="W61" s="84" t="str">
        <f aca="false">IF(INT(W$3)=INT($C61), TEXT($C61, "dd-mmm"), "")</f>
        <v/>
      </c>
      <c r="X61" s="84" t="str">
        <f aca="false">IF(INT(X$3)=INT($C61), TEXT($C61, "dd-mmm"), "")</f>
        <v/>
      </c>
      <c r="Y61" s="84" t="str">
        <f aca="false">IF(INT(Y$3)=INT($C61), TEXT($C61, "dd-mmm"), "")</f>
        <v/>
      </c>
      <c r="Z61" s="84" t="str">
        <f aca="false">IF(INT(Z$3)=INT($C61), TEXT($C61, "dd-mmm"), "")</f>
        <v/>
      </c>
      <c r="AA61" s="84" t="str">
        <f aca="false">IF(INT(AA$3)=INT($C61), TEXT($C61, "dd-mmm"), "")</f>
        <v/>
      </c>
      <c r="AB61" s="84" t="str">
        <f aca="false">IF(INT(AB$3)=INT($C61), TEXT($C61, "dd-mmm"), "")</f>
        <v/>
      </c>
      <c r="AC61" s="84" t="str">
        <f aca="false">IF(INT(AC$3)=INT($C61), TEXT($C61, "dd-mmm"), "")</f>
        <v/>
      </c>
      <c r="AD61" s="84" t="str">
        <f aca="false">IF(INT(AD$3)=INT($C61), TEXT($C61, "dd-mmm"), "")</f>
        <v/>
      </c>
      <c r="AE61" s="84" t="str">
        <f aca="false">IF(INT(AE$3)=INT($C61), TEXT($C61, "dd-mmm"), "")</f>
        <v/>
      </c>
      <c r="AF61" s="84" t="str">
        <f aca="false">IF(INT(AF$3)=INT($C61), TEXT($C61, "dd-mmm"), "")</f>
        <v/>
      </c>
      <c r="AG61" s="84" t="str">
        <f aca="false">IF(INT(AG$3)=INT($C61), TEXT($C61, "dd-mmm"), "")</f>
        <v/>
      </c>
      <c r="AH61" s="84" t="str">
        <f aca="false">IF(INT(AH$3)=INT($C61), TEXT($C61, "dd-mmm"), "")</f>
        <v/>
      </c>
      <c r="AI61" s="84" t="str">
        <f aca="false">IF(INT(AI$3)=INT($C61), TEXT($C61, "dd-mmm"), "")</f>
        <v/>
      </c>
      <c r="AJ61" s="84" t="str">
        <f aca="false">IF(INT(AJ$3)=INT($C61), TEXT($C61, "dd-mmm"), "")</f>
        <v/>
      </c>
      <c r="AK61" s="84" t="str">
        <f aca="false">IF(INT(AK$3)=INT($C61), TEXT($C61, "dd-mmm"), "")</f>
        <v/>
      </c>
      <c r="AL61" s="84" t="str">
        <f aca="false">IF(INT(AL$3)=INT($C61), TEXT($C61, "dd-mmm"), "")</f>
        <v/>
      </c>
      <c r="AM61" s="84" t="str">
        <f aca="false">IF(INT(AM$3)=INT($C61), TEXT($C61, "dd-mmm"), "")</f>
        <v/>
      </c>
      <c r="AN61" s="84" t="str">
        <f aca="false">IF(INT(AN$3)=INT($C61), TEXT($C61, "dd-mmm"), "")</f>
        <v/>
      </c>
      <c r="AO61" s="84" t="str">
        <f aca="false">IF(INT(AO$3)=INT($C61), TEXT($C61, "dd-mmm"), "")</f>
        <v/>
      </c>
      <c r="AP61" s="84" t="str">
        <f aca="false">IF(INT(AP$3)=INT($C61), TEXT($C61, "dd-mmm"), "")</f>
        <v/>
      </c>
      <c r="AQ61" s="84" t="str">
        <f aca="false">IF(INT(AQ$3)=INT($C61), TEXT($C61, "dd-mmm"), "")</f>
        <v/>
      </c>
      <c r="AR61" s="84" t="str">
        <f aca="false">IF(INT(AR$3)=INT($C61), TEXT($C61, "dd-mmm"), "")</f>
        <v/>
      </c>
      <c r="AS61" s="84" t="str">
        <f aca="false">IF(INT(AS$3)=INT($C61), TEXT($C61, "dd-mmm"), "")</f>
        <v/>
      </c>
      <c r="AT61" s="84" t="str">
        <f aca="false">IF(INT(AT$3)=INT($C61), TEXT($C61, "dd-mmm"), "")</f>
        <v/>
      </c>
      <c r="AU61" s="84" t="str">
        <f aca="false">IF(INT(AU$3)=INT($C61), TEXT($C61, "dd-mmm"), "")</f>
        <v/>
      </c>
      <c r="AV61" s="84" t="str">
        <f aca="false">IF(INT(AV$3)=INT($C61), TEXT($C61, "dd-mmm"), "")</f>
        <v/>
      </c>
      <c r="AW61" s="84" t="str">
        <f aca="false">IF(INT(AW$3)=INT($C61), TEXT($C61, "dd-mmm"), "")</f>
        <v/>
      </c>
      <c r="AX61" s="84" t="str">
        <f aca="false">IF(INT(AX$3)=INT($C61), TEXT($C61, "dd-mmm"), "")</f>
        <v/>
      </c>
      <c r="AY61" s="84" t="str">
        <f aca="false">IF(INT(AY$3)=INT($C61), TEXT($C61, "dd-mmm"), "")</f>
        <v/>
      </c>
      <c r="AZ61" s="84" t="str">
        <f aca="false">IF(INT(AZ$3)=INT($C61), TEXT($C61, "dd-mmm"), "")</f>
        <v/>
      </c>
      <c r="BA61" s="84" t="str">
        <f aca="false">IF(INT(BA$3)=INT($C61), TEXT($C61, "dd-mmm"), "")</f>
        <v/>
      </c>
      <c r="BB61" s="84" t="str">
        <f aca="false">IF(INT(BB$3)=INT($C61), TEXT($C61, "dd-mmm"), "")</f>
        <v/>
      </c>
      <c r="BC61" s="84" t="str">
        <f aca="false">IF(INT(BC$3)=INT($C61), TEXT($C61, "dd-mmm"), "")</f>
        <v/>
      </c>
      <c r="BD61" s="84" t="str">
        <f aca="false">IF(INT(BD$3)=INT($C61), TEXT($C61, "dd-mmm"), "")</f>
        <v/>
      </c>
      <c r="BE61" s="84" t="str">
        <f aca="false">IF(INT(BE$3)=INT($C61), TEXT($C61, "dd-mmm"), "")</f>
        <v/>
      </c>
      <c r="BF61" s="84" t="str">
        <f aca="false">IF(INT(BF$3)=INT($C61), TEXT($C61, "dd-mmm"), "")</f>
        <v/>
      </c>
      <c r="BG61" s="84" t="str">
        <f aca="false">IF(INT(BG$3)=INT($C61), TEXT($C61, "dd-mmm"), "")</f>
        <v/>
      </c>
      <c r="BH61" s="84" t="str">
        <f aca="false">IF(INT(BH$3)=INT($C61), TEXT($C61, "dd-mmm"), "")</f>
        <v/>
      </c>
      <c r="BI61" s="84" t="str">
        <f aca="false">IF(INT(BI$3)=INT($C61), TEXT($C61, "dd-mmm"), "")</f>
        <v/>
      </c>
      <c r="BJ61" s="84" t="str">
        <f aca="false">IF(INT(BJ$3)=INT($C61), TEXT($C61, "dd-mmm"), "")</f>
        <v/>
      </c>
      <c r="BK61" s="84" t="str">
        <f aca="false">IF(INT(BK$3)=INT($C61), TEXT($C61, "dd-mmm"), "")</f>
        <v/>
      </c>
      <c r="BL61" s="84" t="str">
        <f aca="false">IF(INT(BL$3)=INT($C61), TEXT($C61, "dd-mmm"), "")</f>
        <v/>
      </c>
      <c r="BM61" s="84" t="str">
        <f aca="false">IF(INT(BM$3)=INT($C61), TEXT($C61, "dd-mmm"), "")</f>
        <v/>
      </c>
      <c r="BN61" s="84" t="str">
        <f aca="false">IF(INT(BN$3)=INT($C61), TEXT($C61, "dd-mmm"), "")</f>
        <v/>
      </c>
    </row>
    <row r="62" customFormat="false" ht="15" hidden="false" customHeight="true" outlineLevel="0" collapsed="false">
      <c r="A62" s="4" t="str">
        <f aca="false">Machine_List!A62</f>
        <v>ENG</v>
      </c>
      <c r="B62" s="4" t="str">
        <f aca="false">Machine_List!B62</f>
        <v>ENG-MC-13</v>
      </c>
      <c r="C62" s="12" t="n">
        <f aca="false">Machine_List!C62</f>
        <v>46371</v>
      </c>
      <c r="D62" s="4" t="n">
        <f aca="false">Machine_List!D62</f>
        <v>6</v>
      </c>
      <c r="E62" s="4" t="n">
        <f aca="true">C62-TODAY()</f>
        <v>253</v>
      </c>
      <c r="F62" s="4" t="str">
        <f aca="false">IF(E62&lt;0,"OVERDUE",IF(E62&lt;=5,"DUE SOON","OK"))</f>
        <v>OK</v>
      </c>
      <c r="G62" s="84" t="str">
        <f aca="false">IF(INT(G$3)=INT($C62), TEXT($C62, "dd-mmm"), "")</f>
        <v/>
      </c>
      <c r="H62" s="84" t="str">
        <f aca="false">IF(INT(H$3)=INT($C62), TEXT($C62, "dd-mmm"), "")</f>
        <v/>
      </c>
      <c r="I62" s="84" t="str">
        <f aca="false">IF(INT(I$3)=INT($C62), TEXT($C62, "dd-mmm"), "")</f>
        <v/>
      </c>
      <c r="J62" s="84" t="str">
        <f aca="false">IF(INT(J$3)=INT($C62), TEXT($C62, "dd-mmm"), "")</f>
        <v/>
      </c>
      <c r="K62" s="84" t="str">
        <f aca="false">IF(INT(K$3)=INT($C62), TEXT($C62, "dd-mmm"), "")</f>
        <v/>
      </c>
      <c r="L62" s="84" t="str">
        <f aca="false">IF(INT(L$3)=INT($C62), TEXT($C62, "dd-mmm"), "")</f>
        <v/>
      </c>
      <c r="M62" s="84" t="str">
        <f aca="false">IF(INT(M$3)=INT($C62), TEXT($C62, "dd-mmm"), "")</f>
        <v/>
      </c>
      <c r="N62" s="84" t="str">
        <f aca="false">IF(INT(N$3)=INT($C62), TEXT($C62, "dd-mmm"), "")</f>
        <v/>
      </c>
      <c r="O62" s="84" t="str">
        <f aca="false">IF(INT(O$3)=INT($C62), TEXT($C62, "dd-mmm"), "")</f>
        <v/>
      </c>
      <c r="P62" s="84" t="str">
        <f aca="false">IF(INT(P$3)=INT($C62), TEXT($C62, "dd-mmm"), "")</f>
        <v/>
      </c>
      <c r="Q62" s="84" t="str">
        <f aca="false">IF(INT(Q$3)=INT($C62), TEXT($C62, "dd-mmm"), "")</f>
        <v/>
      </c>
      <c r="R62" s="84" t="str">
        <f aca="false">IF(INT(R$3)=INT($C62), TEXT($C62, "dd-mmm"), "")</f>
        <v/>
      </c>
      <c r="S62" s="84" t="str">
        <f aca="false">IF(INT(S$3)=INT($C62), TEXT($C62, "dd-mmm"), "")</f>
        <v/>
      </c>
      <c r="T62" s="84" t="str">
        <f aca="false">IF(INT(T$3)=INT($C62), TEXT($C62, "dd-mmm"), "")</f>
        <v/>
      </c>
      <c r="U62" s="84" t="str">
        <f aca="false">IF(INT(U$3)=INT($C62), TEXT($C62, "dd-mmm"), "")</f>
        <v/>
      </c>
      <c r="V62" s="84" t="str">
        <f aca="false">IF(INT(V$3)=INT($C62), TEXT($C62, "dd-mmm"), "")</f>
        <v/>
      </c>
      <c r="W62" s="84" t="str">
        <f aca="false">IF(INT(W$3)=INT($C62), TEXT($C62, "dd-mmm"), "")</f>
        <v/>
      </c>
      <c r="X62" s="84" t="str">
        <f aca="false">IF(INT(X$3)=INT($C62), TEXT($C62, "dd-mmm"), "")</f>
        <v/>
      </c>
      <c r="Y62" s="84" t="str">
        <f aca="false">IF(INT(Y$3)=INT($C62), TEXT($C62, "dd-mmm"), "")</f>
        <v/>
      </c>
      <c r="Z62" s="84" t="str">
        <f aca="false">IF(INT(Z$3)=INT($C62), TEXT($C62, "dd-mmm"), "")</f>
        <v/>
      </c>
      <c r="AA62" s="84" t="str">
        <f aca="false">IF(INT(AA$3)=INT($C62), TEXT($C62, "dd-mmm"), "")</f>
        <v/>
      </c>
      <c r="AB62" s="84" t="str">
        <f aca="false">IF(INT(AB$3)=INT($C62), TEXT($C62, "dd-mmm"), "")</f>
        <v/>
      </c>
      <c r="AC62" s="84" t="str">
        <f aca="false">IF(INT(AC$3)=INT($C62), TEXT($C62, "dd-mmm"), "")</f>
        <v/>
      </c>
      <c r="AD62" s="84" t="str">
        <f aca="false">IF(INT(AD$3)=INT($C62), TEXT($C62, "dd-mmm"), "")</f>
        <v/>
      </c>
      <c r="AE62" s="84" t="str">
        <f aca="false">IF(INT(AE$3)=INT($C62), TEXT($C62, "dd-mmm"), "")</f>
        <v/>
      </c>
      <c r="AF62" s="84" t="str">
        <f aca="false">IF(INT(AF$3)=INT($C62), TEXT($C62, "dd-mmm"), "")</f>
        <v/>
      </c>
      <c r="AG62" s="84" t="str">
        <f aca="false">IF(INT(AG$3)=INT($C62), TEXT($C62, "dd-mmm"), "")</f>
        <v/>
      </c>
      <c r="AH62" s="84" t="str">
        <f aca="false">IF(INT(AH$3)=INT($C62), TEXT($C62, "dd-mmm"), "")</f>
        <v/>
      </c>
      <c r="AI62" s="84" t="str">
        <f aca="false">IF(INT(AI$3)=INT($C62), TEXT($C62, "dd-mmm"), "")</f>
        <v/>
      </c>
      <c r="AJ62" s="84" t="str">
        <f aca="false">IF(INT(AJ$3)=INT($C62), TEXT($C62, "dd-mmm"), "")</f>
        <v/>
      </c>
      <c r="AK62" s="84" t="str">
        <f aca="false">IF(INT(AK$3)=INT($C62), TEXT($C62, "dd-mmm"), "")</f>
        <v/>
      </c>
      <c r="AL62" s="84" t="str">
        <f aca="false">IF(INT(AL$3)=INT($C62), TEXT($C62, "dd-mmm"), "")</f>
        <v/>
      </c>
      <c r="AM62" s="84" t="str">
        <f aca="false">IF(INT(AM$3)=INT($C62), TEXT($C62, "dd-mmm"), "")</f>
        <v/>
      </c>
      <c r="AN62" s="84" t="str">
        <f aca="false">IF(INT(AN$3)=INT($C62), TEXT($C62, "dd-mmm"), "")</f>
        <v/>
      </c>
      <c r="AO62" s="84" t="str">
        <f aca="false">IF(INT(AO$3)=INT($C62), TEXT($C62, "dd-mmm"), "")</f>
        <v/>
      </c>
      <c r="AP62" s="84" t="str">
        <f aca="false">IF(INT(AP$3)=INT($C62), TEXT($C62, "dd-mmm"), "")</f>
        <v/>
      </c>
      <c r="AQ62" s="84" t="str">
        <f aca="false">IF(INT(AQ$3)=INT($C62), TEXT($C62, "dd-mmm"), "")</f>
        <v/>
      </c>
      <c r="AR62" s="84" t="str">
        <f aca="false">IF(INT(AR$3)=INT($C62), TEXT($C62, "dd-mmm"), "")</f>
        <v/>
      </c>
      <c r="AS62" s="84" t="str">
        <f aca="false">IF(INT(AS$3)=INT($C62), TEXT($C62, "dd-mmm"), "")</f>
        <v/>
      </c>
      <c r="AT62" s="84" t="str">
        <f aca="false">IF(INT(AT$3)=INT($C62), TEXT($C62, "dd-mmm"), "")</f>
        <v/>
      </c>
      <c r="AU62" s="84" t="str">
        <f aca="false">IF(INT(AU$3)=INT($C62), TEXT($C62, "dd-mmm"), "")</f>
        <v/>
      </c>
      <c r="AV62" s="84" t="str">
        <f aca="false">IF(INT(AV$3)=INT($C62), TEXT($C62, "dd-mmm"), "")</f>
        <v/>
      </c>
      <c r="AW62" s="84" t="str">
        <f aca="false">IF(INT(AW$3)=INT($C62), TEXT($C62, "dd-mmm"), "")</f>
        <v/>
      </c>
      <c r="AX62" s="84" t="str">
        <f aca="false">IF(INT(AX$3)=INT($C62), TEXT($C62, "dd-mmm"), "")</f>
        <v/>
      </c>
      <c r="AY62" s="84" t="str">
        <f aca="false">IF(INT(AY$3)=INT($C62), TEXT($C62, "dd-mmm"), "")</f>
        <v/>
      </c>
      <c r="AZ62" s="84" t="str">
        <f aca="false">IF(INT(AZ$3)=INT($C62), TEXT($C62, "dd-mmm"), "")</f>
        <v/>
      </c>
      <c r="BA62" s="84" t="str">
        <f aca="false">IF(INT(BA$3)=INT($C62), TEXT($C62, "dd-mmm"), "")</f>
        <v/>
      </c>
      <c r="BB62" s="84" t="str">
        <f aca="false">IF(INT(BB$3)=INT($C62), TEXT($C62, "dd-mmm"), "")</f>
        <v/>
      </c>
      <c r="BC62" s="84" t="str">
        <f aca="false">IF(INT(BC$3)=INT($C62), TEXT($C62, "dd-mmm"), "")</f>
        <v/>
      </c>
      <c r="BD62" s="84" t="str">
        <f aca="false">IF(INT(BD$3)=INT($C62), TEXT($C62, "dd-mmm"), "")</f>
        <v/>
      </c>
      <c r="BE62" s="84" t="str">
        <f aca="false">IF(INT(BE$3)=INT($C62), TEXT($C62, "dd-mmm"), "")</f>
        <v/>
      </c>
      <c r="BF62" s="84" t="str">
        <f aca="false">IF(INT(BF$3)=INT($C62), TEXT($C62, "dd-mmm"), "")</f>
        <v/>
      </c>
      <c r="BG62" s="84" t="str">
        <f aca="false">IF(INT(BG$3)=INT($C62), TEXT($C62, "dd-mmm"), "")</f>
        <v/>
      </c>
      <c r="BH62" s="84" t="str">
        <f aca="false">IF(INT(BH$3)=INT($C62), TEXT($C62, "dd-mmm"), "")</f>
        <v/>
      </c>
      <c r="BI62" s="84" t="str">
        <f aca="false">IF(INT(BI$3)=INT($C62), TEXT($C62, "dd-mmm"), "")</f>
        <v/>
      </c>
      <c r="BJ62" s="84" t="str">
        <f aca="false">IF(INT(BJ$3)=INT($C62), TEXT($C62, "dd-mmm"), "")</f>
        <v/>
      </c>
      <c r="BK62" s="84" t="str">
        <f aca="false">IF(INT(BK$3)=INT($C62), TEXT($C62, "dd-mmm"), "")</f>
        <v/>
      </c>
      <c r="BL62" s="84" t="str">
        <f aca="false">IF(INT(BL$3)=INT($C62), TEXT($C62, "dd-mmm"), "")</f>
        <v/>
      </c>
      <c r="BM62" s="84" t="str">
        <f aca="false">IF(INT(BM$3)=INT($C62), TEXT($C62, "dd-mmm"), "")</f>
        <v/>
      </c>
      <c r="BN62" s="84" t="str">
        <f aca="false">IF(INT(BN$3)=INT($C62), TEXT($C62, "dd-mmm"), "")</f>
        <v/>
      </c>
    </row>
    <row r="63" customFormat="false" ht="15" hidden="false" customHeight="true" outlineLevel="0" collapsed="false">
      <c r="A63" s="4" t="str">
        <f aca="false">Machine_List!A63</f>
        <v>ENG</v>
      </c>
      <c r="B63" s="4" t="str">
        <f aca="false">Machine_List!B63</f>
        <v>ENG-MC-14</v>
      </c>
      <c r="C63" s="12" t="n">
        <f aca="false">Machine_List!C63</f>
        <v>46219</v>
      </c>
      <c r="D63" s="4" t="n">
        <f aca="false">Machine_List!D63</f>
        <v>6</v>
      </c>
      <c r="E63" s="4" t="n">
        <f aca="true">C63-TODAY()</f>
        <v>101</v>
      </c>
      <c r="F63" s="4" t="str">
        <f aca="false">IF(E63&lt;0,"OVERDUE",IF(E63&lt;=5,"DUE SOON","OK"))</f>
        <v>OK</v>
      </c>
      <c r="G63" s="84" t="str">
        <f aca="false">IF(INT(G$3)=INT($C63), TEXT($C63, "dd-mmm"), "")</f>
        <v/>
      </c>
      <c r="H63" s="84" t="str">
        <f aca="false">IF(INT(H$3)=INT($C63), TEXT($C63, "dd-mmm"), "")</f>
        <v/>
      </c>
      <c r="I63" s="84" t="str">
        <f aca="false">IF(INT(I$3)=INT($C63), TEXT($C63, "dd-mmm"), "")</f>
        <v/>
      </c>
      <c r="J63" s="84" t="str">
        <f aca="false">IF(INT(J$3)=INT($C63), TEXT($C63, "dd-mmm"), "")</f>
        <v/>
      </c>
      <c r="K63" s="84" t="str">
        <f aca="false">IF(INT(K$3)=INT($C63), TEXT($C63, "dd-mmm"), "")</f>
        <v/>
      </c>
      <c r="L63" s="84" t="str">
        <f aca="false">IF(INT(L$3)=INT($C63), TEXT($C63, "dd-mmm"), "")</f>
        <v/>
      </c>
      <c r="M63" s="84" t="str">
        <f aca="false">IF(INT(M$3)=INT($C63), TEXT($C63, "dd-mmm"), "")</f>
        <v/>
      </c>
      <c r="N63" s="84" t="str">
        <f aca="false">IF(INT(N$3)=INT($C63), TEXT($C63, "dd-mmm"), "")</f>
        <v/>
      </c>
      <c r="O63" s="84" t="str">
        <f aca="false">IF(INT(O$3)=INT($C63), TEXT($C63, "dd-mmm"), "")</f>
        <v/>
      </c>
      <c r="P63" s="84" t="str">
        <f aca="false">IF(INT(P$3)=INT($C63), TEXT($C63, "dd-mmm"), "")</f>
        <v/>
      </c>
      <c r="Q63" s="84" t="str">
        <f aca="false">IF(INT(Q$3)=INT($C63), TEXT($C63, "dd-mmm"), "")</f>
        <v/>
      </c>
      <c r="R63" s="84" t="str">
        <f aca="false">IF(INT(R$3)=INT($C63), TEXT($C63, "dd-mmm"), "")</f>
        <v/>
      </c>
      <c r="S63" s="84" t="str">
        <f aca="false">IF(INT(S$3)=INT($C63), TEXT($C63, "dd-mmm"), "")</f>
        <v/>
      </c>
      <c r="T63" s="84" t="str">
        <f aca="false">IF(INT(T$3)=INT($C63), TEXT($C63, "dd-mmm"), "")</f>
        <v/>
      </c>
      <c r="U63" s="84" t="str">
        <f aca="false">IF(INT(U$3)=INT($C63), TEXT($C63, "dd-mmm"), "")</f>
        <v/>
      </c>
      <c r="V63" s="84" t="str">
        <f aca="false">IF(INT(V$3)=INT($C63), TEXT($C63, "dd-mmm"), "")</f>
        <v/>
      </c>
      <c r="W63" s="84" t="str">
        <f aca="false">IF(INT(W$3)=INT($C63), TEXT($C63, "dd-mmm"), "")</f>
        <v/>
      </c>
      <c r="X63" s="84" t="str">
        <f aca="false">IF(INT(X$3)=INT($C63), TEXT($C63, "dd-mmm"), "")</f>
        <v/>
      </c>
      <c r="Y63" s="84" t="str">
        <f aca="false">IF(INT(Y$3)=INT($C63), TEXT($C63, "dd-mmm"), "")</f>
        <v/>
      </c>
      <c r="Z63" s="84" t="str">
        <f aca="false">IF(INT(Z$3)=INT($C63), TEXT($C63, "dd-mmm"), "")</f>
        <v/>
      </c>
      <c r="AA63" s="84" t="str">
        <f aca="false">IF(INT(AA$3)=INT($C63), TEXT($C63, "dd-mmm"), "")</f>
        <v/>
      </c>
      <c r="AB63" s="84" t="str">
        <f aca="false">IF(INT(AB$3)=INT($C63), TEXT($C63, "dd-mmm"), "")</f>
        <v/>
      </c>
      <c r="AC63" s="84" t="str">
        <f aca="false">IF(INT(AC$3)=INT($C63), TEXT($C63, "dd-mmm"), "")</f>
        <v/>
      </c>
      <c r="AD63" s="84" t="str">
        <f aca="false">IF(INT(AD$3)=INT($C63), TEXT($C63, "dd-mmm"), "")</f>
        <v/>
      </c>
      <c r="AE63" s="84" t="str">
        <f aca="false">IF(INT(AE$3)=INT($C63), TEXT($C63, "dd-mmm"), "")</f>
        <v/>
      </c>
      <c r="AF63" s="84" t="str">
        <f aca="false">IF(INT(AF$3)=INT($C63), TEXT($C63, "dd-mmm"), "")</f>
        <v/>
      </c>
      <c r="AG63" s="84" t="str">
        <f aca="false">IF(INT(AG$3)=INT($C63), TEXT($C63, "dd-mmm"), "")</f>
        <v/>
      </c>
      <c r="AH63" s="84" t="str">
        <f aca="false">IF(INT(AH$3)=INT($C63), TEXT($C63, "dd-mmm"), "")</f>
        <v/>
      </c>
      <c r="AI63" s="84" t="str">
        <f aca="false">IF(INT(AI$3)=INT($C63), TEXT($C63, "dd-mmm"), "")</f>
        <v/>
      </c>
      <c r="AJ63" s="84" t="str">
        <f aca="false">IF(INT(AJ$3)=INT($C63), TEXT($C63, "dd-mmm"), "")</f>
        <v/>
      </c>
      <c r="AK63" s="84" t="str">
        <f aca="false">IF(INT(AK$3)=INT($C63), TEXT($C63, "dd-mmm"), "")</f>
        <v/>
      </c>
      <c r="AL63" s="84" t="str">
        <f aca="false">IF(INT(AL$3)=INT($C63), TEXT($C63, "dd-mmm"), "")</f>
        <v/>
      </c>
      <c r="AM63" s="84" t="str">
        <f aca="false">IF(INT(AM$3)=INT($C63), TEXT($C63, "dd-mmm"), "")</f>
        <v/>
      </c>
      <c r="AN63" s="84" t="str">
        <f aca="false">IF(INT(AN$3)=INT($C63), TEXT($C63, "dd-mmm"), "")</f>
        <v/>
      </c>
      <c r="AO63" s="84" t="str">
        <f aca="false">IF(INT(AO$3)=INT($C63), TEXT($C63, "dd-mmm"), "")</f>
        <v/>
      </c>
      <c r="AP63" s="84" t="str">
        <f aca="false">IF(INT(AP$3)=INT($C63), TEXT($C63, "dd-mmm"), "")</f>
        <v/>
      </c>
      <c r="AQ63" s="84" t="str">
        <f aca="false">IF(INT(AQ$3)=INT($C63), TEXT($C63, "dd-mmm"), "")</f>
        <v/>
      </c>
      <c r="AR63" s="84" t="str">
        <f aca="false">IF(INT(AR$3)=INT($C63), TEXT($C63, "dd-mmm"), "")</f>
        <v/>
      </c>
      <c r="AS63" s="84" t="str">
        <f aca="false">IF(INT(AS$3)=INT($C63), TEXT($C63, "dd-mmm"), "")</f>
        <v/>
      </c>
      <c r="AT63" s="84" t="str">
        <f aca="false">IF(INT(AT$3)=INT($C63), TEXT($C63, "dd-mmm"), "")</f>
        <v/>
      </c>
      <c r="AU63" s="84" t="str">
        <f aca="false">IF(INT(AU$3)=INT($C63), TEXT($C63, "dd-mmm"), "")</f>
        <v/>
      </c>
      <c r="AV63" s="84" t="str">
        <f aca="false">IF(INT(AV$3)=INT($C63), TEXT($C63, "dd-mmm"), "")</f>
        <v/>
      </c>
      <c r="AW63" s="84" t="str">
        <f aca="false">IF(INT(AW$3)=INT($C63), TEXT($C63, "dd-mmm"), "")</f>
        <v/>
      </c>
      <c r="AX63" s="84" t="str">
        <f aca="false">IF(INT(AX$3)=INT($C63), TEXT($C63, "dd-mmm"), "")</f>
        <v/>
      </c>
      <c r="AY63" s="84" t="str">
        <f aca="false">IF(INT(AY$3)=INT($C63), TEXT($C63, "dd-mmm"), "")</f>
        <v/>
      </c>
      <c r="AZ63" s="84" t="str">
        <f aca="false">IF(INT(AZ$3)=INT($C63), TEXT($C63, "dd-mmm"), "")</f>
        <v/>
      </c>
      <c r="BA63" s="84" t="str">
        <f aca="false">IF(INT(BA$3)=INT($C63), TEXT($C63, "dd-mmm"), "")</f>
        <v/>
      </c>
      <c r="BB63" s="84" t="str">
        <f aca="false">IF(INT(BB$3)=INT($C63), TEXT($C63, "dd-mmm"), "")</f>
        <v/>
      </c>
      <c r="BC63" s="84" t="str">
        <f aca="false">IF(INT(BC$3)=INT($C63), TEXT($C63, "dd-mmm"), "")</f>
        <v/>
      </c>
      <c r="BD63" s="84" t="str">
        <f aca="false">IF(INT(BD$3)=INT($C63), TEXT($C63, "dd-mmm"), "")</f>
        <v/>
      </c>
      <c r="BE63" s="84" t="str">
        <f aca="false">IF(INT(BE$3)=INT($C63), TEXT($C63, "dd-mmm"), "")</f>
        <v/>
      </c>
      <c r="BF63" s="84" t="str">
        <f aca="false">IF(INT(BF$3)=INT($C63), TEXT($C63, "dd-mmm"), "")</f>
        <v/>
      </c>
      <c r="BG63" s="84" t="str">
        <f aca="false">IF(INT(BG$3)=INT($C63), TEXT($C63, "dd-mmm"), "")</f>
        <v/>
      </c>
      <c r="BH63" s="84" t="str">
        <f aca="false">IF(INT(BH$3)=INT($C63), TEXT($C63, "dd-mmm"), "")</f>
        <v/>
      </c>
      <c r="BI63" s="84" t="str">
        <f aca="false">IF(INT(BI$3)=INT($C63), TEXT($C63, "dd-mmm"), "")</f>
        <v/>
      </c>
      <c r="BJ63" s="84" t="str">
        <f aca="false">IF(INT(BJ$3)=INT($C63), TEXT($C63, "dd-mmm"), "")</f>
        <v/>
      </c>
      <c r="BK63" s="84" t="str">
        <f aca="false">IF(INT(BK$3)=INT($C63), TEXT($C63, "dd-mmm"), "")</f>
        <v/>
      </c>
      <c r="BL63" s="84" t="str">
        <f aca="false">IF(INT(BL$3)=INT($C63), TEXT($C63, "dd-mmm"), "")</f>
        <v/>
      </c>
      <c r="BM63" s="84" t="str">
        <f aca="false">IF(INT(BM$3)=INT($C63), TEXT($C63, "dd-mmm"), "")</f>
        <v/>
      </c>
      <c r="BN63" s="84" t="str">
        <f aca="false">IF(INT(BN$3)=INT($C63), TEXT($C63, "dd-mmm"), "")</f>
        <v/>
      </c>
    </row>
    <row r="64" customFormat="false" ht="15" hidden="false" customHeight="true" outlineLevel="0" collapsed="false">
      <c r="A64" s="4" t="str">
        <f aca="false">Machine_List!A64</f>
        <v>VENT</v>
      </c>
      <c r="B64" s="4" t="str">
        <f aca="false">Machine_List!B64</f>
        <v>VENT-MC-01</v>
      </c>
      <c r="C64" s="12" t="n">
        <f aca="false">Machine_List!C64</f>
        <v>46230</v>
      </c>
      <c r="D64" s="4" t="n">
        <f aca="false">Machine_List!D64</f>
        <v>6</v>
      </c>
      <c r="E64" s="4" t="n">
        <f aca="true">C64-TODAY()</f>
        <v>112</v>
      </c>
      <c r="F64" s="4" t="str">
        <f aca="false">IF(E64&lt;0,"OVERDUE",IF(E64&lt;=5,"DUE SOON","OK"))</f>
        <v>OK</v>
      </c>
      <c r="G64" s="84" t="str">
        <f aca="false">IF(INT(G$3)=INT($C64), TEXT($C64, "dd-mmm"), "")</f>
        <v/>
      </c>
      <c r="H64" s="84" t="str">
        <f aca="false">IF(INT(H$3)=INT($C64), TEXT($C64, "dd-mmm"), "")</f>
        <v/>
      </c>
      <c r="I64" s="84" t="str">
        <f aca="false">IF(INT(I$3)=INT($C64), TEXT($C64, "dd-mmm"), "")</f>
        <v/>
      </c>
      <c r="J64" s="84" t="str">
        <f aca="false">IF(INT(J$3)=INT($C64), TEXT($C64, "dd-mmm"), "")</f>
        <v/>
      </c>
      <c r="K64" s="84" t="str">
        <f aca="false">IF(INT(K$3)=INT($C64), TEXT($C64, "dd-mmm"), "")</f>
        <v/>
      </c>
      <c r="L64" s="84" t="str">
        <f aca="false">IF(INT(L$3)=INT($C64), TEXT($C64, "dd-mmm"), "")</f>
        <v/>
      </c>
      <c r="M64" s="84" t="str">
        <f aca="false">IF(INT(M$3)=INT($C64), TEXT($C64, "dd-mmm"), "")</f>
        <v/>
      </c>
      <c r="N64" s="84" t="str">
        <f aca="false">IF(INT(N$3)=INT($C64), TEXT($C64, "dd-mmm"), "")</f>
        <v/>
      </c>
      <c r="O64" s="84" t="str">
        <f aca="false">IF(INT(O$3)=INT($C64), TEXT($C64, "dd-mmm"), "")</f>
        <v/>
      </c>
      <c r="P64" s="84" t="str">
        <f aca="false">IF(INT(P$3)=INT($C64), TEXT($C64, "dd-mmm"), "")</f>
        <v/>
      </c>
      <c r="Q64" s="84" t="str">
        <f aca="false">IF(INT(Q$3)=INT($C64), TEXT($C64, "dd-mmm"), "")</f>
        <v/>
      </c>
      <c r="R64" s="84" t="str">
        <f aca="false">IF(INT(R$3)=INT($C64), TEXT($C64, "dd-mmm"), "")</f>
        <v/>
      </c>
      <c r="S64" s="84" t="str">
        <f aca="false">IF(INT(S$3)=INT($C64), TEXT($C64, "dd-mmm"), "")</f>
        <v/>
      </c>
      <c r="T64" s="84" t="str">
        <f aca="false">IF(INT(T$3)=INT($C64), TEXT($C64, "dd-mmm"), "")</f>
        <v/>
      </c>
      <c r="U64" s="84" t="str">
        <f aca="false">IF(INT(U$3)=INT($C64), TEXT($C64, "dd-mmm"), "")</f>
        <v/>
      </c>
      <c r="V64" s="84" t="str">
        <f aca="false">IF(INT(V$3)=INT($C64), TEXT($C64, "dd-mmm"), "")</f>
        <v/>
      </c>
      <c r="W64" s="84" t="str">
        <f aca="false">IF(INT(W$3)=INT($C64), TEXT($C64, "dd-mmm"), "")</f>
        <v/>
      </c>
      <c r="X64" s="84" t="str">
        <f aca="false">IF(INT(X$3)=INT($C64), TEXT($C64, "dd-mmm"), "")</f>
        <v/>
      </c>
      <c r="Y64" s="84" t="str">
        <f aca="false">IF(INT(Y$3)=INT($C64), TEXT($C64, "dd-mmm"), "")</f>
        <v/>
      </c>
      <c r="Z64" s="84" t="str">
        <f aca="false">IF(INT(Z$3)=INT($C64), TEXT($C64, "dd-mmm"), "")</f>
        <v/>
      </c>
      <c r="AA64" s="84" t="str">
        <f aca="false">IF(INT(AA$3)=INT($C64), TEXT($C64, "dd-mmm"), "")</f>
        <v/>
      </c>
      <c r="AB64" s="84" t="str">
        <f aca="false">IF(INT(AB$3)=INT($C64), TEXT($C64, "dd-mmm"), "")</f>
        <v/>
      </c>
      <c r="AC64" s="84" t="str">
        <f aca="false">IF(INT(AC$3)=INT($C64), TEXT($C64, "dd-mmm"), "")</f>
        <v/>
      </c>
      <c r="AD64" s="84" t="str">
        <f aca="false">IF(INT(AD$3)=INT($C64), TEXT($C64, "dd-mmm"), "")</f>
        <v/>
      </c>
      <c r="AE64" s="84" t="str">
        <f aca="false">IF(INT(AE$3)=INT($C64), TEXT($C64, "dd-mmm"), "")</f>
        <v/>
      </c>
      <c r="AF64" s="84" t="str">
        <f aca="false">IF(INT(AF$3)=INT($C64), TEXT($C64, "dd-mmm"), "")</f>
        <v/>
      </c>
      <c r="AG64" s="84" t="str">
        <f aca="false">IF(INT(AG$3)=INT($C64), TEXT($C64, "dd-mmm"), "")</f>
        <v/>
      </c>
      <c r="AH64" s="84" t="str">
        <f aca="false">IF(INT(AH$3)=INT($C64), TEXT($C64, "dd-mmm"), "")</f>
        <v/>
      </c>
      <c r="AI64" s="84" t="str">
        <f aca="false">IF(INT(AI$3)=INT($C64), TEXT($C64, "dd-mmm"), "")</f>
        <v/>
      </c>
      <c r="AJ64" s="84" t="str">
        <f aca="false">IF(INT(AJ$3)=INT($C64), TEXT($C64, "dd-mmm"), "")</f>
        <v/>
      </c>
      <c r="AK64" s="84" t="str">
        <f aca="false">IF(INT(AK$3)=INT($C64), TEXT($C64, "dd-mmm"), "")</f>
        <v/>
      </c>
      <c r="AL64" s="84" t="str">
        <f aca="false">IF(INT(AL$3)=INT($C64), TEXT($C64, "dd-mmm"), "")</f>
        <v/>
      </c>
      <c r="AM64" s="84" t="str">
        <f aca="false">IF(INT(AM$3)=INT($C64), TEXT($C64, "dd-mmm"), "")</f>
        <v/>
      </c>
      <c r="AN64" s="84" t="str">
        <f aca="false">IF(INT(AN$3)=INT($C64), TEXT($C64, "dd-mmm"), "")</f>
        <v/>
      </c>
      <c r="AO64" s="84" t="str">
        <f aca="false">IF(INT(AO$3)=INT($C64), TEXT($C64, "dd-mmm"), "")</f>
        <v/>
      </c>
      <c r="AP64" s="84" t="str">
        <f aca="false">IF(INT(AP$3)=INT($C64), TEXT($C64, "dd-mmm"), "")</f>
        <v/>
      </c>
      <c r="AQ64" s="84" t="str">
        <f aca="false">IF(INT(AQ$3)=INT($C64), TEXT($C64, "dd-mmm"), "")</f>
        <v/>
      </c>
      <c r="AR64" s="84" t="str">
        <f aca="false">IF(INT(AR$3)=INT($C64), TEXT($C64, "dd-mmm"), "")</f>
        <v/>
      </c>
      <c r="AS64" s="84" t="str">
        <f aca="false">IF(INT(AS$3)=INT($C64), TEXT($C64, "dd-mmm"), "")</f>
        <v/>
      </c>
      <c r="AT64" s="84" t="str">
        <f aca="false">IF(INT(AT$3)=INT($C64), TEXT($C64, "dd-mmm"), "")</f>
        <v/>
      </c>
      <c r="AU64" s="84" t="str">
        <f aca="false">IF(INT(AU$3)=INT($C64), TEXT($C64, "dd-mmm"), "")</f>
        <v/>
      </c>
      <c r="AV64" s="84" t="str">
        <f aca="false">IF(INT(AV$3)=INT($C64), TEXT($C64, "dd-mmm"), "")</f>
        <v/>
      </c>
      <c r="AW64" s="84" t="str">
        <f aca="false">IF(INT(AW$3)=INT($C64), TEXT($C64, "dd-mmm"), "")</f>
        <v/>
      </c>
      <c r="AX64" s="84" t="str">
        <f aca="false">IF(INT(AX$3)=INT($C64), TEXT($C64, "dd-mmm"), "")</f>
        <v/>
      </c>
      <c r="AY64" s="84" t="str">
        <f aca="false">IF(INT(AY$3)=INT($C64), TEXT($C64, "dd-mmm"), "")</f>
        <v/>
      </c>
      <c r="AZ64" s="84" t="str">
        <f aca="false">IF(INT(AZ$3)=INT($C64), TEXT($C64, "dd-mmm"), "")</f>
        <v/>
      </c>
      <c r="BA64" s="84" t="str">
        <f aca="false">IF(INT(BA$3)=INT($C64), TEXT($C64, "dd-mmm"), "")</f>
        <v/>
      </c>
      <c r="BB64" s="84" t="str">
        <f aca="false">IF(INT(BB$3)=INT($C64), TEXT($C64, "dd-mmm"), "")</f>
        <v/>
      </c>
      <c r="BC64" s="84" t="str">
        <f aca="false">IF(INT(BC$3)=INT($C64), TEXT($C64, "dd-mmm"), "")</f>
        <v/>
      </c>
      <c r="BD64" s="84" t="str">
        <f aca="false">IF(INT(BD$3)=INT($C64), TEXT($C64, "dd-mmm"), "")</f>
        <v/>
      </c>
      <c r="BE64" s="84" t="str">
        <f aca="false">IF(INT(BE$3)=INT($C64), TEXT($C64, "dd-mmm"), "")</f>
        <v/>
      </c>
      <c r="BF64" s="84" t="str">
        <f aca="false">IF(INT(BF$3)=INT($C64), TEXT($C64, "dd-mmm"), "")</f>
        <v/>
      </c>
      <c r="BG64" s="84" t="str">
        <f aca="false">IF(INT(BG$3)=INT($C64), TEXT($C64, "dd-mmm"), "")</f>
        <v/>
      </c>
      <c r="BH64" s="84" t="str">
        <f aca="false">IF(INT(BH$3)=INT($C64), TEXT($C64, "dd-mmm"), "")</f>
        <v/>
      </c>
      <c r="BI64" s="84" t="str">
        <f aca="false">IF(INT(BI$3)=INT($C64), TEXT($C64, "dd-mmm"), "")</f>
        <v/>
      </c>
      <c r="BJ64" s="84" t="str">
        <f aca="false">IF(INT(BJ$3)=INT($C64), TEXT($C64, "dd-mmm"), "")</f>
        <v/>
      </c>
      <c r="BK64" s="84" t="str">
        <f aca="false">IF(INT(BK$3)=INT($C64), TEXT($C64, "dd-mmm"), "")</f>
        <v/>
      </c>
      <c r="BL64" s="84" t="str">
        <f aca="false">IF(INT(BL$3)=INT($C64), TEXT($C64, "dd-mmm"), "")</f>
        <v/>
      </c>
      <c r="BM64" s="84" t="str">
        <f aca="false">IF(INT(BM$3)=INT($C64), TEXT($C64, "dd-mmm"), "")</f>
        <v/>
      </c>
      <c r="BN64" s="84" t="str">
        <f aca="false">IF(INT(BN$3)=INT($C64), TEXT($C64, "dd-mmm"), "")</f>
        <v/>
      </c>
    </row>
    <row r="65" customFormat="false" ht="15" hidden="false" customHeight="true" outlineLevel="0" collapsed="false">
      <c r="A65" s="4" t="str">
        <f aca="false">Machine_List!A65</f>
        <v>VENT</v>
      </c>
      <c r="B65" s="4" t="str">
        <f aca="false">Machine_List!B65</f>
        <v>VENT-MC-02</v>
      </c>
      <c r="C65" s="12" t="n">
        <f aca="false">Machine_List!C65</f>
        <v>46191</v>
      </c>
      <c r="D65" s="4" t="n">
        <f aca="false">Machine_List!D65</f>
        <v>6</v>
      </c>
      <c r="E65" s="4" t="n">
        <f aca="true">C65-TODAY()</f>
        <v>73</v>
      </c>
      <c r="F65" s="4" t="str">
        <f aca="false">IF(E65&lt;0,"OVERDUE",IF(E65&lt;=5,"DUE SOON","OK"))</f>
        <v>OK</v>
      </c>
      <c r="G65" s="84" t="str">
        <f aca="false">IF(INT(G$3)=INT($C65), TEXT($C65, "dd-mmm"), "")</f>
        <v/>
      </c>
      <c r="H65" s="84" t="str">
        <f aca="false">IF(INT(H$3)=INT($C65), TEXT($C65, "dd-mmm"), "")</f>
        <v/>
      </c>
      <c r="I65" s="84" t="str">
        <f aca="false">IF(INT(I$3)=INT($C65), TEXT($C65, "dd-mmm"), "")</f>
        <v/>
      </c>
      <c r="J65" s="84" t="str">
        <f aca="false">IF(INT(J$3)=INT($C65), TEXT($C65, "dd-mmm"), "")</f>
        <v/>
      </c>
      <c r="K65" s="84" t="str">
        <f aca="false">IF(INT(K$3)=INT($C65), TEXT($C65, "dd-mmm"), "")</f>
        <v/>
      </c>
      <c r="L65" s="84" t="str">
        <f aca="false">IF(INT(L$3)=INT($C65), TEXT($C65, "dd-mmm"), "")</f>
        <v/>
      </c>
      <c r="M65" s="84" t="str">
        <f aca="false">IF(INT(M$3)=INT($C65), TEXT($C65, "dd-mmm"), "")</f>
        <v/>
      </c>
      <c r="N65" s="84" t="str">
        <f aca="false">IF(INT(N$3)=INT($C65), TEXT($C65, "dd-mmm"), "")</f>
        <v/>
      </c>
      <c r="O65" s="84" t="str">
        <f aca="false">IF(INT(O$3)=INT($C65), TEXT($C65, "dd-mmm"), "")</f>
        <v/>
      </c>
      <c r="P65" s="84" t="str">
        <f aca="false">IF(INT(P$3)=INT($C65), TEXT($C65, "dd-mmm"), "")</f>
        <v/>
      </c>
      <c r="Q65" s="84" t="str">
        <f aca="false">IF(INT(Q$3)=INT($C65), TEXT($C65, "dd-mmm"), "")</f>
        <v/>
      </c>
      <c r="R65" s="84" t="str">
        <f aca="false">IF(INT(R$3)=INT($C65), TEXT($C65, "dd-mmm"), "")</f>
        <v/>
      </c>
      <c r="S65" s="84" t="str">
        <f aca="false">IF(INT(S$3)=INT($C65), TEXT($C65, "dd-mmm"), "")</f>
        <v/>
      </c>
      <c r="T65" s="84" t="str">
        <f aca="false">IF(INT(T$3)=INT($C65), TEXT($C65, "dd-mmm"), "")</f>
        <v/>
      </c>
      <c r="U65" s="84" t="str">
        <f aca="false">IF(INT(U$3)=INT($C65), TEXT($C65, "dd-mmm"), "")</f>
        <v/>
      </c>
      <c r="V65" s="84" t="str">
        <f aca="false">IF(INT(V$3)=INT($C65), TEXT($C65, "dd-mmm"), "")</f>
        <v/>
      </c>
      <c r="W65" s="84" t="str">
        <f aca="false">IF(INT(W$3)=INT($C65), TEXT($C65, "dd-mmm"), "")</f>
        <v/>
      </c>
      <c r="X65" s="84" t="str">
        <f aca="false">IF(INT(X$3)=INT($C65), TEXT($C65, "dd-mmm"), "")</f>
        <v/>
      </c>
      <c r="Y65" s="84" t="str">
        <f aca="false">IF(INT(Y$3)=INT($C65), TEXT($C65, "dd-mmm"), "")</f>
        <v/>
      </c>
      <c r="Z65" s="84" t="str">
        <f aca="false">IF(INT(Z$3)=INT($C65), TEXT($C65, "dd-mmm"), "")</f>
        <v/>
      </c>
      <c r="AA65" s="84" t="str">
        <f aca="false">IF(INT(AA$3)=INT($C65), TEXT($C65, "dd-mmm"), "")</f>
        <v/>
      </c>
      <c r="AB65" s="84" t="str">
        <f aca="false">IF(INT(AB$3)=INT($C65), TEXT($C65, "dd-mmm"), "")</f>
        <v/>
      </c>
      <c r="AC65" s="84" t="str">
        <f aca="false">IF(INT(AC$3)=INT($C65), TEXT($C65, "dd-mmm"), "")</f>
        <v/>
      </c>
      <c r="AD65" s="84" t="str">
        <f aca="false">IF(INT(AD$3)=INT($C65), TEXT($C65, "dd-mmm"), "")</f>
        <v/>
      </c>
      <c r="AE65" s="84" t="str">
        <f aca="false">IF(INT(AE$3)=INT($C65), TEXT($C65, "dd-mmm"), "")</f>
        <v/>
      </c>
      <c r="AF65" s="84" t="str">
        <f aca="false">IF(INT(AF$3)=INT($C65), TEXT($C65, "dd-mmm"), "")</f>
        <v/>
      </c>
      <c r="AG65" s="84" t="str">
        <f aca="false">IF(INT(AG$3)=INT($C65), TEXT($C65, "dd-mmm"), "")</f>
        <v/>
      </c>
      <c r="AH65" s="84" t="str">
        <f aca="false">IF(INT(AH$3)=INT($C65), TEXT($C65, "dd-mmm"), "")</f>
        <v/>
      </c>
      <c r="AI65" s="84" t="str">
        <f aca="false">IF(INT(AI$3)=INT($C65), TEXT($C65, "dd-mmm"), "")</f>
        <v/>
      </c>
      <c r="AJ65" s="84" t="str">
        <f aca="false">IF(INT(AJ$3)=INT($C65), TEXT($C65, "dd-mmm"), "")</f>
        <v/>
      </c>
      <c r="AK65" s="84" t="str">
        <f aca="false">IF(INT(AK$3)=INT($C65), TEXT($C65, "dd-mmm"), "")</f>
        <v/>
      </c>
      <c r="AL65" s="84" t="str">
        <f aca="false">IF(INT(AL$3)=INT($C65), TEXT($C65, "dd-mmm"), "")</f>
        <v/>
      </c>
      <c r="AM65" s="84" t="str">
        <f aca="false">IF(INT(AM$3)=INT($C65), TEXT($C65, "dd-mmm"), "")</f>
        <v/>
      </c>
      <c r="AN65" s="84" t="str">
        <f aca="false">IF(INT(AN$3)=INT($C65), TEXT($C65, "dd-mmm"), "")</f>
        <v/>
      </c>
      <c r="AO65" s="84" t="str">
        <f aca="false">IF(INT(AO$3)=INT($C65), TEXT($C65, "dd-mmm"), "")</f>
        <v/>
      </c>
      <c r="AP65" s="84" t="str">
        <f aca="false">IF(INT(AP$3)=INT($C65), TEXT($C65, "dd-mmm"), "")</f>
        <v/>
      </c>
      <c r="AQ65" s="84" t="str">
        <f aca="false">IF(INT(AQ$3)=INT($C65), TEXT($C65, "dd-mmm"), "")</f>
        <v/>
      </c>
      <c r="AR65" s="84" t="str">
        <f aca="false">IF(INT(AR$3)=INT($C65), TEXT($C65, "dd-mmm"), "")</f>
        <v/>
      </c>
      <c r="AS65" s="84" t="str">
        <f aca="false">IF(INT(AS$3)=INT($C65), TEXT($C65, "dd-mmm"), "")</f>
        <v/>
      </c>
      <c r="AT65" s="84" t="str">
        <f aca="false">IF(INT(AT$3)=INT($C65), TEXT($C65, "dd-mmm"), "")</f>
        <v/>
      </c>
      <c r="AU65" s="84" t="str">
        <f aca="false">IF(INT(AU$3)=INT($C65), TEXT($C65, "dd-mmm"), "")</f>
        <v/>
      </c>
      <c r="AV65" s="84" t="str">
        <f aca="false">IF(INT(AV$3)=INT($C65), TEXT($C65, "dd-mmm"), "")</f>
        <v/>
      </c>
      <c r="AW65" s="84" t="str">
        <f aca="false">IF(INT(AW$3)=INT($C65), TEXT($C65, "dd-mmm"), "")</f>
        <v/>
      </c>
      <c r="AX65" s="84" t="str">
        <f aca="false">IF(INT(AX$3)=INT($C65), TEXT($C65, "dd-mmm"), "")</f>
        <v/>
      </c>
      <c r="AY65" s="84" t="str">
        <f aca="false">IF(INT(AY$3)=INT($C65), TEXT($C65, "dd-mmm"), "")</f>
        <v/>
      </c>
      <c r="AZ65" s="84" t="str">
        <f aca="false">IF(INT(AZ$3)=INT($C65), TEXT($C65, "dd-mmm"), "")</f>
        <v/>
      </c>
      <c r="BA65" s="84" t="str">
        <f aca="false">IF(INT(BA$3)=INT($C65), TEXT($C65, "dd-mmm"), "")</f>
        <v/>
      </c>
      <c r="BB65" s="84" t="str">
        <f aca="false">IF(INT(BB$3)=INT($C65), TEXT($C65, "dd-mmm"), "")</f>
        <v/>
      </c>
      <c r="BC65" s="84" t="str">
        <f aca="false">IF(INT(BC$3)=INT($C65), TEXT($C65, "dd-mmm"), "")</f>
        <v/>
      </c>
      <c r="BD65" s="84" t="str">
        <f aca="false">IF(INT(BD$3)=INT($C65), TEXT($C65, "dd-mmm"), "")</f>
        <v/>
      </c>
      <c r="BE65" s="84" t="str">
        <f aca="false">IF(INT(BE$3)=INT($C65), TEXT($C65, "dd-mmm"), "")</f>
        <v/>
      </c>
      <c r="BF65" s="84" t="str">
        <f aca="false">IF(INT(BF$3)=INT($C65), TEXT($C65, "dd-mmm"), "")</f>
        <v/>
      </c>
      <c r="BG65" s="84" t="str">
        <f aca="false">IF(INT(BG$3)=INT($C65), TEXT($C65, "dd-mmm"), "")</f>
        <v/>
      </c>
      <c r="BH65" s="84" t="str">
        <f aca="false">IF(INT(BH$3)=INT($C65), TEXT($C65, "dd-mmm"), "")</f>
        <v/>
      </c>
      <c r="BI65" s="84" t="str">
        <f aca="false">IF(INT(BI$3)=INT($C65), TEXT($C65, "dd-mmm"), "")</f>
        <v/>
      </c>
      <c r="BJ65" s="84" t="str">
        <f aca="false">IF(INT(BJ$3)=INT($C65), TEXT($C65, "dd-mmm"), "")</f>
        <v/>
      </c>
      <c r="BK65" s="84" t="str">
        <f aca="false">IF(INT(BK$3)=INT($C65), TEXT($C65, "dd-mmm"), "")</f>
        <v/>
      </c>
      <c r="BL65" s="84" t="str">
        <f aca="false">IF(INT(BL$3)=INT($C65), TEXT($C65, "dd-mmm"), "")</f>
        <v/>
      </c>
      <c r="BM65" s="84" t="str">
        <f aca="false">IF(INT(BM$3)=INT($C65), TEXT($C65, "dd-mmm"), "")</f>
        <v/>
      </c>
      <c r="BN65" s="84" t="str">
        <f aca="false">IF(INT(BN$3)=INT($C65), TEXT($C65, "dd-mmm"), "")</f>
        <v/>
      </c>
    </row>
    <row r="66" customFormat="false" ht="15" hidden="false" customHeight="true" outlineLevel="0" collapsed="false">
      <c r="A66" s="4" t="str">
        <f aca="false">Machine_List!A66</f>
        <v>VENT</v>
      </c>
      <c r="B66" s="4" t="str">
        <f aca="false">Machine_List!B66</f>
        <v>VENT-MC-03</v>
      </c>
      <c r="C66" s="12" t="n">
        <f aca="false">Machine_List!C66</f>
        <v>46054</v>
      </c>
      <c r="D66" s="4" t="n">
        <f aca="false">Machine_List!D66</f>
        <v>6</v>
      </c>
      <c r="E66" s="4" t="n">
        <f aca="true">C66-TODAY()</f>
        <v>-64</v>
      </c>
      <c r="F66" s="4" t="str">
        <f aca="false">IF(E66&lt;0,"OVERDUE",IF(E66&lt;=5,"DUE SOON","OK"))</f>
        <v>OVERDUE</v>
      </c>
      <c r="G66" s="84" t="str">
        <f aca="false">IF(INT(G$3)=INT($C66), TEXT($C66, "dd-mmm"), "")</f>
        <v/>
      </c>
      <c r="H66" s="84" t="str">
        <f aca="false">IF(INT(H$3)=INT($C66), TEXT($C66, "dd-mmm"), "")</f>
        <v/>
      </c>
      <c r="I66" s="84" t="str">
        <f aca="false">IF(INT(I$3)=INT($C66), TEXT($C66, "dd-mmm"), "")</f>
        <v/>
      </c>
      <c r="J66" s="84" t="str">
        <f aca="false">IF(INT(J$3)=INT($C66), TEXT($C66, "dd-mmm"), "")</f>
        <v/>
      </c>
      <c r="K66" s="84" t="str">
        <f aca="false">IF(INT(K$3)=INT($C66), TEXT($C66, "dd-mmm"), "")</f>
        <v/>
      </c>
      <c r="L66" s="84" t="str">
        <f aca="false">IF(INT(L$3)=INT($C66), TEXT($C66, "dd-mmm"), "")</f>
        <v/>
      </c>
      <c r="M66" s="84" t="str">
        <f aca="false">IF(INT(M$3)=INT($C66), TEXT($C66, "dd-mmm"), "")</f>
        <v/>
      </c>
      <c r="N66" s="84" t="str">
        <f aca="false">IF(INT(N$3)=INT($C66), TEXT($C66, "dd-mmm"), "")</f>
        <v/>
      </c>
      <c r="O66" s="84" t="str">
        <f aca="false">IF(INT(O$3)=INT($C66), TEXT($C66, "dd-mmm"), "")</f>
        <v/>
      </c>
      <c r="P66" s="84" t="str">
        <f aca="false">IF(INT(P$3)=INT($C66), TEXT($C66, "dd-mmm"), "")</f>
        <v/>
      </c>
      <c r="Q66" s="84" t="str">
        <f aca="false">IF(INT(Q$3)=INT($C66), TEXT($C66, "dd-mmm"), "")</f>
        <v/>
      </c>
      <c r="R66" s="84" t="str">
        <f aca="false">IF(INT(R$3)=INT($C66), TEXT($C66, "dd-mmm"), "")</f>
        <v/>
      </c>
      <c r="S66" s="84" t="str">
        <f aca="false">IF(INT(S$3)=INT($C66), TEXT($C66, "dd-mmm"), "")</f>
        <v/>
      </c>
      <c r="T66" s="84" t="str">
        <f aca="false">IF(INT(T$3)=INT($C66), TEXT($C66, "dd-mmm"), "")</f>
        <v/>
      </c>
      <c r="U66" s="84" t="str">
        <f aca="false">IF(INT(U$3)=INT($C66), TEXT($C66, "dd-mmm"), "")</f>
        <v/>
      </c>
      <c r="V66" s="84" t="str">
        <f aca="false">IF(INT(V$3)=INT($C66), TEXT($C66, "dd-mmm"), "")</f>
        <v/>
      </c>
      <c r="W66" s="84" t="str">
        <f aca="false">IF(INT(W$3)=INT($C66), TEXT($C66, "dd-mmm"), "")</f>
        <v/>
      </c>
      <c r="X66" s="84" t="str">
        <f aca="false">IF(INT(X$3)=INT($C66), TEXT($C66, "dd-mmm"), "")</f>
        <v/>
      </c>
      <c r="Y66" s="84" t="str">
        <f aca="false">IF(INT(Y$3)=INT($C66), TEXT($C66, "dd-mmm"), "")</f>
        <v/>
      </c>
      <c r="Z66" s="84" t="str">
        <f aca="false">IF(INT(Z$3)=INT($C66), TEXT($C66, "dd-mmm"), "")</f>
        <v/>
      </c>
      <c r="AA66" s="84" t="str">
        <f aca="false">IF(INT(AA$3)=INT($C66), TEXT($C66, "dd-mmm"), "")</f>
        <v/>
      </c>
      <c r="AB66" s="84" t="str">
        <f aca="false">IF(INT(AB$3)=INT($C66), TEXT($C66, "dd-mmm"), "")</f>
        <v/>
      </c>
      <c r="AC66" s="84" t="str">
        <f aca="false">IF(INT(AC$3)=INT($C66), TEXT($C66, "dd-mmm"), "")</f>
        <v/>
      </c>
      <c r="AD66" s="84" t="str">
        <f aca="false">IF(INT(AD$3)=INT($C66), TEXT($C66, "dd-mmm"), "")</f>
        <v/>
      </c>
      <c r="AE66" s="84" t="str">
        <f aca="false">IF(INT(AE$3)=INT($C66), TEXT($C66, "dd-mmm"), "")</f>
        <v/>
      </c>
      <c r="AF66" s="84" t="str">
        <f aca="false">IF(INT(AF$3)=INT($C66), TEXT($C66, "dd-mmm"), "")</f>
        <v/>
      </c>
      <c r="AG66" s="84" t="str">
        <f aca="false">IF(INT(AG$3)=INT($C66), TEXT($C66, "dd-mmm"), "")</f>
        <v/>
      </c>
      <c r="AH66" s="84" t="str">
        <f aca="false">IF(INT(AH$3)=INT($C66), TEXT($C66, "dd-mmm"), "")</f>
        <v/>
      </c>
      <c r="AI66" s="84" t="str">
        <f aca="false">IF(INT(AI$3)=INT($C66), TEXT($C66, "dd-mmm"), "")</f>
        <v/>
      </c>
      <c r="AJ66" s="84" t="str">
        <f aca="false">IF(INT(AJ$3)=INT($C66), TEXT($C66, "dd-mmm"), "")</f>
        <v/>
      </c>
      <c r="AK66" s="84" t="str">
        <f aca="false">IF(INT(AK$3)=INT($C66), TEXT($C66, "dd-mmm"), "")</f>
        <v/>
      </c>
      <c r="AL66" s="84" t="str">
        <f aca="false">IF(INT(AL$3)=INT($C66), TEXT($C66, "dd-mmm"), "")</f>
        <v/>
      </c>
      <c r="AM66" s="84" t="str">
        <f aca="false">IF(INT(AM$3)=INT($C66), TEXT($C66, "dd-mmm"), "")</f>
        <v/>
      </c>
      <c r="AN66" s="84" t="str">
        <f aca="false">IF(INT(AN$3)=INT($C66), TEXT($C66, "dd-mmm"), "")</f>
        <v/>
      </c>
      <c r="AO66" s="84" t="str">
        <f aca="false">IF(INT(AO$3)=INT($C66), TEXT($C66, "dd-mmm"), "")</f>
        <v/>
      </c>
      <c r="AP66" s="84" t="str">
        <f aca="false">IF(INT(AP$3)=INT($C66), TEXT($C66, "dd-mmm"), "")</f>
        <v/>
      </c>
      <c r="AQ66" s="84" t="str">
        <f aca="false">IF(INT(AQ$3)=INT($C66), TEXT($C66, "dd-mmm"), "")</f>
        <v/>
      </c>
      <c r="AR66" s="84" t="str">
        <f aca="false">IF(INT(AR$3)=INT($C66), TEXT($C66, "dd-mmm"), "")</f>
        <v/>
      </c>
      <c r="AS66" s="84" t="str">
        <f aca="false">IF(INT(AS$3)=INT($C66), TEXT($C66, "dd-mmm"), "")</f>
        <v/>
      </c>
      <c r="AT66" s="84" t="str">
        <f aca="false">IF(INT(AT$3)=INT($C66), TEXT($C66, "dd-mmm"), "")</f>
        <v/>
      </c>
      <c r="AU66" s="84" t="str">
        <f aca="false">IF(INT(AU$3)=INT($C66), TEXT($C66, "dd-mmm"), "")</f>
        <v/>
      </c>
      <c r="AV66" s="84" t="str">
        <f aca="false">IF(INT(AV$3)=INT($C66), TEXT($C66, "dd-mmm"), "")</f>
        <v/>
      </c>
      <c r="AW66" s="84" t="str">
        <f aca="false">IF(INT(AW$3)=INT($C66), TEXT($C66, "dd-mmm"), "")</f>
        <v/>
      </c>
      <c r="AX66" s="84" t="str">
        <f aca="false">IF(INT(AX$3)=INT($C66), TEXT($C66, "dd-mmm"), "")</f>
        <v/>
      </c>
      <c r="AY66" s="84" t="str">
        <f aca="false">IF(INT(AY$3)=INT($C66), TEXT($C66, "dd-mmm"), "")</f>
        <v/>
      </c>
      <c r="AZ66" s="84" t="str">
        <f aca="false">IF(INT(AZ$3)=INT($C66), TEXT($C66, "dd-mmm"), "")</f>
        <v/>
      </c>
      <c r="BA66" s="84" t="str">
        <f aca="false">IF(INT(BA$3)=INT($C66), TEXT($C66, "dd-mmm"), "")</f>
        <v/>
      </c>
      <c r="BB66" s="84" t="str">
        <f aca="false">IF(INT(BB$3)=INT($C66), TEXT($C66, "dd-mmm"), "")</f>
        <v/>
      </c>
      <c r="BC66" s="84" t="str">
        <f aca="false">IF(INT(BC$3)=INT($C66), TEXT($C66, "dd-mmm"), "")</f>
        <v/>
      </c>
      <c r="BD66" s="84" t="str">
        <f aca="false">IF(INT(BD$3)=INT($C66), TEXT($C66, "dd-mmm"), "")</f>
        <v/>
      </c>
      <c r="BE66" s="84" t="str">
        <f aca="false">IF(INT(BE$3)=INT($C66), TEXT($C66, "dd-mmm"), "")</f>
        <v/>
      </c>
      <c r="BF66" s="84" t="str">
        <f aca="false">IF(INT(BF$3)=INT($C66), TEXT($C66, "dd-mmm"), "")</f>
        <v/>
      </c>
      <c r="BG66" s="84" t="str">
        <f aca="false">IF(INT(BG$3)=INT($C66), TEXT($C66, "dd-mmm"), "")</f>
        <v/>
      </c>
      <c r="BH66" s="84" t="str">
        <f aca="false">IF(INT(BH$3)=INT($C66), TEXT($C66, "dd-mmm"), "")</f>
        <v/>
      </c>
      <c r="BI66" s="84" t="str">
        <f aca="false">IF(INT(BI$3)=INT($C66), TEXT($C66, "dd-mmm"), "")</f>
        <v/>
      </c>
      <c r="BJ66" s="84" t="str">
        <f aca="false">IF(INT(BJ$3)=INT($C66), TEXT($C66, "dd-mmm"), "")</f>
        <v/>
      </c>
      <c r="BK66" s="84" t="str">
        <f aca="false">IF(INT(BK$3)=INT($C66), TEXT($C66, "dd-mmm"), "")</f>
        <v/>
      </c>
      <c r="BL66" s="84" t="str">
        <f aca="false">IF(INT(BL$3)=INT($C66), TEXT($C66, "dd-mmm"), "")</f>
        <v/>
      </c>
      <c r="BM66" s="84" t="str">
        <f aca="false">IF(INT(BM$3)=INT($C66), TEXT($C66, "dd-mmm"), "")</f>
        <v/>
      </c>
      <c r="BN66" s="84" t="str">
        <f aca="false">IF(INT(BN$3)=INT($C66), TEXT($C66, "dd-mmm"), "")</f>
        <v/>
      </c>
    </row>
    <row r="67" customFormat="false" ht="15" hidden="false" customHeight="true" outlineLevel="0" collapsed="false">
      <c r="A67" s="4" t="str">
        <f aca="false">Machine_List!A67</f>
        <v>VENT</v>
      </c>
      <c r="B67" s="4" t="str">
        <f aca="false">Machine_List!B67</f>
        <v>VENT-MC-04</v>
      </c>
      <c r="C67" s="12" t="n">
        <f aca="false">Machine_List!C67</f>
        <v>46255</v>
      </c>
      <c r="D67" s="4" t="n">
        <f aca="false">Machine_List!D67</f>
        <v>6</v>
      </c>
      <c r="E67" s="4" t="n">
        <f aca="true">C67-TODAY()</f>
        <v>137</v>
      </c>
      <c r="F67" s="4" t="str">
        <f aca="false">IF(E67&lt;0,"OVERDUE",IF(E67&lt;=5,"DUE SOON","OK"))</f>
        <v>OK</v>
      </c>
      <c r="G67" s="84" t="str">
        <f aca="false">IF(INT(G$3)=INT($C67), TEXT($C67, "dd-mmm"), "")</f>
        <v/>
      </c>
      <c r="H67" s="84" t="str">
        <f aca="false">IF(INT(H$3)=INT($C67), TEXT($C67, "dd-mmm"), "")</f>
        <v/>
      </c>
      <c r="I67" s="84" t="str">
        <f aca="false">IF(INT(I$3)=INT($C67), TEXT($C67, "dd-mmm"), "")</f>
        <v/>
      </c>
      <c r="J67" s="84" t="str">
        <f aca="false">IF(INT(J$3)=INT($C67), TEXT($C67, "dd-mmm"), "")</f>
        <v/>
      </c>
      <c r="K67" s="84" t="str">
        <f aca="false">IF(INT(K$3)=INT($C67), TEXT($C67, "dd-mmm"), "")</f>
        <v/>
      </c>
      <c r="L67" s="84" t="str">
        <f aca="false">IF(INT(L$3)=INT($C67), TEXT($C67, "dd-mmm"), "")</f>
        <v/>
      </c>
      <c r="M67" s="84" t="str">
        <f aca="false">IF(INT(M$3)=INT($C67), TEXT($C67, "dd-mmm"), "")</f>
        <v/>
      </c>
      <c r="N67" s="84" t="str">
        <f aca="false">IF(INT(N$3)=INT($C67), TEXT($C67, "dd-mmm"), "")</f>
        <v/>
      </c>
      <c r="O67" s="84" t="str">
        <f aca="false">IF(INT(O$3)=INT($C67), TEXT($C67, "dd-mmm"), "")</f>
        <v/>
      </c>
      <c r="P67" s="84" t="str">
        <f aca="false">IF(INT(P$3)=INT($C67), TEXT($C67, "dd-mmm"), "")</f>
        <v/>
      </c>
      <c r="Q67" s="84" t="str">
        <f aca="false">IF(INT(Q$3)=INT($C67), TEXT($C67, "dd-mmm"), "")</f>
        <v/>
      </c>
      <c r="R67" s="84" t="str">
        <f aca="false">IF(INT(R$3)=INT($C67), TEXT($C67, "dd-mmm"), "")</f>
        <v/>
      </c>
      <c r="S67" s="84" t="str">
        <f aca="false">IF(INT(S$3)=INT($C67), TEXT($C67, "dd-mmm"), "")</f>
        <v/>
      </c>
      <c r="T67" s="84" t="str">
        <f aca="false">IF(INT(T$3)=INT($C67), TEXT($C67, "dd-mmm"), "")</f>
        <v/>
      </c>
      <c r="U67" s="84" t="str">
        <f aca="false">IF(INT(U$3)=INT($C67), TEXT($C67, "dd-mmm"), "")</f>
        <v/>
      </c>
      <c r="V67" s="84" t="str">
        <f aca="false">IF(INT(V$3)=INT($C67), TEXT($C67, "dd-mmm"), "")</f>
        <v/>
      </c>
      <c r="W67" s="84" t="str">
        <f aca="false">IF(INT(W$3)=INT($C67), TEXT($C67, "dd-mmm"), "")</f>
        <v/>
      </c>
      <c r="X67" s="84" t="str">
        <f aca="false">IF(INT(X$3)=INT($C67), TEXT($C67, "dd-mmm"), "")</f>
        <v/>
      </c>
      <c r="Y67" s="84" t="str">
        <f aca="false">IF(INT(Y$3)=INT($C67), TEXT($C67, "dd-mmm"), "")</f>
        <v/>
      </c>
      <c r="Z67" s="84" t="str">
        <f aca="false">IF(INT(Z$3)=INT($C67), TEXT($C67, "dd-mmm"), "")</f>
        <v/>
      </c>
      <c r="AA67" s="84" t="str">
        <f aca="false">IF(INT(AA$3)=INT($C67), TEXT($C67, "dd-mmm"), "")</f>
        <v/>
      </c>
      <c r="AB67" s="84" t="str">
        <f aca="false">IF(INT(AB$3)=INT($C67), TEXT($C67, "dd-mmm"), "")</f>
        <v/>
      </c>
      <c r="AC67" s="84" t="str">
        <f aca="false">IF(INT(AC$3)=INT($C67), TEXT($C67, "dd-mmm"), "")</f>
        <v/>
      </c>
      <c r="AD67" s="84" t="str">
        <f aca="false">IF(INT(AD$3)=INT($C67), TEXT($C67, "dd-mmm"), "")</f>
        <v/>
      </c>
      <c r="AE67" s="84" t="str">
        <f aca="false">IF(INT(AE$3)=INT($C67), TEXT($C67, "dd-mmm"), "")</f>
        <v/>
      </c>
      <c r="AF67" s="84" t="str">
        <f aca="false">IF(INT(AF$3)=INT($C67), TEXT($C67, "dd-mmm"), "")</f>
        <v/>
      </c>
      <c r="AG67" s="84" t="str">
        <f aca="false">IF(INT(AG$3)=INT($C67), TEXT($C67, "dd-mmm"), "")</f>
        <v/>
      </c>
      <c r="AH67" s="84" t="str">
        <f aca="false">IF(INT(AH$3)=INT($C67), TEXT($C67, "dd-mmm"), "")</f>
        <v/>
      </c>
      <c r="AI67" s="84" t="str">
        <f aca="false">IF(INT(AI$3)=INT($C67), TEXT($C67, "dd-mmm"), "")</f>
        <v/>
      </c>
      <c r="AJ67" s="84" t="str">
        <f aca="false">IF(INT(AJ$3)=INT($C67), TEXT($C67, "dd-mmm"), "")</f>
        <v/>
      </c>
      <c r="AK67" s="84" t="str">
        <f aca="false">IF(INT(AK$3)=INT($C67), TEXT($C67, "dd-mmm"), "")</f>
        <v/>
      </c>
      <c r="AL67" s="84" t="str">
        <f aca="false">IF(INT(AL$3)=INT($C67), TEXT($C67, "dd-mmm"), "")</f>
        <v/>
      </c>
      <c r="AM67" s="84" t="str">
        <f aca="false">IF(INT(AM$3)=INT($C67), TEXT($C67, "dd-mmm"), "")</f>
        <v/>
      </c>
      <c r="AN67" s="84" t="str">
        <f aca="false">IF(INT(AN$3)=INT($C67), TEXT($C67, "dd-mmm"), "")</f>
        <v/>
      </c>
      <c r="AO67" s="84" t="str">
        <f aca="false">IF(INT(AO$3)=INT($C67), TEXT($C67, "dd-mmm"), "")</f>
        <v/>
      </c>
      <c r="AP67" s="84" t="str">
        <f aca="false">IF(INT(AP$3)=INT($C67), TEXT($C67, "dd-mmm"), "")</f>
        <v/>
      </c>
      <c r="AQ67" s="84" t="str">
        <f aca="false">IF(INT(AQ$3)=INT($C67), TEXT($C67, "dd-mmm"), "")</f>
        <v/>
      </c>
      <c r="AR67" s="84" t="str">
        <f aca="false">IF(INT(AR$3)=INT($C67), TEXT($C67, "dd-mmm"), "")</f>
        <v/>
      </c>
      <c r="AS67" s="84" t="str">
        <f aca="false">IF(INT(AS$3)=INT($C67), TEXT($C67, "dd-mmm"), "")</f>
        <v/>
      </c>
      <c r="AT67" s="84" t="str">
        <f aca="false">IF(INT(AT$3)=INT($C67), TEXT($C67, "dd-mmm"), "")</f>
        <v/>
      </c>
      <c r="AU67" s="84" t="str">
        <f aca="false">IF(INT(AU$3)=INT($C67), TEXT($C67, "dd-mmm"), "")</f>
        <v/>
      </c>
      <c r="AV67" s="84" t="str">
        <f aca="false">IF(INT(AV$3)=INT($C67), TEXT($C67, "dd-mmm"), "")</f>
        <v/>
      </c>
      <c r="AW67" s="84" t="str">
        <f aca="false">IF(INT(AW$3)=INT($C67), TEXT($C67, "dd-mmm"), "")</f>
        <v/>
      </c>
      <c r="AX67" s="84" t="str">
        <f aca="false">IF(INT(AX$3)=INT($C67), TEXT($C67, "dd-mmm"), "")</f>
        <v/>
      </c>
      <c r="AY67" s="84" t="str">
        <f aca="false">IF(INT(AY$3)=INT($C67), TEXT($C67, "dd-mmm"), "")</f>
        <v/>
      </c>
      <c r="AZ67" s="84" t="str">
        <f aca="false">IF(INT(AZ$3)=INT($C67), TEXT($C67, "dd-mmm"), "")</f>
        <v/>
      </c>
      <c r="BA67" s="84" t="str">
        <f aca="false">IF(INT(BA$3)=INT($C67), TEXT($C67, "dd-mmm"), "")</f>
        <v/>
      </c>
      <c r="BB67" s="84" t="str">
        <f aca="false">IF(INT(BB$3)=INT($C67), TEXT($C67, "dd-mmm"), "")</f>
        <v/>
      </c>
      <c r="BC67" s="84" t="str">
        <f aca="false">IF(INT(BC$3)=INT($C67), TEXT($C67, "dd-mmm"), "")</f>
        <v/>
      </c>
      <c r="BD67" s="84" t="str">
        <f aca="false">IF(INT(BD$3)=INT($C67), TEXT($C67, "dd-mmm"), "")</f>
        <v/>
      </c>
      <c r="BE67" s="84" t="str">
        <f aca="false">IF(INT(BE$3)=INT($C67), TEXT($C67, "dd-mmm"), "")</f>
        <v/>
      </c>
      <c r="BF67" s="84" t="str">
        <f aca="false">IF(INT(BF$3)=INT($C67), TEXT($C67, "dd-mmm"), "")</f>
        <v/>
      </c>
      <c r="BG67" s="84" t="str">
        <f aca="false">IF(INT(BG$3)=INT($C67), TEXT($C67, "dd-mmm"), "")</f>
        <v/>
      </c>
      <c r="BH67" s="84" t="str">
        <f aca="false">IF(INT(BH$3)=INT($C67), TEXT($C67, "dd-mmm"), "")</f>
        <v/>
      </c>
      <c r="BI67" s="84" t="str">
        <f aca="false">IF(INT(BI$3)=INT($C67), TEXT($C67, "dd-mmm"), "")</f>
        <v/>
      </c>
      <c r="BJ67" s="84" t="str">
        <f aca="false">IF(INT(BJ$3)=INT($C67), TEXT($C67, "dd-mmm"), "")</f>
        <v/>
      </c>
      <c r="BK67" s="84" t="str">
        <f aca="false">IF(INT(BK$3)=INT($C67), TEXT($C67, "dd-mmm"), "")</f>
        <v/>
      </c>
      <c r="BL67" s="84" t="str">
        <f aca="false">IF(INT(BL$3)=INT($C67), TEXT($C67, "dd-mmm"), "")</f>
        <v/>
      </c>
      <c r="BM67" s="84" t="str">
        <f aca="false">IF(INT(BM$3)=INT($C67), TEXT($C67, "dd-mmm"), "")</f>
        <v/>
      </c>
      <c r="BN67" s="84" t="str">
        <f aca="false">IF(INT(BN$3)=INT($C67), TEXT($C67, "dd-mmm"), "")</f>
        <v/>
      </c>
    </row>
    <row r="68" customFormat="false" ht="15" hidden="false" customHeight="true" outlineLevel="0" collapsed="false">
      <c r="A68" s="4" t="str">
        <f aca="false">Machine_List!A68</f>
        <v>VENT</v>
      </c>
      <c r="B68" s="4" t="str">
        <f aca="false">Machine_List!B68</f>
        <v>VENT-MC-05</v>
      </c>
      <c r="C68" s="12" t="n">
        <f aca="false">Machine_List!C68</f>
        <v>46394</v>
      </c>
      <c r="D68" s="4" t="n">
        <f aca="false">Machine_List!D68</f>
        <v>6</v>
      </c>
      <c r="E68" s="4" t="n">
        <f aca="true">C68-TODAY()</f>
        <v>276</v>
      </c>
      <c r="F68" s="4" t="str">
        <f aca="false">IF(E68&lt;0,"OVERDUE",IF(E68&lt;=5,"DUE SOON","OK"))</f>
        <v>OK</v>
      </c>
      <c r="G68" s="84" t="str">
        <f aca="false">IF(INT(G$3)=INT($C68), TEXT($C68, "dd-mmm"), "")</f>
        <v/>
      </c>
      <c r="H68" s="84" t="str">
        <f aca="false">IF(INT(H$3)=INT($C68), TEXT($C68, "dd-mmm"), "")</f>
        <v/>
      </c>
      <c r="I68" s="84" t="str">
        <f aca="false">IF(INT(I$3)=INT($C68), TEXT($C68, "dd-mmm"), "")</f>
        <v/>
      </c>
      <c r="J68" s="84" t="str">
        <f aca="false">IF(INT(J$3)=INT($C68), TEXT($C68, "dd-mmm"), "")</f>
        <v/>
      </c>
      <c r="K68" s="84" t="str">
        <f aca="false">IF(INT(K$3)=INT($C68), TEXT($C68, "dd-mmm"), "")</f>
        <v/>
      </c>
      <c r="L68" s="84" t="str">
        <f aca="false">IF(INT(L$3)=INT($C68), TEXT($C68, "dd-mmm"), "")</f>
        <v/>
      </c>
      <c r="M68" s="84" t="str">
        <f aca="false">IF(INT(M$3)=INT($C68), TEXT($C68, "dd-mmm"), "")</f>
        <v/>
      </c>
      <c r="N68" s="84" t="str">
        <f aca="false">IF(INT(N$3)=INT($C68), TEXT($C68, "dd-mmm"), "")</f>
        <v/>
      </c>
      <c r="O68" s="84" t="str">
        <f aca="false">IF(INT(O$3)=INT($C68), TEXT($C68, "dd-mmm"), "")</f>
        <v/>
      </c>
      <c r="P68" s="84" t="str">
        <f aca="false">IF(INT(P$3)=INT($C68), TEXT($C68, "dd-mmm"), "")</f>
        <v/>
      </c>
      <c r="Q68" s="84" t="str">
        <f aca="false">IF(INT(Q$3)=INT($C68), TEXT($C68, "dd-mmm"), "")</f>
        <v/>
      </c>
      <c r="R68" s="84" t="str">
        <f aca="false">IF(INT(R$3)=INT($C68), TEXT($C68, "dd-mmm"), "")</f>
        <v/>
      </c>
      <c r="S68" s="84" t="str">
        <f aca="false">IF(INT(S$3)=INT($C68), TEXT($C68, "dd-mmm"), "")</f>
        <v/>
      </c>
      <c r="T68" s="84" t="str">
        <f aca="false">IF(INT(T$3)=INT($C68), TEXT($C68, "dd-mmm"), "")</f>
        <v/>
      </c>
      <c r="U68" s="84" t="str">
        <f aca="false">IF(INT(U$3)=INT($C68), TEXT($C68, "dd-mmm"), "")</f>
        <v/>
      </c>
      <c r="V68" s="84" t="str">
        <f aca="false">IF(INT(V$3)=INT($C68), TEXT($C68, "dd-mmm"), "")</f>
        <v/>
      </c>
      <c r="W68" s="84" t="str">
        <f aca="false">IF(INT(W$3)=INT($C68), TEXT($C68, "dd-mmm"), "")</f>
        <v/>
      </c>
      <c r="X68" s="84" t="str">
        <f aca="false">IF(INT(X$3)=INT($C68), TEXT($C68, "dd-mmm"), "")</f>
        <v/>
      </c>
      <c r="Y68" s="84" t="str">
        <f aca="false">IF(INT(Y$3)=INT($C68), TEXT($C68, "dd-mmm"), "")</f>
        <v/>
      </c>
      <c r="Z68" s="84" t="str">
        <f aca="false">IF(INT(Z$3)=INT($C68), TEXT($C68, "dd-mmm"), "")</f>
        <v/>
      </c>
      <c r="AA68" s="84" t="str">
        <f aca="false">IF(INT(AA$3)=INT($C68), TEXT($C68, "dd-mmm"), "")</f>
        <v/>
      </c>
      <c r="AB68" s="84" t="str">
        <f aca="false">IF(INT(AB$3)=INT($C68), TEXT($C68, "dd-mmm"), "")</f>
        <v/>
      </c>
      <c r="AC68" s="84" t="str">
        <f aca="false">IF(INT(AC$3)=INT($C68), TEXT($C68, "dd-mmm"), "")</f>
        <v/>
      </c>
      <c r="AD68" s="84" t="str">
        <f aca="false">IF(INT(AD$3)=INT($C68), TEXT($C68, "dd-mmm"), "")</f>
        <v/>
      </c>
      <c r="AE68" s="84" t="str">
        <f aca="false">IF(INT(AE$3)=INT($C68), TEXT($C68, "dd-mmm"), "")</f>
        <v/>
      </c>
      <c r="AF68" s="84" t="str">
        <f aca="false">IF(INT(AF$3)=INT($C68), TEXT($C68, "dd-mmm"), "")</f>
        <v/>
      </c>
      <c r="AG68" s="84" t="str">
        <f aca="false">IF(INT(AG$3)=INT($C68), TEXT($C68, "dd-mmm"), "")</f>
        <v/>
      </c>
      <c r="AH68" s="84" t="str">
        <f aca="false">IF(INT(AH$3)=INT($C68), TEXT($C68, "dd-mmm"), "")</f>
        <v/>
      </c>
      <c r="AI68" s="84" t="str">
        <f aca="false">IF(INT(AI$3)=INT($C68), TEXT($C68, "dd-mmm"), "")</f>
        <v/>
      </c>
      <c r="AJ68" s="84" t="str">
        <f aca="false">IF(INT(AJ$3)=INT($C68), TEXT($C68, "dd-mmm"), "")</f>
        <v/>
      </c>
      <c r="AK68" s="84" t="str">
        <f aca="false">IF(INT(AK$3)=INT($C68), TEXT($C68, "dd-mmm"), "")</f>
        <v/>
      </c>
      <c r="AL68" s="84" t="str">
        <f aca="false">IF(INT(AL$3)=INT($C68), TEXT($C68, "dd-mmm"), "")</f>
        <v/>
      </c>
      <c r="AM68" s="84" t="str">
        <f aca="false">IF(INT(AM$3)=INT($C68), TEXT($C68, "dd-mmm"), "")</f>
        <v/>
      </c>
      <c r="AN68" s="84" t="str">
        <f aca="false">IF(INT(AN$3)=INT($C68), TEXT($C68, "dd-mmm"), "")</f>
        <v/>
      </c>
      <c r="AO68" s="84" t="str">
        <f aca="false">IF(INT(AO$3)=INT($C68), TEXT($C68, "dd-mmm"), "")</f>
        <v/>
      </c>
      <c r="AP68" s="84" t="str">
        <f aca="false">IF(INT(AP$3)=INT($C68), TEXT($C68, "dd-mmm"), "")</f>
        <v/>
      </c>
      <c r="AQ68" s="84" t="str">
        <f aca="false">IF(INT(AQ$3)=INT($C68), TEXT($C68, "dd-mmm"), "")</f>
        <v/>
      </c>
      <c r="AR68" s="84" t="str">
        <f aca="false">IF(INT(AR$3)=INT($C68), TEXT($C68, "dd-mmm"), "")</f>
        <v/>
      </c>
      <c r="AS68" s="84" t="str">
        <f aca="false">IF(INT(AS$3)=INT($C68), TEXT($C68, "dd-mmm"), "")</f>
        <v/>
      </c>
      <c r="AT68" s="84" t="str">
        <f aca="false">IF(INT(AT$3)=INT($C68), TEXT($C68, "dd-mmm"), "")</f>
        <v/>
      </c>
      <c r="AU68" s="84" t="str">
        <f aca="false">IF(INT(AU$3)=INT($C68), TEXT($C68, "dd-mmm"), "")</f>
        <v/>
      </c>
      <c r="AV68" s="84" t="str">
        <f aca="false">IF(INT(AV$3)=INT($C68), TEXT($C68, "dd-mmm"), "")</f>
        <v/>
      </c>
      <c r="AW68" s="84" t="str">
        <f aca="false">IF(INT(AW$3)=INT($C68), TEXT($C68, "dd-mmm"), "")</f>
        <v/>
      </c>
      <c r="AX68" s="84" t="str">
        <f aca="false">IF(INT(AX$3)=INT($C68), TEXT($C68, "dd-mmm"), "")</f>
        <v/>
      </c>
      <c r="AY68" s="84" t="str">
        <f aca="false">IF(INT(AY$3)=INT($C68), TEXT($C68, "dd-mmm"), "")</f>
        <v/>
      </c>
      <c r="AZ68" s="84" t="str">
        <f aca="false">IF(INT(AZ$3)=INT($C68), TEXT($C68, "dd-mmm"), "")</f>
        <v/>
      </c>
      <c r="BA68" s="84" t="str">
        <f aca="false">IF(INT(BA$3)=INT($C68), TEXT($C68, "dd-mmm"), "")</f>
        <v/>
      </c>
      <c r="BB68" s="84" t="str">
        <f aca="false">IF(INT(BB$3)=INT($C68), TEXT($C68, "dd-mmm"), "")</f>
        <v/>
      </c>
      <c r="BC68" s="84" t="str">
        <f aca="false">IF(INT(BC$3)=INT($C68), TEXT($C68, "dd-mmm"), "")</f>
        <v/>
      </c>
      <c r="BD68" s="84" t="str">
        <f aca="false">IF(INT(BD$3)=INT($C68), TEXT($C68, "dd-mmm"), "")</f>
        <v/>
      </c>
      <c r="BE68" s="84" t="str">
        <f aca="false">IF(INT(BE$3)=INT($C68), TEXT($C68, "dd-mmm"), "")</f>
        <v/>
      </c>
      <c r="BF68" s="84" t="str">
        <f aca="false">IF(INT(BF$3)=INT($C68), TEXT($C68, "dd-mmm"), "")</f>
        <v/>
      </c>
      <c r="BG68" s="84" t="str">
        <f aca="false">IF(INT(BG$3)=INT($C68), TEXT($C68, "dd-mmm"), "")</f>
        <v/>
      </c>
      <c r="BH68" s="84" t="str">
        <f aca="false">IF(INT(BH$3)=INT($C68), TEXT($C68, "dd-mmm"), "")</f>
        <v/>
      </c>
      <c r="BI68" s="84" t="str">
        <f aca="false">IF(INT(BI$3)=INT($C68), TEXT($C68, "dd-mmm"), "")</f>
        <v/>
      </c>
      <c r="BJ68" s="84" t="str">
        <f aca="false">IF(INT(BJ$3)=INT($C68), TEXT($C68, "dd-mmm"), "")</f>
        <v/>
      </c>
      <c r="BK68" s="84" t="str">
        <f aca="false">IF(INT(BK$3)=INT($C68), TEXT($C68, "dd-mmm"), "")</f>
        <v/>
      </c>
      <c r="BL68" s="84" t="str">
        <f aca="false">IF(INT(BL$3)=INT($C68), TEXT($C68, "dd-mmm"), "")</f>
        <v/>
      </c>
      <c r="BM68" s="84" t="str">
        <f aca="false">IF(INT(BM$3)=INT($C68), TEXT($C68, "dd-mmm"), "")</f>
        <v/>
      </c>
      <c r="BN68" s="84" t="str">
        <f aca="false">IF(INT(BN$3)=INT($C68), TEXT($C68, "dd-mmm"), "")</f>
        <v/>
      </c>
    </row>
    <row r="69" customFormat="false" ht="15" hidden="false" customHeight="true" outlineLevel="0" collapsed="false">
      <c r="A69" s="4" t="str">
        <f aca="false">Machine_List!A69</f>
        <v>VENT</v>
      </c>
      <c r="B69" s="4" t="str">
        <f aca="false">Machine_List!B69</f>
        <v>VENT-MC-06</v>
      </c>
      <c r="C69" s="12" t="n">
        <f aca="false">Machine_List!C69</f>
        <v>46347</v>
      </c>
      <c r="D69" s="4" t="n">
        <f aca="false">Machine_List!D69</f>
        <v>6</v>
      </c>
      <c r="E69" s="4" t="n">
        <f aca="true">C69-TODAY()</f>
        <v>229</v>
      </c>
      <c r="F69" s="4" t="str">
        <f aca="false">IF(E69&lt;0,"OVERDUE",IF(E69&lt;=5,"DUE SOON","OK"))</f>
        <v>OK</v>
      </c>
      <c r="G69" s="84" t="str">
        <f aca="false">IF(INT(G$3)=INT($C69), TEXT($C69, "dd-mmm"), "")</f>
        <v/>
      </c>
      <c r="H69" s="84" t="str">
        <f aca="false">IF(INT(H$3)=INT($C69), TEXT($C69, "dd-mmm"), "")</f>
        <v/>
      </c>
      <c r="I69" s="84" t="str">
        <f aca="false">IF(INT(I$3)=INT($C69), TEXT($C69, "dd-mmm"), "")</f>
        <v/>
      </c>
      <c r="J69" s="84" t="str">
        <f aca="false">IF(INT(J$3)=INT($C69), TEXT($C69, "dd-mmm"), "")</f>
        <v/>
      </c>
      <c r="K69" s="84" t="str">
        <f aca="false">IF(INT(K$3)=INT($C69), TEXT($C69, "dd-mmm"), "")</f>
        <v/>
      </c>
      <c r="L69" s="84" t="str">
        <f aca="false">IF(INT(L$3)=INT($C69), TEXT($C69, "dd-mmm"), "")</f>
        <v/>
      </c>
      <c r="M69" s="84" t="str">
        <f aca="false">IF(INT(M$3)=INT($C69), TEXT($C69, "dd-mmm"), "")</f>
        <v/>
      </c>
      <c r="N69" s="84" t="str">
        <f aca="false">IF(INT(N$3)=INT($C69), TEXT($C69, "dd-mmm"), "")</f>
        <v/>
      </c>
      <c r="O69" s="84" t="str">
        <f aca="false">IF(INT(O$3)=INT($C69), TEXT($C69, "dd-mmm"), "")</f>
        <v/>
      </c>
      <c r="P69" s="84" t="str">
        <f aca="false">IF(INT(P$3)=INT($C69), TEXT($C69, "dd-mmm"), "")</f>
        <v/>
      </c>
      <c r="Q69" s="84" t="str">
        <f aca="false">IF(INT(Q$3)=INT($C69), TEXT($C69, "dd-mmm"), "")</f>
        <v/>
      </c>
      <c r="R69" s="84" t="str">
        <f aca="false">IF(INT(R$3)=INT($C69), TEXT($C69, "dd-mmm"), "")</f>
        <v/>
      </c>
      <c r="S69" s="84" t="str">
        <f aca="false">IF(INT(S$3)=INT($C69), TEXT($C69, "dd-mmm"), "")</f>
        <v/>
      </c>
      <c r="T69" s="84" t="str">
        <f aca="false">IF(INT(T$3)=INT($C69), TEXT($C69, "dd-mmm"), "")</f>
        <v/>
      </c>
      <c r="U69" s="84" t="str">
        <f aca="false">IF(INT(U$3)=INT($C69), TEXT($C69, "dd-mmm"), "")</f>
        <v/>
      </c>
      <c r="V69" s="84" t="str">
        <f aca="false">IF(INT(V$3)=INT($C69), TEXT($C69, "dd-mmm"), "")</f>
        <v/>
      </c>
      <c r="W69" s="84" t="str">
        <f aca="false">IF(INT(W$3)=INT($C69), TEXT($C69, "dd-mmm"), "")</f>
        <v/>
      </c>
      <c r="X69" s="84" t="str">
        <f aca="false">IF(INT(X$3)=INT($C69), TEXT($C69, "dd-mmm"), "")</f>
        <v/>
      </c>
      <c r="Y69" s="84" t="str">
        <f aca="false">IF(INT(Y$3)=INT($C69), TEXT($C69, "dd-mmm"), "")</f>
        <v/>
      </c>
      <c r="Z69" s="84" t="str">
        <f aca="false">IF(INT(Z$3)=INT($C69), TEXT($C69, "dd-mmm"), "")</f>
        <v/>
      </c>
      <c r="AA69" s="84" t="str">
        <f aca="false">IF(INT(AA$3)=INT($C69), TEXT($C69, "dd-mmm"), "")</f>
        <v/>
      </c>
      <c r="AB69" s="84" t="str">
        <f aca="false">IF(INT(AB$3)=INT($C69), TEXT($C69, "dd-mmm"), "")</f>
        <v/>
      </c>
      <c r="AC69" s="84" t="str">
        <f aca="false">IF(INT(AC$3)=INT($C69), TEXT($C69, "dd-mmm"), "")</f>
        <v/>
      </c>
      <c r="AD69" s="84" t="str">
        <f aca="false">IF(INT(AD$3)=INT($C69), TEXT($C69, "dd-mmm"), "")</f>
        <v/>
      </c>
      <c r="AE69" s="84" t="str">
        <f aca="false">IF(INT(AE$3)=INT($C69), TEXT($C69, "dd-mmm"), "")</f>
        <v/>
      </c>
      <c r="AF69" s="84" t="str">
        <f aca="false">IF(INT(AF$3)=INT($C69), TEXT($C69, "dd-mmm"), "")</f>
        <v/>
      </c>
      <c r="AG69" s="84" t="str">
        <f aca="false">IF(INT(AG$3)=INT($C69), TEXT($C69, "dd-mmm"), "")</f>
        <v/>
      </c>
      <c r="AH69" s="84" t="str">
        <f aca="false">IF(INT(AH$3)=INT($C69), TEXT($C69, "dd-mmm"), "")</f>
        <v/>
      </c>
      <c r="AI69" s="84" t="str">
        <f aca="false">IF(INT(AI$3)=INT($C69), TEXT($C69, "dd-mmm"), "")</f>
        <v/>
      </c>
      <c r="AJ69" s="84" t="str">
        <f aca="false">IF(INT(AJ$3)=INT($C69), TEXT($C69, "dd-mmm"), "")</f>
        <v/>
      </c>
      <c r="AK69" s="84" t="str">
        <f aca="false">IF(INT(AK$3)=INT($C69), TEXT($C69, "dd-mmm"), "")</f>
        <v/>
      </c>
      <c r="AL69" s="84" t="str">
        <f aca="false">IF(INT(AL$3)=INT($C69), TEXT($C69, "dd-mmm"), "")</f>
        <v/>
      </c>
      <c r="AM69" s="84" t="str">
        <f aca="false">IF(INT(AM$3)=INT($C69), TEXT($C69, "dd-mmm"), "")</f>
        <v/>
      </c>
      <c r="AN69" s="84" t="str">
        <f aca="false">IF(INT(AN$3)=INT($C69), TEXT($C69, "dd-mmm"), "")</f>
        <v/>
      </c>
      <c r="AO69" s="84" t="str">
        <f aca="false">IF(INT(AO$3)=INT($C69), TEXT($C69, "dd-mmm"), "")</f>
        <v/>
      </c>
      <c r="AP69" s="84" t="str">
        <f aca="false">IF(INT(AP$3)=INT($C69), TEXT($C69, "dd-mmm"), "")</f>
        <v/>
      </c>
      <c r="AQ69" s="84" t="str">
        <f aca="false">IF(INT(AQ$3)=INT($C69), TEXT($C69, "dd-mmm"), "")</f>
        <v/>
      </c>
      <c r="AR69" s="84" t="str">
        <f aca="false">IF(INT(AR$3)=INT($C69), TEXT($C69, "dd-mmm"), "")</f>
        <v/>
      </c>
      <c r="AS69" s="84" t="str">
        <f aca="false">IF(INT(AS$3)=INT($C69), TEXT($C69, "dd-mmm"), "")</f>
        <v/>
      </c>
      <c r="AT69" s="84" t="str">
        <f aca="false">IF(INT(AT$3)=INT($C69), TEXT($C69, "dd-mmm"), "")</f>
        <v/>
      </c>
      <c r="AU69" s="84" t="str">
        <f aca="false">IF(INT(AU$3)=INT($C69), TEXT($C69, "dd-mmm"), "")</f>
        <v/>
      </c>
      <c r="AV69" s="84" t="str">
        <f aca="false">IF(INT(AV$3)=INT($C69), TEXT($C69, "dd-mmm"), "")</f>
        <v/>
      </c>
      <c r="AW69" s="84" t="str">
        <f aca="false">IF(INT(AW$3)=INT($C69), TEXT($C69, "dd-mmm"), "")</f>
        <v/>
      </c>
      <c r="AX69" s="84" t="str">
        <f aca="false">IF(INT(AX$3)=INT($C69), TEXT($C69, "dd-mmm"), "")</f>
        <v/>
      </c>
      <c r="AY69" s="84" t="str">
        <f aca="false">IF(INT(AY$3)=INT($C69), TEXT($C69, "dd-mmm"), "")</f>
        <v/>
      </c>
      <c r="AZ69" s="84" t="str">
        <f aca="false">IF(INT(AZ$3)=INT($C69), TEXT($C69, "dd-mmm"), "")</f>
        <v/>
      </c>
      <c r="BA69" s="84" t="str">
        <f aca="false">IF(INT(BA$3)=INT($C69), TEXT($C69, "dd-mmm"), "")</f>
        <v/>
      </c>
      <c r="BB69" s="84" t="str">
        <f aca="false">IF(INT(BB$3)=INT($C69), TEXT($C69, "dd-mmm"), "")</f>
        <v/>
      </c>
      <c r="BC69" s="84" t="str">
        <f aca="false">IF(INT(BC$3)=INT($C69), TEXT($C69, "dd-mmm"), "")</f>
        <v/>
      </c>
      <c r="BD69" s="84" t="str">
        <f aca="false">IF(INT(BD$3)=INT($C69), TEXT($C69, "dd-mmm"), "")</f>
        <v/>
      </c>
      <c r="BE69" s="84" t="str">
        <f aca="false">IF(INT(BE$3)=INT($C69), TEXT($C69, "dd-mmm"), "")</f>
        <v/>
      </c>
      <c r="BF69" s="84" t="str">
        <f aca="false">IF(INT(BF$3)=INT($C69), TEXT($C69, "dd-mmm"), "")</f>
        <v/>
      </c>
      <c r="BG69" s="84" t="str">
        <f aca="false">IF(INT(BG$3)=INT($C69), TEXT($C69, "dd-mmm"), "")</f>
        <v/>
      </c>
      <c r="BH69" s="84" t="str">
        <f aca="false">IF(INT(BH$3)=INT($C69), TEXT($C69, "dd-mmm"), "")</f>
        <v/>
      </c>
      <c r="BI69" s="84" t="str">
        <f aca="false">IF(INT(BI$3)=INT($C69), TEXT($C69, "dd-mmm"), "")</f>
        <v/>
      </c>
      <c r="BJ69" s="84" t="str">
        <f aca="false">IF(INT(BJ$3)=INT($C69), TEXT($C69, "dd-mmm"), "")</f>
        <v/>
      </c>
      <c r="BK69" s="84" t="str">
        <f aca="false">IF(INT(BK$3)=INT($C69), TEXT($C69, "dd-mmm"), "")</f>
        <v/>
      </c>
      <c r="BL69" s="84" t="str">
        <f aca="false">IF(INT(BL$3)=INT($C69), TEXT($C69, "dd-mmm"), "")</f>
        <v/>
      </c>
      <c r="BM69" s="84" t="str">
        <f aca="false">IF(INT(BM$3)=INT($C69), TEXT($C69, "dd-mmm"), "")</f>
        <v/>
      </c>
      <c r="BN69" s="84" t="str">
        <f aca="false">IF(INT(BN$3)=INT($C69), TEXT($C69, "dd-mmm"), "")</f>
        <v/>
      </c>
    </row>
    <row r="70" customFormat="false" ht="15" hidden="false" customHeight="true" outlineLevel="0" collapsed="false">
      <c r="A70" s="4" t="str">
        <f aca="false">Machine_List!A70</f>
        <v>VENT</v>
      </c>
      <c r="B70" s="4" t="str">
        <f aca="false">Machine_List!B70</f>
        <v>VENT-MC-07</v>
      </c>
      <c r="C70" s="12" t="n">
        <f aca="false">Machine_List!C70</f>
        <v>46234</v>
      </c>
      <c r="D70" s="4" t="n">
        <f aca="false">Machine_List!D70</f>
        <v>6</v>
      </c>
      <c r="E70" s="4" t="n">
        <f aca="true">C70-TODAY()</f>
        <v>116</v>
      </c>
      <c r="F70" s="4" t="str">
        <f aca="false">IF(E70&lt;0,"OVERDUE",IF(E70&lt;=5,"DUE SOON","OK"))</f>
        <v>OK</v>
      </c>
      <c r="G70" s="84" t="str">
        <f aca="false">IF(INT(G$3)=INT($C70), TEXT($C70, "dd-mmm"), "")</f>
        <v/>
      </c>
      <c r="H70" s="84" t="str">
        <f aca="false">IF(INT(H$3)=INT($C70), TEXT($C70, "dd-mmm"), "")</f>
        <v/>
      </c>
      <c r="I70" s="84" t="str">
        <f aca="false">IF(INT(I$3)=INT($C70), TEXT($C70, "dd-mmm"), "")</f>
        <v/>
      </c>
      <c r="J70" s="84" t="str">
        <f aca="false">IF(INT(J$3)=INT($C70), TEXT($C70, "dd-mmm"), "")</f>
        <v/>
      </c>
      <c r="K70" s="84" t="str">
        <f aca="false">IF(INT(K$3)=INT($C70), TEXT($C70, "dd-mmm"), "")</f>
        <v/>
      </c>
      <c r="L70" s="84" t="str">
        <f aca="false">IF(INT(L$3)=INT($C70), TEXT($C70, "dd-mmm"), "")</f>
        <v/>
      </c>
      <c r="M70" s="84" t="str">
        <f aca="false">IF(INT(M$3)=INT($C70), TEXT($C70, "dd-mmm"), "")</f>
        <v/>
      </c>
      <c r="N70" s="84" t="str">
        <f aca="false">IF(INT(N$3)=INT($C70), TEXT($C70, "dd-mmm"), "")</f>
        <v/>
      </c>
      <c r="O70" s="84" t="str">
        <f aca="false">IF(INT(O$3)=INT($C70), TEXT($C70, "dd-mmm"), "")</f>
        <v/>
      </c>
      <c r="P70" s="84" t="str">
        <f aca="false">IF(INT(P$3)=INT($C70), TEXT($C70, "dd-mmm"), "")</f>
        <v/>
      </c>
      <c r="Q70" s="84" t="str">
        <f aca="false">IF(INT(Q$3)=INT($C70), TEXT($C70, "dd-mmm"), "")</f>
        <v/>
      </c>
      <c r="R70" s="84" t="str">
        <f aca="false">IF(INT(R$3)=INT($C70), TEXT($C70, "dd-mmm"), "")</f>
        <v/>
      </c>
      <c r="S70" s="84" t="str">
        <f aca="false">IF(INT(S$3)=INT($C70), TEXT($C70, "dd-mmm"), "")</f>
        <v/>
      </c>
      <c r="T70" s="84" t="str">
        <f aca="false">IF(INT(T$3)=INT($C70), TEXT($C70, "dd-mmm"), "")</f>
        <v/>
      </c>
      <c r="U70" s="84" t="str">
        <f aca="false">IF(INT(U$3)=INT($C70), TEXT($C70, "dd-mmm"), "")</f>
        <v/>
      </c>
      <c r="V70" s="84" t="str">
        <f aca="false">IF(INT(V$3)=INT($C70), TEXT($C70, "dd-mmm"), "")</f>
        <v/>
      </c>
      <c r="W70" s="84" t="str">
        <f aca="false">IF(INT(W$3)=INT($C70), TEXT($C70, "dd-mmm"), "")</f>
        <v/>
      </c>
      <c r="X70" s="84" t="str">
        <f aca="false">IF(INT(X$3)=INT($C70), TEXT($C70, "dd-mmm"), "")</f>
        <v/>
      </c>
      <c r="Y70" s="84" t="str">
        <f aca="false">IF(INT(Y$3)=INT($C70), TEXT($C70, "dd-mmm"), "")</f>
        <v/>
      </c>
      <c r="Z70" s="84" t="str">
        <f aca="false">IF(INT(Z$3)=INT($C70), TEXT($C70, "dd-mmm"), "")</f>
        <v/>
      </c>
      <c r="AA70" s="84" t="str">
        <f aca="false">IF(INT(AA$3)=INT($C70), TEXT($C70, "dd-mmm"), "")</f>
        <v/>
      </c>
      <c r="AB70" s="84" t="str">
        <f aca="false">IF(INT(AB$3)=INT($C70), TEXT($C70, "dd-mmm"), "")</f>
        <v/>
      </c>
      <c r="AC70" s="84" t="str">
        <f aca="false">IF(INT(AC$3)=INT($C70), TEXT($C70, "dd-mmm"), "")</f>
        <v/>
      </c>
      <c r="AD70" s="84" t="str">
        <f aca="false">IF(INT(AD$3)=INT($C70), TEXT($C70, "dd-mmm"), "")</f>
        <v/>
      </c>
      <c r="AE70" s="84" t="str">
        <f aca="false">IF(INT(AE$3)=INT($C70), TEXT($C70, "dd-mmm"), "")</f>
        <v/>
      </c>
      <c r="AF70" s="84" t="str">
        <f aca="false">IF(INT(AF$3)=INT($C70), TEXT($C70, "dd-mmm"), "")</f>
        <v/>
      </c>
      <c r="AG70" s="84" t="str">
        <f aca="false">IF(INT(AG$3)=INT($C70), TEXT($C70, "dd-mmm"), "")</f>
        <v/>
      </c>
      <c r="AH70" s="84" t="str">
        <f aca="false">IF(INT(AH$3)=INT($C70), TEXT($C70, "dd-mmm"), "")</f>
        <v/>
      </c>
      <c r="AI70" s="84" t="str">
        <f aca="false">IF(INT(AI$3)=INT($C70), TEXT($C70, "dd-mmm"), "")</f>
        <v/>
      </c>
      <c r="AJ70" s="84" t="str">
        <f aca="false">IF(INT(AJ$3)=INT($C70), TEXT($C70, "dd-mmm"), "")</f>
        <v/>
      </c>
      <c r="AK70" s="84" t="str">
        <f aca="false">IF(INT(AK$3)=INT($C70), TEXT($C70, "dd-mmm"), "")</f>
        <v/>
      </c>
      <c r="AL70" s="84" t="str">
        <f aca="false">IF(INT(AL$3)=INT($C70), TEXT($C70, "dd-mmm"), "")</f>
        <v/>
      </c>
      <c r="AM70" s="84" t="str">
        <f aca="false">IF(INT(AM$3)=INT($C70), TEXT($C70, "dd-mmm"), "")</f>
        <v/>
      </c>
      <c r="AN70" s="84" t="str">
        <f aca="false">IF(INT(AN$3)=INT($C70), TEXT($C70, "dd-mmm"), "")</f>
        <v/>
      </c>
      <c r="AO70" s="84" t="str">
        <f aca="false">IF(INT(AO$3)=INT($C70), TEXT($C70, "dd-mmm"), "")</f>
        <v/>
      </c>
      <c r="AP70" s="84" t="str">
        <f aca="false">IF(INT(AP$3)=INT($C70), TEXT($C70, "dd-mmm"), "")</f>
        <v/>
      </c>
      <c r="AQ70" s="84" t="str">
        <f aca="false">IF(INT(AQ$3)=INT($C70), TEXT($C70, "dd-mmm"), "")</f>
        <v/>
      </c>
      <c r="AR70" s="84" t="str">
        <f aca="false">IF(INT(AR$3)=INT($C70), TEXT($C70, "dd-mmm"), "")</f>
        <v/>
      </c>
      <c r="AS70" s="84" t="str">
        <f aca="false">IF(INT(AS$3)=INT($C70), TEXT($C70, "dd-mmm"), "")</f>
        <v/>
      </c>
      <c r="AT70" s="84" t="str">
        <f aca="false">IF(INT(AT$3)=INT($C70), TEXT($C70, "dd-mmm"), "")</f>
        <v/>
      </c>
      <c r="AU70" s="84" t="str">
        <f aca="false">IF(INT(AU$3)=INT($C70), TEXT($C70, "dd-mmm"), "")</f>
        <v/>
      </c>
      <c r="AV70" s="84" t="str">
        <f aca="false">IF(INT(AV$3)=INT($C70), TEXT($C70, "dd-mmm"), "")</f>
        <v/>
      </c>
      <c r="AW70" s="84" t="str">
        <f aca="false">IF(INT(AW$3)=INT($C70), TEXT($C70, "dd-mmm"), "")</f>
        <v/>
      </c>
      <c r="AX70" s="84" t="str">
        <f aca="false">IF(INT(AX$3)=INT($C70), TEXT($C70, "dd-mmm"), "")</f>
        <v/>
      </c>
      <c r="AY70" s="84" t="str">
        <f aca="false">IF(INT(AY$3)=INT($C70), TEXT($C70, "dd-mmm"), "")</f>
        <v/>
      </c>
      <c r="AZ70" s="84" t="str">
        <f aca="false">IF(INT(AZ$3)=INT($C70), TEXT($C70, "dd-mmm"), "")</f>
        <v/>
      </c>
      <c r="BA70" s="84" t="str">
        <f aca="false">IF(INT(BA$3)=INT($C70), TEXT($C70, "dd-mmm"), "")</f>
        <v/>
      </c>
      <c r="BB70" s="84" t="str">
        <f aca="false">IF(INT(BB$3)=INT($C70), TEXT($C70, "dd-mmm"), "")</f>
        <v/>
      </c>
      <c r="BC70" s="84" t="str">
        <f aca="false">IF(INT(BC$3)=INT($C70), TEXT($C70, "dd-mmm"), "")</f>
        <v/>
      </c>
      <c r="BD70" s="84" t="str">
        <f aca="false">IF(INT(BD$3)=INT($C70), TEXT($C70, "dd-mmm"), "")</f>
        <v/>
      </c>
      <c r="BE70" s="84" t="str">
        <f aca="false">IF(INT(BE$3)=INT($C70), TEXT($C70, "dd-mmm"), "")</f>
        <v/>
      </c>
      <c r="BF70" s="84" t="str">
        <f aca="false">IF(INT(BF$3)=INT($C70), TEXT($C70, "dd-mmm"), "")</f>
        <v/>
      </c>
      <c r="BG70" s="84" t="str">
        <f aca="false">IF(INT(BG$3)=INT($C70), TEXT($C70, "dd-mmm"), "")</f>
        <v/>
      </c>
      <c r="BH70" s="84" t="str">
        <f aca="false">IF(INT(BH$3)=INT($C70), TEXT($C70, "dd-mmm"), "")</f>
        <v/>
      </c>
      <c r="BI70" s="84" t="str">
        <f aca="false">IF(INT(BI$3)=INT($C70), TEXT($C70, "dd-mmm"), "")</f>
        <v/>
      </c>
      <c r="BJ70" s="84" t="str">
        <f aca="false">IF(INT(BJ$3)=INT($C70), TEXT($C70, "dd-mmm"), "")</f>
        <v/>
      </c>
      <c r="BK70" s="84" t="str">
        <f aca="false">IF(INT(BK$3)=INT($C70), TEXT($C70, "dd-mmm"), "")</f>
        <v/>
      </c>
      <c r="BL70" s="84" t="str">
        <f aca="false">IF(INT(BL$3)=INT($C70), TEXT($C70, "dd-mmm"), "")</f>
        <v/>
      </c>
      <c r="BM70" s="84" t="str">
        <f aca="false">IF(INT(BM$3)=INT($C70), TEXT($C70, "dd-mmm"), "")</f>
        <v/>
      </c>
      <c r="BN70" s="84" t="str">
        <f aca="false">IF(INT(BN$3)=INT($C70), TEXT($C70, "dd-mmm"), "")</f>
        <v/>
      </c>
    </row>
    <row r="71" customFormat="false" ht="15" hidden="false" customHeight="true" outlineLevel="0" collapsed="false">
      <c r="A71" s="4" t="str">
        <f aca="false">Machine_List!A71</f>
        <v>VENT</v>
      </c>
      <c r="B71" s="4" t="str">
        <f aca="false">Machine_List!B71</f>
        <v>VENT-MC-08</v>
      </c>
      <c r="C71" s="12" t="n">
        <f aca="false">Machine_List!C71</f>
        <v>46138</v>
      </c>
      <c r="D71" s="4" t="n">
        <f aca="false">Machine_List!D71</f>
        <v>6</v>
      </c>
      <c r="E71" s="4" t="n">
        <f aca="true">C71-TODAY()</f>
        <v>20</v>
      </c>
      <c r="F71" s="4" t="str">
        <f aca="false">IF(E71&lt;0,"OVERDUE",IF(E71&lt;=5,"DUE SOON","OK"))</f>
        <v>OK</v>
      </c>
      <c r="G71" s="84" t="str">
        <f aca="false">IF(INT(G$3)=INT($C71), TEXT($C71, "dd-mmm"), "")</f>
        <v/>
      </c>
      <c r="H71" s="84" t="str">
        <f aca="false">IF(INT(H$3)=INT($C71), TEXT($C71, "dd-mmm"), "")</f>
        <v/>
      </c>
      <c r="I71" s="84" t="str">
        <f aca="false">IF(INT(I$3)=INT($C71), TEXT($C71, "dd-mmm"), "")</f>
        <v/>
      </c>
      <c r="J71" s="84" t="str">
        <f aca="false">IF(INT(J$3)=INT($C71), TEXT($C71, "dd-mmm"), "")</f>
        <v/>
      </c>
      <c r="K71" s="84" t="str">
        <f aca="false">IF(INT(K$3)=INT($C71), TEXT($C71, "dd-mmm"), "")</f>
        <v/>
      </c>
      <c r="L71" s="84" t="str">
        <f aca="false">IF(INT(L$3)=INT($C71), TEXT($C71, "dd-mmm"), "")</f>
        <v/>
      </c>
      <c r="M71" s="84" t="str">
        <f aca="false">IF(INT(M$3)=INT($C71), TEXT($C71, "dd-mmm"), "")</f>
        <v/>
      </c>
      <c r="N71" s="84" t="str">
        <f aca="false">IF(INT(N$3)=INT($C71), TEXT($C71, "dd-mmm"), "")</f>
        <v/>
      </c>
      <c r="O71" s="84" t="str">
        <f aca="false">IF(INT(O$3)=INT($C71), TEXT($C71, "dd-mmm"), "")</f>
        <v/>
      </c>
      <c r="P71" s="84" t="str">
        <f aca="false">IF(INT(P$3)=INT($C71), TEXT($C71, "dd-mmm"), "")</f>
        <v/>
      </c>
      <c r="Q71" s="84" t="str">
        <f aca="false">IF(INT(Q$3)=INT($C71), TEXT($C71, "dd-mmm"), "")</f>
        <v/>
      </c>
      <c r="R71" s="84" t="str">
        <f aca="false">IF(INT(R$3)=INT($C71), TEXT($C71, "dd-mmm"), "")</f>
        <v/>
      </c>
      <c r="S71" s="84" t="str">
        <f aca="false">IF(INT(S$3)=INT($C71), TEXT($C71, "dd-mmm"), "")</f>
        <v/>
      </c>
      <c r="T71" s="84" t="str">
        <f aca="false">IF(INT(T$3)=INT($C71), TEXT($C71, "dd-mmm"), "")</f>
        <v/>
      </c>
      <c r="U71" s="84" t="str">
        <f aca="false">IF(INT(U$3)=INT($C71), TEXT($C71, "dd-mmm"), "")</f>
        <v/>
      </c>
      <c r="V71" s="84" t="str">
        <f aca="false">IF(INT(V$3)=INT($C71), TEXT($C71, "dd-mmm"), "")</f>
        <v/>
      </c>
      <c r="W71" s="84" t="str">
        <f aca="false">IF(INT(W$3)=INT($C71), TEXT($C71, "dd-mmm"), "")</f>
        <v/>
      </c>
      <c r="X71" s="84" t="str">
        <f aca="false">IF(INT(X$3)=INT($C71), TEXT($C71, "dd-mmm"), "")</f>
        <v/>
      </c>
      <c r="Y71" s="84" t="str">
        <f aca="false">IF(INT(Y$3)=INT($C71), TEXT($C71, "dd-mmm"), "")</f>
        <v/>
      </c>
      <c r="Z71" s="84" t="str">
        <f aca="false">IF(INT(Z$3)=INT($C71), TEXT($C71, "dd-mmm"), "")</f>
        <v/>
      </c>
      <c r="AA71" s="84" t="str">
        <f aca="false">IF(INT(AA$3)=INT($C71), TEXT($C71, "dd-mmm"), "")</f>
        <v/>
      </c>
      <c r="AB71" s="84" t="str">
        <f aca="false">IF(INT(AB$3)=INT($C71), TEXT($C71, "dd-mmm"), "")</f>
        <v/>
      </c>
      <c r="AC71" s="84" t="str">
        <f aca="false">IF(INT(AC$3)=INT($C71), TEXT($C71, "dd-mmm"), "")</f>
        <v/>
      </c>
      <c r="AD71" s="84" t="str">
        <f aca="false">IF(INT(AD$3)=INT($C71), TEXT($C71, "dd-mmm"), "")</f>
        <v/>
      </c>
      <c r="AE71" s="84" t="str">
        <f aca="false">IF(INT(AE$3)=INT($C71), TEXT($C71, "dd-mmm"), "")</f>
        <v/>
      </c>
      <c r="AF71" s="84" t="str">
        <f aca="false">IF(INT(AF$3)=INT($C71), TEXT($C71, "dd-mmm"), "")</f>
        <v>26-Apr</v>
      </c>
      <c r="AG71" s="84" t="str">
        <f aca="false">IF(INT(AG$3)=INT($C71), TEXT($C71, "dd-mmm"), "")</f>
        <v/>
      </c>
      <c r="AH71" s="84" t="str">
        <f aca="false">IF(INT(AH$3)=INT($C71), TEXT($C71, "dd-mmm"), "")</f>
        <v/>
      </c>
      <c r="AI71" s="84" t="str">
        <f aca="false">IF(INT(AI$3)=INT($C71), TEXT($C71, "dd-mmm"), "")</f>
        <v/>
      </c>
      <c r="AJ71" s="84" t="str">
        <f aca="false">IF(INT(AJ$3)=INT($C71), TEXT($C71, "dd-mmm"), "")</f>
        <v/>
      </c>
      <c r="AK71" s="84" t="str">
        <f aca="false">IF(INT(AK$3)=INT($C71), TEXT($C71, "dd-mmm"), "")</f>
        <v/>
      </c>
      <c r="AL71" s="84" t="str">
        <f aca="false">IF(INT(AL$3)=INT($C71), TEXT($C71, "dd-mmm"), "")</f>
        <v/>
      </c>
      <c r="AM71" s="84" t="str">
        <f aca="false">IF(INT(AM$3)=INT($C71), TEXT($C71, "dd-mmm"), "")</f>
        <v/>
      </c>
      <c r="AN71" s="84" t="str">
        <f aca="false">IF(INT(AN$3)=INT($C71), TEXT($C71, "dd-mmm"), "")</f>
        <v/>
      </c>
      <c r="AO71" s="84" t="str">
        <f aca="false">IF(INT(AO$3)=INT($C71), TEXT($C71, "dd-mmm"), "")</f>
        <v/>
      </c>
      <c r="AP71" s="84" t="str">
        <f aca="false">IF(INT(AP$3)=INT($C71), TEXT($C71, "dd-mmm"), "")</f>
        <v/>
      </c>
      <c r="AQ71" s="84" t="str">
        <f aca="false">IF(INT(AQ$3)=INT($C71), TEXT($C71, "dd-mmm"), "")</f>
        <v/>
      </c>
      <c r="AR71" s="84" t="str">
        <f aca="false">IF(INT(AR$3)=INT($C71), TEXT($C71, "dd-mmm"), "")</f>
        <v/>
      </c>
      <c r="AS71" s="84" t="str">
        <f aca="false">IF(INT(AS$3)=INT($C71), TEXT($C71, "dd-mmm"), "")</f>
        <v/>
      </c>
      <c r="AT71" s="84" t="str">
        <f aca="false">IF(INT(AT$3)=INT($C71), TEXT($C71, "dd-mmm"), "")</f>
        <v/>
      </c>
      <c r="AU71" s="84" t="str">
        <f aca="false">IF(INT(AU$3)=INT($C71), TEXT($C71, "dd-mmm"), "")</f>
        <v/>
      </c>
      <c r="AV71" s="84" t="str">
        <f aca="false">IF(INT(AV$3)=INT($C71), TEXT($C71, "dd-mmm"), "")</f>
        <v/>
      </c>
      <c r="AW71" s="84" t="str">
        <f aca="false">IF(INT(AW$3)=INT($C71), TEXT($C71, "dd-mmm"), "")</f>
        <v/>
      </c>
      <c r="AX71" s="84" t="str">
        <f aca="false">IF(INT(AX$3)=INT($C71), TEXT($C71, "dd-mmm"), "")</f>
        <v/>
      </c>
      <c r="AY71" s="84" t="str">
        <f aca="false">IF(INT(AY$3)=INT($C71), TEXT($C71, "dd-mmm"), "")</f>
        <v/>
      </c>
      <c r="AZ71" s="84" t="str">
        <f aca="false">IF(INT(AZ$3)=INT($C71), TEXT($C71, "dd-mmm"), "")</f>
        <v/>
      </c>
      <c r="BA71" s="84" t="str">
        <f aca="false">IF(INT(BA$3)=INT($C71), TEXT($C71, "dd-mmm"), "")</f>
        <v/>
      </c>
      <c r="BB71" s="84" t="str">
        <f aca="false">IF(INT(BB$3)=INT($C71), TEXT($C71, "dd-mmm"), "")</f>
        <v/>
      </c>
      <c r="BC71" s="84" t="str">
        <f aca="false">IF(INT(BC$3)=INT($C71), TEXT($C71, "dd-mmm"), "")</f>
        <v/>
      </c>
      <c r="BD71" s="84" t="str">
        <f aca="false">IF(INT(BD$3)=INT($C71), TEXT($C71, "dd-mmm"), "")</f>
        <v/>
      </c>
      <c r="BE71" s="84" t="str">
        <f aca="false">IF(INT(BE$3)=INT($C71), TEXT($C71, "dd-mmm"), "")</f>
        <v/>
      </c>
      <c r="BF71" s="84" t="str">
        <f aca="false">IF(INT(BF$3)=INT($C71), TEXT($C71, "dd-mmm"), "")</f>
        <v/>
      </c>
      <c r="BG71" s="84" t="str">
        <f aca="false">IF(INT(BG$3)=INT($C71), TEXT($C71, "dd-mmm"), "")</f>
        <v/>
      </c>
      <c r="BH71" s="84" t="str">
        <f aca="false">IF(INT(BH$3)=INT($C71), TEXT($C71, "dd-mmm"), "")</f>
        <v/>
      </c>
      <c r="BI71" s="84" t="str">
        <f aca="false">IF(INT(BI$3)=INT($C71), TEXT($C71, "dd-mmm"), "")</f>
        <v/>
      </c>
      <c r="BJ71" s="84" t="str">
        <f aca="false">IF(INT(BJ$3)=INT($C71), TEXT($C71, "dd-mmm"), "")</f>
        <v/>
      </c>
      <c r="BK71" s="84" t="str">
        <f aca="false">IF(INT(BK$3)=INT($C71), TEXT($C71, "dd-mmm"), "")</f>
        <v/>
      </c>
      <c r="BL71" s="84" t="str">
        <f aca="false">IF(INT(BL$3)=INT($C71), TEXT($C71, "dd-mmm"), "")</f>
        <v/>
      </c>
      <c r="BM71" s="84" t="str">
        <f aca="false">IF(INT(BM$3)=INT($C71), TEXT($C71, "dd-mmm"), "")</f>
        <v/>
      </c>
      <c r="BN71" s="84" t="str">
        <f aca="false">IF(INT(BN$3)=INT($C71), TEXT($C71, "dd-mmm"), "")</f>
        <v/>
      </c>
    </row>
    <row r="72" customFormat="false" ht="15" hidden="false" customHeight="true" outlineLevel="0" collapsed="false">
      <c r="A72" s="4" t="str">
        <f aca="false">Machine_List!A72</f>
        <v>FID</v>
      </c>
      <c r="B72" s="4" t="str">
        <f aca="false">Machine_List!B72</f>
        <v>FID-MC-01</v>
      </c>
      <c r="C72" s="12" t="n">
        <f aca="false">Machine_List!C72</f>
        <v>46106</v>
      </c>
      <c r="D72" s="4" t="n">
        <f aca="false">Machine_List!D72</f>
        <v>6</v>
      </c>
      <c r="E72" s="4" t="n">
        <f aca="true">C72-TODAY()</f>
        <v>-12</v>
      </c>
      <c r="F72" s="4" t="str">
        <f aca="false">IF(E72&lt;0,"OVERDUE",IF(E72&lt;=5,"DUE SOON","OK"))</f>
        <v>OVERDUE</v>
      </c>
      <c r="G72" s="84" t="str">
        <f aca="false">IF(INT(G$3)=INT($C72), TEXT($C72, "dd-mmm"), "")</f>
        <v/>
      </c>
      <c r="H72" s="84" t="str">
        <f aca="false">IF(INT(H$3)=INT($C72), TEXT($C72, "dd-mmm"), "")</f>
        <v/>
      </c>
      <c r="I72" s="84" t="str">
        <f aca="false">IF(INT(I$3)=INT($C72), TEXT($C72, "dd-mmm"), "")</f>
        <v/>
      </c>
      <c r="J72" s="84" t="str">
        <f aca="false">IF(INT(J$3)=INT($C72), TEXT($C72, "dd-mmm"), "")</f>
        <v/>
      </c>
      <c r="K72" s="84" t="str">
        <f aca="false">IF(INT(K$3)=INT($C72), TEXT($C72, "dd-mmm"), "")</f>
        <v/>
      </c>
      <c r="L72" s="84" t="str">
        <f aca="false">IF(INT(L$3)=INT($C72), TEXT($C72, "dd-mmm"), "")</f>
        <v/>
      </c>
      <c r="M72" s="84" t="str">
        <f aca="false">IF(INT(M$3)=INT($C72), TEXT($C72, "dd-mmm"), "")</f>
        <v/>
      </c>
      <c r="N72" s="84" t="str">
        <f aca="false">IF(INT(N$3)=INT($C72), TEXT($C72, "dd-mmm"), "")</f>
        <v/>
      </c>
      <c r="O72" s="84" t="str">
        <f aca="false">IF(INT(O$3)=INT($C72), TEXT($C72, "dd-mmm"), "")</f>
        <v/>
      </c>
      <c r="P72" s="84" t="str">
        <f aca="false">IF(INT(P$3)=INT($C72), TEXT($C72, "dd-mmm"), "")</f>
        <v/>
      </c>
      <c r="Q72" s="84" t="str">
        <f aca="false">IF(INT(Q$3)=INT($C72), TEXT($C72, "dd-mmm"), "")</f>
        <v/>
      </c>
      <c r="R72" s="84" t="str">
        <f aca="false">IF(INT(R$3)=INT($C72), TEXT($C72, "dd-mmm"), "")</f>
        <v/>
      </c>
      <c r="S72" s="84" t="str">
        <f aca="false">IF(INT(S$3)=INT($C72), TEXT($C72, "dd-mmm"), "")</f>
        <v/>
      </c>
      <c r="T72" s="84" t="str">
        <f aca="false">IF(INT(T$3)=INT($C72), TEXT($C72, "dd-mmm"), "")</f>
        <v/>
      </c>
      <c r="U72" s="84" t="str">
        <f aca="false">IF(INT(U$3)=INT($C72), TEXT($C72, "dd-mmm"), "")</f>
        <v/>
      </c>
      <c r="V72" s="84" t="str">
        <f aca="false">IF(INT(V$3)=INT($C72), TEXT($C72, "dd-mmm"), "")</f>
        <v/>
      </c>
      <c r="W72" s="84" t="str">
        <f aca="false">IF(INT(W$3)=INT($C72), TEXT($C72, "dd-mmm"), "")</f>
        <v/>
      </c>
      <c r="X72" s="84" t="str">
        <f aca="false">IF(INT(X$3)=INT($C72), TEXT($C72, "dd-mmm"), "")</f>
        <v/>
      </c>
      <c r="Y72" s="84" t="str">
        <f aca="false">IF(INT(Y$3)=INT($C72), TEXT($C72, "dd-mmm"), "")</f>
        <v/>
      </c>
      <c r="Z72" s="84" t="str">
        <f aca="false">IF(INT(Z$3)=INT($C72), TEXT($C72, "dd-mmm"), "")</f>
        <v/>
      </c>
      <c r="AA72" s="84" t="str">
        <f aca="false">IF(INT(AA$3)=INT($C72), TEXT($C72, "dd-mmm"), "")</f>
        <v/>
      </c>
      <c r="AB72" s="84" t="str">
        <f aca="false">IF(INT(AB$3)=INT($C72), TEXT($C72, "dd-mmm"), "")</f>
        <v/>
      </c>
      <c r="AC72" s="84" t="str">
        <f aca="false">IF(INT(AC$3)=INT($C72), TEXT($C72, "dd-mmm"), "")</f>
        <v/>
      </c>
      <c r="AD72" s="84" t="str">
        <f aca="false">IF(INT(AD$3)=INT($C72), TEXT($C72, "dd-mmm"), "")</f>
        <v/>
      </c>
      <c r="AE72" s="84" t="str">
        <f aca="false">IF(INT(AE$3)=INT($C72), TEXT($C72, "dd-mmm"), "")</f>
        <v/>
      </c>
      <c r="AF72" s="84" t="str">
        <f aca="false">IF(INT(AF$3)=INT($C72), TEXT($C72, "dd-mmm"), "")</f>
        <v/>
      </c>
      <c r="AG72" s="84" t="str">
        <f aca="false">IF(INT(AG$3)=INT($C72), TEXT($C72, "dd-mmm"), "")</f>
        <v/>
      </c>
      <c r="AH72" s="84" t="str">
        <f aca="false">IF(INT(AH$3)=INT($C72), TEXT($C72, "dd-mmm"), "")</f>
        <v/>
      </c>
      <c r="AI72" s="84" t="str">
        <f aca="false">IF(INT(AI$3)=INT($C72), TEXT($C72, "dd-mmm"), "")</f>
        <v/>
      </c>
      <c r="AJ72" s="84" t="str">
        <f aca="false">IF(INT(AJ$3)=INT($C72), TEXT($C72, "dd-mmm"), "")</f>
        <v/>
      </c>
      <c r="AK72" s="84" t="str">
        <f aca="false">IF(INT(AK$3)=INT($C72), TEXT($C72, "dd-mmm"), "")</f>
        <v/>
      </c>
      <c r="AL72" s="84" t="str">
        <f aca="false">IF(INT(AL$3)=INT($C72), TEXT($C72, "dd-mmm"), "")</f>
        <v/>
      </c>
      <c r="AM72" s="84" t="str">
        <f aca="false">IF(INT(AM$3)=INT($C72), TEXT($C72, "dd-mmm"), "")</f>
        <v/>
      </c>
      <c r="AN72" s="84" t="str">
        <f aca="false">IF(INT(AN$3)=INT($C72), TEXT($C72, "dd-mmm"), "")</f>
        <v/>
      </c>
      <c r="AO72" s="84" t="str">
        <f aca="false">IF(INT(AO$3)=INT($C72), TEXT($C72, "dd-mmm"), "")</f>
        <v/>
      </c>
      <c r="AP72" s="84" t="str">
        <f aca="false">IF(INT(AP$3)=INT($C72), TEXT($C72, "dd-mmm"), "")</f>
        <v/>
      </c>
      <c r="AQ72" s="84" t="str">
        <f aca="false">IF(INT(AQ$3)=INT($C72), TEXT($C72, "dd-mmm"), "")</f>
        <v/>
      </c>
      <c r="AR72" s="84" t="str">
        <f aca="false">IF(INT(AR$3)=INT($C72), TEXT($C72, "dd-mmm"), "")</f>
        <v/>
      </c>
      <c r="AS72" s="84" t="str">
        <f aca="false">IF(INT(AS$3)=INT($C72), TEXT($C72, "dd-mmm"), "")</f>
        <v/>
      </c>
      <c r="AT72" s="84" t="str">
        <f aca="false">IF(INT(AT$3)=INT($C72), TEXT($C72, "dd-mmm"), "")</f>
        <v/>
      </c>
      <c r="AU72" s="84" t="str">
        <f aca="false">IF(INT(AU$3)=INT($C72), TEXT($C72, "dd-mmm"), "")</f>
        <v/>
      </c>
      <c r="AV72" s="84" t="str">
        <f aca="false">IF(INT(AV$3)=INT($C72), TEXT($C72, "dd-mmm"), "")</f>
        <v/>
      </c>
      <c r="AW72" s="84" t="str">
        <f aca="false">IF(INT(AW$3)=INT($C72), TEXT($C72, "dd-mmm"), "")</f>
        <v/>
      </c>
      <c r="AX72" s="84" t="str">
        <f aca="false">IF(INT(AX$3)=INT($C72), TEXT($C72, "dd-mmm"), "")</f>
        <v/>
      </c>
      <c r="AY72" s="84" t="str">
        <f aca="false">IF(INT(AY$3)=INT($C72), TEXT($C72, "dd-mmm"), "")</f>
        <v/>
      </c>
      <c r="AZ72" s="84" t="str">
        <f aca="false">IF(INT(AZ$3)=INT($C72), TEXT($C72, "dd-mmm"), "")</f>
        <v/>
      </c>
      <c r="BA72" s="84" t="str">
        <f aca="false">IF(INT(BA$3)=INT($C72), TEXT($C72, "dd-mmm"), "")</f>
        <v/>
      </c>
      <c r="BB72" s="84" t="str">
        <f aca="false">IF(INT(BB$3)=INT($C72), TEXT($C72, "dd-mmm"), "")</f>
        <v/>
      </c>
      <c r="BC72" s="84" t="str">
        <f aca="false">IF(INT(BC$3)=INT($C72), TEXT($C72, "dd-mmm"), "")</f>
        <v/>
      </c>
      <c r="BD72" s="84" t="str">
        <f aca="false">IF(INT(BD$3)=INT($C72), TEXT($C72, "dd-mmm"), "")</f>
        <v/>
      </c>
      <c r="BE72" s="84" t="str">
        <f aca="false">IF(INT(BE$3)=INT($C72), TEXT($C72, "dd-mmm"), "")</f>
        <v/>
      </c>
      <c r="BF72" s="84" t="str">
        <f aca="false">IF(INT(BF$3)=INT($C72), TEXT($C72, "dd-mmm"), "")</f>
        <v/>
      </c>
      <c r="BG72" s="84" t="str">
        <f aca="false">IF(INT(BG$3)=INT($C72), TEXT($C72, "dd-mmm"), "")</f>
        <v/>
      </c>
      <c r="BH72" s="84" t="str">
        <f aca="false">IF(INT(BH$3)=INT($C72), TEXT($C72, "dd-mmm"), "")</f>
        <v/>
      </c>
      <c r="BI72" s="84" t="str">
        <f aca="false">IF(INT(BI$3)=INT($C72), TEXT($C72, "dd-mmm"), "")</f>
        <v/>
      </c>
      <c r="BJ72" s="84" t="str">
        <f aca="false">IF(INT(BJ$3)=INT($C72), TEXT($C72, "dd-mmm"), "")</f>
        <v/>
      </c>
      <c r="BK72" s="84" t="str">
        <f aca="false">IF(INT(BK$3)=INT($C72), TEXT($C72, "dd-mmm"), "")</f>
        <v/>
      </c>
      <c r="BL72" s="84" t="str">
        <f aca="false">IF(INT(BL$3)=INT($C72), TEXT($C72, "dd-mmm"), "")</f>
        <v/>
      </c>
      <c r="BM72" s="84" t="str">
        <f aca="false">IF(INT(BM$3)=INT($C72), TEXT($C72, "dd-mmm"), "")</f>
        <v/>
      </c>
      <c r="BN72" s="84" t="str">
        <f aca="false">IF(INT(BN$3)=INT($C72), TEXT($C72, "dd-mmm"), "")</f>
        <v/>
      </c>
    </row>
    <row r="73" customFormat="false" ht="15" hidden="false" customHeight="true" outlineLevel="0" collapsed="false">
      <c r="A73" s="4" t="str">
        <f aca="false">Machine_List!A73</f>
        <v>FID</v>
      </c>
      <c r="B73" s="4" t="str">
        <f aca="false">Machine_List!B73</f>
        <v>FID-MC-02</v>
      </c>
      <c r="C73" s="12" t="n">
        <f aca="false">Machine_List!C73</f>
        <v>46142</v>
      </c>
      <c r="D73" s="4" t="n">
        <f aca="false">Machine_List!D73</f>
        <v>6</v>
      </c>
      <c r="E73" s="4" t="n">
        <f aca="true">C73-TODAY()</f>
        <v>24</v>
      </c>
      <c r="F73" s="4" t="str">
        <f aca="false">IF(E73&lt;0,"OVERDUE",IF(E73&lt;=5,"DUE SOON","OK"))</f>
        <v>OK</v>
      </c>
      <c r="G73" s="84" t="str">
        <f aca="false">IF(INT(G$3)=INT($C73), TEXT($C73, "dd-mmm"), "")</f>
        <v/>
      </c>
      <c r="H73" s="84" t="str">
        <f aca="false">IF(INT(H$3)=INT($C73), TEXT($C73, "dd-mmm"), "")</f>
        <v/>
      </c>
      <c r="I73" s="84" t="str">
        <f aca="false">IF(INT(I$3)=INT($C73), TEXT($C73, "dd-mmm"), "")</f>
        <v/>
      </c>
      <c r="J73" s="84" t="str">
        <f aca="false">IF(INT(J$3)=INT($C73), TEXT($C73, "dd-mmm"), "")</f>
        <v/>
      </c>
      <c r="K73" s="84" t="str">
        <f aca="false">IF(INT(K$3)=INT($C73), TEXT($C73, "dd-mmm"), "")</f>
        <v/>
      </c>
      <c r="L73" s="84" t="str">
        <f aca="false">IF(INT(L$3)=INT($C73), TEXT($C73, "dd-mmm"), "")</f>
        <v/>
      </c>
      <c r="M73" s="84" t="str">
        <f aca="false">IF(INT(M$3)=INT($C73), TEXT($C73, "dd-mmm"), "")</f>
        <v/>
      </c>
      <c r="N73" s="84" t="str">
        <f aca="false">IF(INT(N$3)=INT($C73), TEXT($C73, "dd-mmm"), "")</f>
        <v/>
      </c>
      <c r="O73" s="84" t="str">
        <f aca="false">IF(INT(O$3)=INT($C73), TEXT($C73, "dd-mmm"), "")</f>
        <v/>
      </c>
      <c r="P73" s="84" t="str">
        <f aca="false">IF(INT(P$3)=INT($C73), TEXT($C73, "dd-mmm"), "")</f>
        <v/>
      </c>
      <c r="Q73" s="84" t="str">
        <f aca="false">IF(INT(Q$3)=INT($C73), TEXT($C73, "dd-mmm"), "")</f>
        <v/>
      </c>
      <c r="R73" s="84" t="str">
        <f aca="false">IF(INT(R$3)=INT($C73), TEXT($C73, "dd-mmm"), "")</f>
        <v/>
      </c>
      <c r="S73" s="84" t="str">
        <f aca="false">IF(INT(S$3)=INT($C73), TEXT($C73, "dd-mmm"), "")</f>
        <v/>
      </c>
      <c r="T73" s="84" t="str">
        <f aca="false">IF(INT(T$3)=INT($C73), TEXT($C73, "dd-mmm"), "")</f>
        <v/>
      </c>
      <c r="U73" s="84" t="str">
        <f aca="false">IF(INT(U$3)=INT($C73), TEXT($C73, "dd-mmm"), "")</f>
        <v/>
      </c>
      <c r="V73" s="84" t="str">
        <f aca="false">IF(INT(V$3)=INT($C73), TEXT($C73, "dd-mmm"), "")</f>
        <v/>
      </c>
      <c r="W73" s="84" t="str">
        <f aca="false">IF(INT(W$3)=INT($C73), TEXT($C73, "dd-mmm"), "")</f>
        <v/>
      </c>
      <c r="X73" s="84" t="str">
        <f aca="false">IF(INT(X$3)=INT($C73), TEXT($C73, "dd-mmm"), "")</f>
        <v/>
      </c>
      <c r="Y73" s="84" t="str">
        <f aca="false">IF(INT(Y$3)=INT($C73), TEXT($C73, "dd-mmm"), "")</f>
        <v/>
      </c>
      <c r="Z73" s="84" t="str">
        <f aca="false">IF(INT(Z$3)=INT($C73), TEXT($C73, "dd-mmm"), "")</f>
        <v/>
      </c>
      <c r="AA73" s="84" t="str">
        <f aca="false">IF(INT(AA$3)=INT($C73), TEXT($C73, "dd-mmm"), "")</f>
        <v/>
      </c>
      <c r="AB73" s="84" t="str">
        <f aca="false">IF(INT(AB$3)=INT($C73), TEXT($C73, "dd-mmm"), "")</f>
        <v/>
      </c>
      <c r="AC73" s="84" t="str">
        <f aca="false">IF(INT(AC$3)=INT($C73), TEXT($C73, "dd-mmm"), "")</f>
        <v/>
      </c>
      <c r="AD73" s="84" t="str">
        <f aca="false">IF(INT(AD$3)=INT($C73), TEXT($C73, "dd-mmm"), "")</f>
        <v/>
      </c>
      <c r="AE73" s="84" t="str">
        <f aca="false">IF(INT(AE$3)=INT($C73), TEXT($C73, "dd-mmm"), "")</f>
        <v/>
      </c>
      <c r="AF73" s="84" t="str">
        <f aca="false">IF(INT(AF$3)=INT($C73), TEXT($C73, "dd-mmm"), "")</f>
        <v/>
      </c>
      <c r="AG73" s="84" t="str">
        <f aca="false">IF(INT(AG$3)=INT($C73), TEXT($C73, "dd-mmm"), "")</f>
        <v/>
      </c>
      <c r="AH73" s="84" t="str">
        <f aca="false">IF(INT(AH$3)=INT($C73), TEXT($C73, "dd-mmm"), "")</f>
        <v/>
      </c>
      <c r="AI73" s="84" t="str">
        <f aca="false">IF(INT(AI$3)=INT($C73), TEXT($C73, "dd-mmm"), "")</f>
        <v/>
      </c>
      <c r="AJ73" s="84" t="str">
        <f aca="false">IF(INT(AJ$3)=INT($C73), TEXT($C73, "dd-mmm"), "")</f>
        <v>30-Apr</v>
      </c>
      <c r="AK73" s="84" t="str">
        <f aca="false">IF(INT(AK$3)=INT($C73), TEXT($C73, "dd-mmm"), "")</f>
        <v/>
      </c>
      <c r="AL73" s="84" t="str">
        <f aca="false">IF(INT(AL$3)=INT($C73), TEXT($C73, "dd-mmm"), "")</f>
        <v/>
      </c>
      <c r="AM73" s="84" t="str">
        <f aca="false">IF(INT(AM$3)=INT($C73), TEXT($C73, "dd-mmm"), "")</f>
        <v/>
      </c>
      <c r="AN73" s="84" t="str">
        <f aca="false">IF(INT(AN$3)=INT($C73), TEXT($C73, "dd-mmm"), "")</f>
        <v/>
      </c>
      <c r="AO73" s="84" t="str">
        <f aca="false">IF(INT(AO$3)=INT($C73), TEXT($C73, "dd-mmm"), "")</f>
        <v/>
      </c>
      <c r="AP73" s="84" t="str">
        <f aca="false">IF(INT(AP$3)=INT($C73), TEXT($C73, "dd-mmm"), "")</f>
        <v/>
      </c>
      <c r="AQ73" s="84" t="str">
        <f aca="false">IF(INT(AQ$3)=INT($C73), TEXT($C73, "dd-mmm"), "")</f>
        <v/>
      </c>
      <c r="AR73" s="84" t="str">
        <f aca="false">IF(INT(AR$3)=INT($C73), TEXT($C73, "dd-mmm"), "")</f>
        <v/>
      </c>
      <c r="AS73" s="84" t="str">
        <f aca="false">IF(INT(AS$3)=INT($C73), TEXT($C73, "dd-mmm"), "")</f>
        <v/>
      </c>
      <c r="AT73" s="84" t="str">
        <f aca="false">IF(INT(AT$3)=INT($C73), TEXT($C73, "dd-mmm"), "")</f>
        <v/>
      </c>
      <c r="AU73" s="84" t="str">
        <f aca="false">IF(INT(AU$3)=INT($C73), TEXT($C73, "dd-mmm"), "")</f>
        <v/>
      </c>
      <c r="AV73" s="84" t="str">
        <f aca="false">IF(INT(AV$3)=INT($C73), TEXT($C73, "dd-mmm"), "")</f>
        <v/>
      </c>
      <c r="AW73" s="84" t="str">
        <f aca="false">IF(INT(AW$3)=INT($C73), TEXT($C73, "dd-mmm"), "")</f>
        <v/>
      </c>
      <c r="AX73" s="84" t="str">
        <f aca="false">IF(INT(AX$3)=INT($C73), TEXT($C73, "dd-mmm"), "")</f>
        <v/>
      </c>
      <c r="AY73" s="84" t="str">
        <f aca="false">IF(INT(AY$3)=INT($C73), TEXT($C73, "dd-mmm"), "")</f>
        <v/>
      </c>
      <c r="AZ73" s="84" t="str">
        <f aca="false">IF(INT(AZ$3)=INT($C73), TEXT($C73, "dd-mmm"), "")</f>
        <v/>
      </c>
      <c r="BA73" s="84" t="str">
        <f aca="false">IF(INT(BA$3)=INT($C73), TEXT($C73, "dd-mmm"), "")</f>
        <v/>
      </c>
      <c r="BB73" s="84" t="str">
        <f aca="false">IF(INT(BB$3)=INT($C73), TEXT($C73, "dd-mmm"), "")</f>
        <v/>
      </c>
      <c r="BC73" s="84" t="str">
        <f aca="false">IF(INT(BC$3)=INT($C73), TEXT($C73, "dd-mmm"), "")</f>
        <v/>
      </c>
      <c r="BD73" s="84" t="str">
        <f aca="false">IF(INT(BD$3)=INT($C73), TEXT($C73, "dd-mmm"), "")</f>
        <v/>
      </c>
      <c r="BE73" s="84" t="str">
        <f aca="false">IF(INT(BE$3)=INT($C73), TEXT($C73, "dd-mmm"), "")</f>
        <v/>
      </c>
      <c r="BF73" s="84" t="str">
        <f aca="false">IF(INT(BF$3)=INT($C73), TEXT($C73, "dd-mmm"), "")</f>
        <v/>
      </c>
      <c r="BG73" s="84" t="str">
        <f aca="false">IF(INT(BG$3)=INT($C73), TEXT($C73, "dd-mmm"), "")</f>
        <v/>
      </c>
      <c r="BH73" s="84" t="str">
        <f aca="false">IF(INT(BH$3)=INT($C73), TEXT($C73, "dd-mmm"), "")</f>
        <v/>
      </c>
      <c r="BI73" s="84" t="str">
        <f aca="false">IF(INT(BI$3)=INT($C73), TEXT($C73, "dd-mmm"), "")</f>
        <v/>
      </c>
      <c r="BJ73" s="84" t="str">
        <f aca="false">IF(INT(BJ$3)=INT($C73), TEXT($C73, "dd-mmm"), "")</f>
        <v/>
      </c>
      <c r="BK73" s="84" t="str">
        <f aca="false">IF(INT(BK$3)=INT($C73), TEXT($C73, "dd-mmm"), "")</f>
        <v/>
      </c>
      <c r="BL73" s="84" t="str">
        <f aca="false">IF(INT(BL$3)=INT($C73), TEXT($C73, "dd-mmm"), "")</f>
        <v/>
      </c>
      <c r="BM73" s="84" t="str">
        <f aca="false">IF(INT(BM$3)=INT($C73), TEXT($C73, "dd-mmm"), "")</f>
        <v/>
      </c>
      <c r="BN73" s="84" t="str">
        <f aca="false">IF(INT(BN$3)=INT($C73), TEXT($C73, "dd-mmm"), "")</f>
        <v/>
      </c>
    </row>
    <row r="74" customFormat="false" ht="15" hidden="false" customHeight="true" outlineLevel="0" collapsed="false">
      <c r="A74" s="4" t="str">
        <f aca="false">Machine_List!A74</f>
        <v>FID</v>
      </c>
      <c r="B74" s="4" t="str">
        <f aca="false">Machine_List!B74</f>
        <v>FID-MC-03</v>
      </c>
      <c r="C74" s="12" t="n">
        <f aca="false">Machine_List!C74</f>
        <v>46483</v>
      </c>
      <c r="D74" s="4" t="n">
        <f aca="false">Machine_List!D74</f>
        <v>6</v>
      </c>
      <c r="E74" s="4" t="n">
        <f aca="true">C74-TODAY()</f>
        <v>365</v>
      </c>
      <c r="F74" s="4" t="str">
        <f aca="false">IF(E74&lt;0,"OVERDUE",IF(E74&lt;=5,"DUE SOON","OK"))</f>
        <v>OK</v>
      </c>
      <c r="G74" s="84" t="str">
        <f aca="false">IF(INT(G$3)=INT($C74), TEXT($C74, "dd-mmm"), "")</f>
        <v/>
      </c>
      <c r="H74" s="84" t="str">
        <f aca="false">IF(INT(H$3)=INT($C74), TEXT($C74, "dd-mmm"), "")</f>
        <v/>
      </c>
      <c r="I74" s="84" t="str">
        <f aca="false">IF(INT(I$3)=INT($C74), TEXT($C74, "dd-mmm"), "")</f>
        <v/>
      </c>
      <c r="J74" s="84" t="str">
        <f aca="false">IF(INT(J$3)=INT($C74), TEXT($C74, "dd-mmm"), "")</f>
        <v/>
      </c>
      <c r="K74" s="84" t="str">
        <f aca="false">IF(INT(K$3)=INT($C74), TEXT($C74, "dd-mmm"), "")</f>
        <v/>
      </c>
      <c r="L74" s="84" t="str">
        <f aca="false">IF(INT(L$3)=INT($C74), TEXT($C74, "dd-mmm"), "")</f>
        <v/>
      </c>
      <c r="M74" s="84" t="str">
        <f aca="false">IF(INT(M$3)=INT($C74), TEXT($C74, "dd-mmm"), "")</f>
        <v/>
      </c>
      <c r="N74" s="84" t="str">
        <f aca="false">IF(INT(N$3)=INT($C74), TEXT($C74, "dd-mmm"), "")</f>
        <v/>
      </c>
      <c r="O74" s="84" t="str">
        <f aca="false">IF(INT(O$3)=INT($C74), TEXT($C74, "dd-mmm"), "")</f>
        <v/>
      </c>
      <c r="P74" s="84" t="str">
        <f aca="false">IF(INT(P$3)=INT($C74), TEXT($C74, "dd-mmm"), "")</f>
        <v/>
      </c>
      <c r="Q74" s="84" t="str">
        <f aca="false">IF(INT(Q$3)=INT($C74), TEXT($C74, "dd-mmm"), "")</f>
        <v/>
      </c>
      <c r="R74" s="84" t="str">
        <f aca="false">IF(INT(R$3)=INT($C74), TEXT($C74, "dd-mmm"), "")</f>
        <v/>
      </c>
      <c r="S74" s="84" t="str">
        <f aca="false">IF(INT(S$3)=INT($C74), TEXT($C74, "dd-mmm"), "")</f>
        <v/>
      </c>
      <c r="T74" s="84" t="str">
        <f aca="false">IF(INT(T$3)=INT($C74), TEXT($C74, "dd-mmm"), "")</f>
        <v/>
      </c>
      <c r="U74" s="84" t="str">
        <f aca="false">IF(INT(U$3)=INT($C74), TEXT($C74, "dd-mmm"), "")</f>
        <v/>
      </c>
      <c r="V74" s="84" t="str">
        <f aca="false">IF(INT(V$3)=INT($C74), TEXT($C74, "dd-mmm"), "")</f>
        <v/>
      </c>
      <c r="W74" s="84" t="str">
        <f aca="false">IF(INT(W$3)=INT($C74), TEXT($C74, "dd-mmm"), "")</f>
        <v/>
      </c>
      <c r="X74" s="84" t="str">
        <f aca="false">IF(INT(X$3)=INT($C74), TEXT($C74, "dd-mmm"), "")</f>
        <v/>
      </c>
      <c r="Y74" s="84" t="str">
        <f aca="false">IF(INT(Y$3)=INT($C74), TEXT($C74, "dd-mmm"), "")</f>
        <v/>
      </c>
      <c r="Z74" s="84" t="str">
        <f aca="false">IF(INT(Z$3)=INT($C74), TEXT($C74, "dd-mmm"), "")</f>
        <v/>
      </c>
      <c r="AA74" s="84" t="str">
        <f aca="false">IF(INT(AA$3)=INT($C74), TEXT($C74, "dd-mmm"), "")</f>
        <v/>
      </c>
      <c r="AB74" s="84" t="str">
        <f aca="false">IF(INT(AB$3)=INT($C74), TEXT($C74, "dd-mmm"), "")</f>
        <v/>
      </c>
      <c r="AC74" s="84" t="str">
        <f aca="false">IF(INT(AC$3)=INT($C74), TEXT($C74, "dd-mmm"), "")</f>
        <v/>
      </c>
      <c r="AD74" s="84" t="str">
        <f aca="false">IF(INT(AD$3)=INT($C74), TEXT($C74, "dd-mmm"), "")</f>
        <v/>
      </c>
      <c r="AE74" s="84" t="str">
        <f aca="false">IF(INT(AE$3)=INT($C74), TEXT($C74, "dd-mmm"), "")</f>
        <v/>
      </c>
      <c r="AF74" s="84" t="str">
        <f aca="false">IF(INT(AF$3)=INT($C74), TEXT($C74, "dd-mmm"), "")</f>
        <v/>
      </c>
      <c r="AG74" s="84" t="str">
        <f aca="false">IF(INT(AG$3)=INT($C74), TEXT($C74, "dd-mmm"), "")</f>
        <v/>
      </c>
      <c r="AH74" s="84" t="str">
        <f aca="false">IF(INT(AH$3)=INT($C74), TEXT($C74, "dd-mmm"), "")</f>
        <v/>
      </c>
      <c r="AI74" s="84" t="str">
        <f aca="false">IF(INT(AI$3)=INT($C74), TEXT($C74, "dd-mmm"), "")</f>
        <v/>
      </c>
      <c r="AJ74" s="84" t="str">
        <f aca="false">IF(INT(AJ$3)=INT($C74), TEXT($C74, "dd-mmm"), "")</f>
        <v/>
      </c>
      <c r="AK74" s="84" t="str">
        <f aca="false">IF(INT(AK$3)=INT($C74), TEXT($C74, "dd-mmm"), "")</f>
        <v/>
      </c>
      <c r="AL74" s="84" t="str">
        <f aca="false">IF(INT(AL$3)=INT($C74), TEXT($C74, "dd-mmm"), "")</f>
        <v/>
      </c>
      <c r="AM74" s="84" t="str">
        <f aca="false">IF(INT(AM$3)=INT($C74), TEXT($C74, "dd-mmm"), "")</f>
        <v/>
      </c>
      <c r="AN74" s="84" t="str">
        <f aca="false">IF(INT(AN$3)=INT($C74), TEXT($C74, "dd-mmm"), "")</f>
        <v/>
      </c>
      <c r="AO74" s="84" t="str">
        <f aca="false">IF(INT(AO$3)=INT($C74), TEXT($C74, "dd-mmm"), "")</f>
        <v/>
      </c>
      <c r="AP74" s="84" t="str">
        <f aca="false">IF(INT(AP$3)=INT($C74), TEXT($C74, "dd-mmm"), "")</f>
        <v/>
      </c>
      <c r="AQ74" s="84" t="str">
        <f aca="false">IF(INT(AQ$3)=INT($C74), TEXT($C74, "dd-mmm"), "")</f>
        <v/>
      </c>
      <c r="AR74" s="84" t="str">
        <f aca="false">IF(INT(AR$3)=INT($C74), TEXT($C74, "dd-mmm"), "")</f>
        <v/>
      </c>
      <c r="AS74" s="84" t="str">
        <f aca="false">IF(INT(AS$3)=INT($C74), TEXT($C74, "dd-mmm"), "")</f>
        <v/>
      </c>
      <c r="AT74" s="84" t="str">
        <f aca="false">IF(INT(AT$3)=INT($C74), TEXT($C74, "dd-mmm"), "")</f>
        <v/>
      </c>
      <c r="AU74" s="84" t="str">
        <f aca="false">IF(INT(AU$3)=INT($C74), TEXT($C74, "dd-mmm"), "")</f>
        <v/>
      </c>
      <c r="AV74" s="84" t="str">
        <f aca="false">IF(INT(AV$3)=INT($C74), TEXT($C74, "dd-mmm"), "")</f>
        <v/>
      </c>
      <c r="AW74" s="84" t="str">
        <f aca="false">IF(INT(AW$3)=INT($C74), TEXT($C74, "dd-mmm"), "")</f>
        <v/>
      </c>
      <c r="AX74" s="84" t="str">
        <f aca="false">IF(INT(AX$3)=INT($C74), TEXT($C74, "dd-mmm"), "")</f>
        <v/>
      </c>
      <c r="AY74" s="84" t="str">
        <f aca="false">IF(INT(AY$3)=INT($C74), TEXT($C74, "dd-mmm"), "")</f>
        <v/>
      </c>
      <c r="AZ74" s="84" t="str">
        <f aca="false">IF(INT(AZ$3)=INT($C74), TEXT($C74, "dd-mmm"), "")</f>
        <v/>
      </c>
      <c r="BA74" s="84" t="str">
        <f aca="false">IF(INT(BA$3)=INT($C74), TEXT($C74, "dd-mmm"), "")</f>
        <v/>
      </c>
      <c r="BB74" s="84" t="str">
        <f aca="false">IF(INT(BB$3)=INT($C74), TEXT($C74, "dd-mmm"), "")</f>
        <v/>
      </c>
      <c r="BC74" s="84" t="str">
        <f aca="false">IF(INT(BC$3)=INT($C74), TEXT($C74, "dd-mmm"), "")</f>
        <v/>
      </c>
      <c r="BD74" s="84" t="str">
        <f aca="false">IF(INT(BD$3)=INT($C74), TEXT($C74, "dd-mmm"), "")</f>
        <v/>
      </c>
      <c r="BE74" s="84" t="str">
        <f aca="false">IF(INT(BE$3)=INT($C74), TEXT($C74, "dd-mmm"), "")</f>
        <v/>
      </c>
      <c r="BF74" s="84" t="str">
        <f aca="false">IF(INT(BF$3)=INT($C74), TEXT($C74, "dd-mmm"), "")</f>
        <v/>
      </c>
      <c r="BG74" s="84" t="str">
        <f aca="false">IF(INT(BG$3)=INT($C74), TEXT($C74, "dd-mmm"), "")</f>
        <v/>
      </c>
      <c r="BH74" s="84" t="str">
        <f aca="false">IF(INT(BH$3)=INT($C74), TEXT($C74, "dd-mmm"), "")</f>
        <v/>
      </c>
      <c r="BI74" s="84" t="str">
        <f aca="false">IF(INT(BI$3)=INT($C74), TEXT($C74, "dd-mmm"), "")</f>
        <v/>
      </c>
      <c r="BJ74" s="84" t="str">
        <f aca="false">IF(INT(BJ$3)=INT($C74), TEXT($C74, "dd-mmm"), "")</f>
        <v/>
      </c>
      <c r="BK74" s="84" t="str">
        <f aca="false">IF(INT(BK$3)=INT($C74), TEXT($C74, "dd-mmm"), "")</f>
        <v/>
      </c>
      <c r="BL74" s="84" t="str">
        <f aca="false">IF(INT(BL$3)=INT($C74), TEXT($C74, "dd-mmm"), "")</f>
        <v/>
      </c>
      <c r="BM74" s="84" t="str">
        <f aca="false">IF(INT(BM$3)=INT($C74), TEXT($C74, "dd-mmm"), "")</f>
        <v/>
      </c>
      <c r="BN74" s="84" t="str">
        <f aca="false">IF(INT(BN$3)=INT($C74), TEXT($C74, "dd-mmm"), "")</f>
        <v/>
      </c>
    </row>
    <row r="75" customFormat="false" ht="15" hidden="false" customHeight="true" outlineLevel="0" collapsed="false">
      <c r="A75" s="4" t="str">
        <f aca="false">Machine_List!A75</f>
        <v>FID</v>
      </c>
      <c r="B75" s="4" t="str">
        <f aca="false">Machine_List!B75</f>
        <v>FID-MC-04</v>
      </c>
      <c r="C75" s="12" t="n">
        <f aca="false">Machine_List!C75</f>
        <v>46318</v>
      </c>
      <c r="D75" s="4" t="n">
        <f aca="false">Machine_List!D75</f>
        <v>6</v>
      </c>
      <c r="E75" s="4" t="n">
        <f aca="true">C75-TODAY()</f>
        <v>200</v>
      </c>
      <c r="F75" s="4" t="str">
        <f aca="false">IF(E75&lt;0,"OVERDUE",IF(E75&lt;=5,"DUE SOON","OK"))</f>
        <v>OK</v>
      </c>
      <c r="G75" s="84" t="str">
        <f aca="false">IF(INT(G$3)=INT($C75), TEXT($C75, "dd-mmm"), "")</f>
        <v/>
      </c>
      <c r="H75" s="84" t="str">
        <f aca="false">IF(INT(H$3)=INT($C75), TEXT($C75, "dd-mmm"), "")</f>
        <v/>
      </c>
      <c r="I75" s="84" t="str">
        <f aca="false">IF(INT(I$3)=INT($C75), TEXT($C75, "dd-mmm"), "")</f>
        <v/>
      </c>
      <c r="J75" s="84" t="str">
        <f aca="false">IF(INT(J$3)=INT($C75), TEXT($C75, "dd-mmm"), "")</f>
        <v/>
      </c>
      <c r="K75" s="84" t="str">
        <f aca="false">IF(INT(K$3)=INT($C75), TEXT($C75, "dd-mmm"), "")</f>
        <v/>
      </c>
      <c r="L75" s="84" t="str">
        <f aca="false">IF(INT(L$3)=INT($C75), TEXT($C75, "dd-mmm"), "")</f>
        <v/>
      </c>
      <c r="M75" s="84" t="str">
        <f aca="false">IF(INT(M$3)=INT($C75), TEXT($C75, "dd-mmm"), "")</f>
        <v/>
      </c>
      <c r="N75" s="84" t="str">
        <f aca="false">IF(INT(N$3)=INT($C75), TEXT($C75, "dd-mmm"), "")</f>
        <v/>
      </c>
      <c r="O75" s="84" t="str">
        <f aca="false">IF(INT(O$3)=INT($C75), TEXT($C75, "dd-mmm"), "")</f>
        <v/>
      </c>
      <c r="P75" s="84" t="str">
        <f aca="false">IF(INT(P$3)=INT($C75), TEXT($C75, "dd-mmm"), "")</f>
        <v/>
      </c>
      <c r="Q75" s="84" t="str">
        <f aca="false">IF(INT(Q$3)=INT($C75), TEXT($C75, "dd-mmm"), "")</f>
        <v/>
      </c>
      <c r="R75" s="84" t="str">
        <f aca="false">IF(INT(R$3)=INT($C75), TEXT($C75, "dd-mmm"), "")</f>
        <v/>
      </c>
      <c r="S75" s="84" t="str">
        <f aca="false">IF(INT(S$3)=INT($C75), TEXT($C75, "dd-mmm"), "")</f>
        <v/>
      </c>
      <c r="T75" s="84" t="str">
        <f aca="false">IF(INT(T$3)=INT($C75), TEXT($C75, "dd-mmm"), "")</f>
        <v/>
      </c>
      <c r="U75" s="84" t="str">
        <f aca="false">IF(INT(U$3)=INT($C75), TEXT($C75, "dd-mmm"), "")</f>
        <v/>
      </c>
      <c r="V75" s="84" t="str">
        <f aca="false">IF(INT(V$3)=INT($C75), TEXT($C75, "dd-mmm"), "")</f>
        <v/>
      </c>
      <c r="W75" s="84" t="str">
        <f aca="false">IF(INT(W$3)=INT($C75), TEXT($C75, "dd-mmm"), "")</f>
        <v/>
      </c>
      <c r="X75" s="84" t="str">
        <f aca="false">IF(INT(X$3)=INT($C75), TEXT($C75, "dd-mmm"), "")</f>
        <v/>
      </c>
      <c r="Y75" s="84" t="str">
        <f aca="false">IF(INT(Y$3)=INT($C75), TEXT($C75, "dd-mmm"), "")</f>
        <v/>
      </c>
      <c r="Z75" s="84" t="str">
        <f aca="false">IF(INT(Z$3)=INT($C75), TEXT($C75, "dd-mmm"), "")</f>
        <v/>
      </c>
      <c r="AA75" s="84" t="str">
        <f aca="false">IF(INT(AA$3)=INT($C75), TEXT($C75, "dd-mmm"), "")</f>
        <v/>
      </c>
      <c r="AB75" s="84" t="str">
        <f aca="false">IF(INT(AB$3)=INT($C75), TEXT($C75, "dd-mmm"), "")</f>
        <v/>
      </c>
      <c r="AC75" s="84" t="str">
        <f aca="false">IF(INT(AC$3)=INT($C75), TEXT($C75, "dd-mmm"), "")</f>
        <v/>
      </c>
      <c r="AD75" s="84" t="str">
        <f aca="false">IF(INT(AD$3)=INT($C75), TEXT($C75, "dd-mmm"), "")</f>
        <v/>
      </c>
      <c r="AE75" s="84" t="str">
        <f aca="false">IF(INT(AE$3)=INT($C75), TEXT($C75, "dd-mmm"), "")</f>
        <v/>
      </c>
      <c r="AF75" s="84" t="str">
        <f aca="false">IF(INT(AF$3)=INT($C75), TEXT($C75, "dd-mmm"), "")</f>
        <v/>
      </c>
      <c r="AG75" s="84" t="str">
        <f aca="false">IF(INT(AG$3)=INT($C75), TEXT($C75, "dd-mmm"), "")</f>
        <v/>
      </c>
      <c r="AH75" s="84" t="str">
        <f aca="false">IF(INT(AH$3)=INT($C75), TEXT($C75, "dd-mmm"), "")</f>
        <v/>
      </c>
      <c r="AI75" s="84" t="str">
        <f aca="false">IF(INT(AI$3)=INT($C75), TEXT($C75, "dd-mmm"), "")</f>
        <v/>
      </c>
      <c r="AJ75" s="84" t="str">
        <f aca="false">IF(INT(AJ$3)=INT($C75), TEXT($C75, "dd-mmm"), "")</f>
        <v/>
      </c>
      <c r="AK75" s="84" t="str">
        <f aca="false">IF(INT(AK$3)=INT($C75), TEXT($C75, "dd-mmm"), "")</f>
        <v/>
      </c>
      <c r="AL75" s="84" t="str">
        <f aca="false">IF(INT(AL$3)=INT($C75), TEXT($C75, "dd-mmm"), "")</f>
        <v/>
      </c>
      <c r="AM75" s="84" t="str">
        <f aca="false">IF(INT(AM$3)=INT($C75), TEXT($C75, "dd-mmm"), "")</f>
        <v/>
      </c>
      <c r="AN75" s="84" t="str">
        <f aca="false">IF(INT(AN$3)=INT($C75), TEXT($C75, "dd-mmm"), "")</f>
        <v/>
      </c>
      <c r="AO75" s="84" t="str">
        <f aca="false">IF(INT(AO$3)=INT($C75), TEXT($C75, "dd-mmm"), "")</f>
        <v/>
      </c>
      <c r="AP75" s="84" t="str">
        <f aca="false">IF(INT(AP$3)=INT($C75), TEXT($C75, "dd-mmm"), "")</f>
        <v/>
      </c>
      <c r="AQ75" s="84" t="str">
        <f aca="false">IF(INT(AQ$3)=INT($C75), TEXT($C75, "dd-mmm"), "")</f>
        <v/>
      </c>
      <c r="AR75" s="84" t="str">
        <f aca="false">IF(INT(AR$3)=INT($C75), TEXT($C75, "dd-mmm"), "")</f>
        <v/>
      </c>
      <c r="AS75" s="84" t="str">
        <f aca="false">IF(INT(AS$3)=INT($C75), TEXT($C75, "dd-mmm"), "")</f>
        <v/>
      </c>
      <c r="AT75" s="84" t="str">
        <f aca="false">IF(INT(AT$3)=INT($C75), TEXT($C75, "dd-mmm"), "")</f>
        <v/>
      </c>
      <c r="AU75" s="84" t="str">
        <f aca="false">IF(INT(AU$3)=INT($C75), TEXT($C75, "dd-mmm"), "")</f>
        <v/>
      </c>
      <c r="AV75" s="84" t="str">
        <f aca="false">IF(INT(AV$3)=INT($C75), TEXT($C75, "dd-mmm"), "")</f>
        <v/>
      </c>
      <c r="AW75" s="84" t="str">
        <f aca="false">IF(INT(AW$3)=INT($C75), TEXT($C75, "dd-mmm"), "")</f>
        <v/>
      </c>
      <c r="AX75" s="84" t="str">
        <f aca="false">IF(INT(AX$3)=INT($C75), TEXT($C75, "dd-mmm"), "")</f>
        <v/>
      </c>
      <c r="AY75" s="84" t="str">
        <f aca="false">IF(INT(AY$3)=INT($C75), TEXT($C75, "dd-mmm"), "")</f>
        <v/>
      </c>
      <c r="AZ75" s="84" t="str">
        <f aca="false">IF(INT(AZ$3)=INT($C75), TEXT($C75, "dd-mmm"), "")</f>
        <v/>
      </c>
      <c r="BA75" s="84" t="str">
        <f aca="false">IF(INT(BA$3)=INT($C75), TEXT($C75, "dd-mmm"), "")</f>
        <v/>
      </c>
      <c r="BB75" s="84" t="str">
        <f aca="false">IF(INT(BB$3)=INT($C75), TEXT($C75, "dd-mmm"), "")</f>
        <v/>
      </c>
      <c r="BC75" s="84" t="str">
        <f aca="false">IF(INT(BC$3)=INT($C75), TEXT($C75, "dd-mmm"), "")</f>
        <v/>
      </c>
      <c r="BD75" s="84" t="str">
        <f aca="false">IF(INT(BD$3)=INT($C75), TEXT($C75, "dd-mmm"), "")</f>
        <v/>
      </c>
      <c r="BE75" s="84" t="str">
        <f aca="false">IF(INT(BE$3)=INT($C75), TEXT($C75, "dd-mmm"), "")</f>
        <v/>
      </c>
      <c r="BF75" s="84" t="str">
        <f aca="false">IF(INT(BF$3)=INT($C75), TEXT($C75, "dd-mmm"), "")</f>
        <v/>
      </c>
      <c r="BG75" s="84" t="str">
        <f aca="false">IF(INT(BG$3)=INT($C75), TEXT($C75, "dd-mmm"), "")</f>
        <v/>
      </c>
      <c r="BH75" s="84" t="str">
        <f aca="false">IF(INT(BH$3)=INT($C75), TEXT($C75, "dd-mmm"), "")</f>
        <v/>
      </c>
      <c r="BI75" s="84" t="str">
        <f aca="false">IF(INT(BI$3)=INT($C75), TEXT($C75, "dd-mmm"), "")</f>
        <v/>
      </c>
      <c r="BJ75" s="84" t="str">
        <f aca="false">IF(INT(BJ$3)=INT($C75), TEXT($C75, "dd-mmm"), "")</f>
        <v/>
      </c>
      <c r="BK75" s="84" t="str">
        <f aca="false">IF(INT(BK$3)=INT($C75), TEXT($C75, "dd-mmm"), "")</f>
        <v/>
      </c>
      <c r="BL75" s="84" t="str">
        <f aca="false">IF(INT(BL$3)=INT($C75), TEXT($C75, "dd-mmm"), "")</f>
        <v/>
      </c>
      <c r="BM75" s="84" t="str">
        <f aca="false">IF(INT(BM$3)=INT($C75), TEXT($C75, "dd-mmm"), "")</f>
        <v/>
      </c>
      <c r="BN75" s="84" t="str">
        <f aca="false">IF(INT(BN$3)=INT($C75), TEXT($C75, "dd-mmm"), "")</f>
        <v/>
      </c>
    </row>
    <row r="76" customFormat="false" ht="15" hidden="false" customHeight="true" outlineLevel="0" collapsed="false">
      <c r="A76" s="4" t="str">
        <f aca="false">Machine_List!A76</f>
        <v>FID</v>
      </c>
      <c r="B76" s="4" t="str">
        <f aca="false">Machine_List!B76</f>
        <v>FID-MC-05</v>
      </c>
      <c r="C76" s="12" t="n">
        <f aca="false">Machine_List!C76</f>
        <v>46431</v>
      </c>
      <c r="D76" s="4" t="n">
        <f aca="false">Machine_List!D76</f>
        <v>6</v>
      </c>
      <c r="E76" s="4" t="n">
        <f aca="true">C76-TODAY()</f>
        <v>313</v>
      </c>
      <c r="F76" s="4" t="str">
        <f aca="false">IF(E76&lt;0,"OVERDUE",IF(E76&lt;=5,"DUE SOON","OK"))</f>
        <v>OK</v>
      </c>
      <c r="G76" s="84" t="str">
        <f aca="false">IF(INT(G$3)=INT($C76), TEXT($C76, "dd-mmm"), "")</f>
        <v/>
      </c>
      <c r="H76" s="84" t="str">
        <f aca="false">IF(INT(H$3)=INT($C76), TEXT($C76, "dd-mmm"), "")</f>
        <v/>
      </c>
      <c r="I76" s="84" t="str">
        <f aca="false">IF(INT(I$3)=INT($C76), TEXT($C76, "dd-mmm"), "")</f>
        <v/>
      </c>
      <c r="J76" s="84" t="str">
        <f aca="false">IF(INT(J$3)=INT($C76), TEXT($C76, "dd-mmm"), "")</f>
        <v/>
      </c>
      <c r="K76" s="84" t="str">
        <f aca="false">IF(INT(K$3)=INT($C76), TEXT($C76, "dd-mmm"), "")</f>
        <v/>
      </c>
      <c r="L76" s="84" t="str">
        <f aca="false">IF(INT(L$3)=INT($C76), TEXT($C76, "dd-mmm"), "")</f>
        <v/>
      </c>
      <c r="M76" s="84" t="str">
        <f aca="false">IF(INT(M$3)=INT($C76), TEXT($C76, "dd-mmm"), "")</f>
        <v/>
      </c>
      <c r="N76" s="84" t="str">
        <f aca="false">IF(INT(N$3)=INT($C76), TEXT($C76, "dd-mmm"), "")</f>
        <v/>
      </c>
      <c r="O76" s="84" t="str">
        <f aca="false">IF(INT(O$3)=INT($C76), TEXT($C76, "dd-mmm"), "")</f>
        <v/>
      </c>
      <c r="P76" s="84" t="str">
        <f aca="false">IF(INT(P$3)=INT($C76), TEXT($C76, "dd-mmm"), "")</f>
        <v/>
      </c>
      <c r="Q76" s="84" t="str">
        <f aca="false">IF(INT(Q$3)=INT($C76), TEXT($C76, "dd-mmm"), "")</f>
        <v/>
      </c>
      <c r="R76" s="84" t="str">
        <f aca="false">IF(INT(R$3)=INT($C76), TEXT($C76, "dd-mmm"), "")</f>
        <v/>
      </c>
      <c r="S76" s="84" t="str">
        <f aca="false">IF(INT(S$3)=INT($C76), TEXT($C76, "dd-mmm"), "")</f>
        <v/>
      </c>
      <c r="T76" s="84" t="str">
        <f aca="false">IF(INT(T$3)=INT($C76), TEXT($C76, "dd-mmm"), "")</f>
        <v/>
      </c>
      <c r="U76" s="84" t="str">
        <f aca="false">IF(INT(U$3)=INT($C76), TEXT($C76, "dd-mmm"), "")</f>
        <v/>
      </c>
      <c r="V76" s="84" t="str">
        <f aca="false">IF(INT(V$3)=INT($C76), TEXT($C76, "dd-mmm"), "")</f>
        <v/>
      </c>
      <c r="W76" s="84" t="str">
        <f aca="false">IF(INT(W$3)=INT($C76), TEXT($C76, "dd-mmm"), "")</f>
        <v/>
      </c>
      <c r="X76" s="84" t="str">
        <f aca="false">IF(INT(X$3)=INT($C76), TEXT($C76, "dd-mmm"), "")</f>
        <v/>
      </c>
      <c r="Y76" s="84" t="str">
        <f aca="false">IF(INT(Y$3)=INT($C76), TEXT($C76, "dd-mmm"), "")</f>
        <v/>
      </c>
      <c r="Z76" s="84" t="str">
        <f aca="false">IF(INT(Z$3)=INT($C76), TEXT($C76, "dd-mmm"), "")</f>
        <v/>
      </c>
      <c r="AA76" s="84" t="str">
        <f aca="false">IF(INT(AA$3)=INT($C76), TEXT($C76, "dd-mmm"), "")</f>
        <v/>
      </c>
      <c r="AB76" s="84" t="str">
        <f aca="false">IF(INT(AB$3)=INT($C76), TEXT($C76, "dd-mmm"), "")</f>
        <v/>
      </c>
      <c r="AC76" s="84" t="str">
        <f aca="false">IF(INT(AC$3)=INT($C76), TEXT($C76, "dd-mmm"), "")</f>
        <v/>
      </c>
      <c r="AD76" s="84" t="str">
        <f aca="false">IF(INT(AD$3)=INT($C76), TEXT($C76, "dd-mmm"), "")</f>
        <v/>
      </c>
      <c r="AE76" s="84" t="str">
        <f aca="false">IF(INT(AE$3)=INT($C76), TEXT($C76, "dd-mmm"), "")</f>
        <v/>
      </c>
      <c r="AF76" s="84" t="str">
        <f aca="false">IF(INT(AF$3)=INT($C76), TEXT($C76, "dd-mmm"), "")</f>
        <v/>
      </c>
      <c r="AG76" s="84" t="str">
        <f aca="false">IF(INT(AG$3)=INT($C76), TEXT($C76, "dd-mmm"), "")</f>
        <v/>
      </c>
      <c r="AH76" s="84" t="str">
        <f aca="false">IF(INT(AH$3)=INT($C76), TEXT($C76, "dd-mmm"), "")</f>
        <v/>
      </c>
      <c r="AI76" s="84" t="str">
        <f aca="false">IF(INT(AI$3)=INT($C76), TEXT($C76, "dd-mmm"), "")</f>
        <v/>
      </c>
      <c r="AJ76" s="84" t="str">
        <f aca="false">IF(INT(AJ$3)=INT($C76), TEXT($C76, "dd-mmm"), "")</f>
        <v/>
      </c>
      <c r="AK76" s="84" t="str">
        <f aca="false">IF(INT(AK$3)=INT($C76), TEXT($C76, "dd-mmm"), "")</f>
        <v/>
      </c>
      <c r="AL76" s="84" t="str">
        <f aca="false">IF(INT(AL$3)=INT($C76), TEXT($C76, "dd-mmm"), "")</f>
        <v/>
      </c>
      <c r="AM76" s="84" t="str">
        <f aca="false">IF(INT(AM$3)=INT($C76), TEXT($C76, "dd-mmm"), "")</f>
        <v/>
      </c>
      <c r="AN76" s="84" t="str">
        <f aca="false">IF(INT(AN$3)=INT($C76), TEXT($C76, "dd-mmm"), "")</f>
        <v/>
      </c>
      <c r="AO76" s="84" t="str">
        <f aca="false">IF(INT(AO$3)=INT($C76), TEXT($C76, "dd-mmm"), "")</f>
        <v/>
      </c>
      <c r="AP76" s="84" t="str">
        <f aca="false">IF(INT(AP$3)=INT($C76), TEXT($C76, "dd-mmm"), "")</f>
        <v/>
      </c>
      <c r="AQ76" s="84" t="str">
        <f aca="false">IF(INT(AQ$3)=INT($C76), TEXT($C76, "dd-mmm"), "")</f>
        <v/>
      </c>
      <c r="AR76" s="84" t="str">
        <f aca="false">IF(INT(AR$3)=INT($C76), TEXT($C76, "dd-mmm"), "")</f>
        <v/>
      </c>
      <c r="AS76" s="84" t="str">
        <f aca="false">IF(INT(AS$3)=INT($C76), TEXT($C76, "dd-mmm"), "")</f>
        <v/>
      </c>
      <c r="AT76" s="84" t="str">
        <f aca="false">IF(INT(AT$3)=INT($C76), TEXT($C76, "dd-mmm"), "")</f>
        <v/>
      </c>
      <c r="AU76" s="84" t="str">
        <f aca="false">IF(INT(AU$3)=INT($C76), TEXT($C76, "dd-mmm"), "")</f>
        <v/>
      </c>
      <c r="AV76" s="84" t="str">
        <f aca="false">IF(INT(AV$3)=INT($C76), TEXT($C76, "dd-mmm"), "")</f>
        <v/>
      </c>
      <c r="AW76" s="84" t="str">
        <f aca="false">IF(INT(AW$3)=INT($C76), TEXT($C76, "dd-mmm"), "")</f>
        <v/>
      </c>
      <c r="AX76" s="84" t="str">
        <f aca="false">IF(INT(AX$3)=INT($C76), TEXT($C76, "dd-mmm"), "")</f>
        <v/>
      </c>
      <c r="AY76" s="84" t="str">
        <f aca="false">IF(INT(AY$3)=INT($C76), TEXT($C76, "dd-mmm"), "")</f>
        <v/>
      </c>
      <c r="AZ76" s="84" t="str">
        <f aca="false">IF(INT(AZ$3)=INT($C76), TEXT($C76, "dd-mmm"), "")</f>
        <v/>
      </c>
      <c r="BA76" s="84" t="str">
        <f aca="false">IF(INT(BA$3)=INT($C76), TEXT($C76, "dd-mmm"), "")</f>
        <v/>
      </c>
      <c r="BB76" s="84" t="str">
        <f aca="false">IF(INT(BB$3)=INT($C76), TEXT($C76, "dd-mmm"), "")</f>
        <v/>
      </c>
      <c r="BC76" s="84" t="str">
        <f aca="false">IF(INT(BC$3)=INT($C76), TEXT($C76, "dd-mmm"), "")</f>
        <v/>
      </c>
      <c r="BD76" s="84" t="str">
        <f aca="false">IF(INT(BD$3)=INT($C76), TEXT($C76, "dd-mmm"), "")</f>
        <v/>
      </c>
      <c r="BE76" s="84" t="str">
        <f aca="false">IF(INT(BE$3)=INT($C76), TEXT($C76, "dd-mmm"), "")</f>
        <v/>
      </c>
      <c r="BF76" s="84" t="str">
        <f aca="false">IF(INT(BF$3)=INT($C76), TEXT($C76, "dd-mmm"), "")</f>
        <v/>
      </c>
      <c r="BG76" s="84" t="str">
        <f aca="false">IF(INT(BG$3)=INT($C76), TEXT($C76, "dd-mmm"), "")</f>
        <v/>
      </c>
      <c r="BH76" s="84" t="str">
        <f aca="false">IF(INT(BH$3)=INT($C76), TEXT($C76, "dd-mmm"), "")</f>
        <v/>
      </c>
      <c r="BI76" s="84" t="str">
        <f aca="false">IF(INT(BI$3)=INT($C76), TEXT($C76, "dd-mmm"), "")</f>
        <v/>
      </c>
      <c r="BJ76" s="84" t="str">
        <f aca="false">IF(INT(BJ$3)=INT($C76), TEXT($C76, "dd-mmm"), "")</f>
        <v/>
      </c>
      <c r="BK76" s="84" t="str">
        <f aca="false">IF(INT(BK$3)=INT($C76), TEXT($C76, "dd-mmm"), "")</f>
        <v/>
      </c>
      <c r="BL76" s="84" t="str">
        <f aca="false">IF(INT(BL$3)=INT($C76), TEXT($C76, "dd-mmm"), "")</f>
        <v/>
      </c>
      <c r="BM76" s="84" t="str">
        <f aca="false">IF(INT(BM$3)=INT($C76), TEXT($C76, "dd-mmm"), "")</f>
        <v/>
      </c>
      <c r="BN76" s="84" t="str">
        <f aca="false">IF(INT(BN$3)=INT($C76), TEXT($C76, "dd-mmm"), "")</f>
        <v/>
      </c>
    </row>
    <row r="77" customFormat="false" ht="15" hidden="false" customHeight="true" outlineLevel="0" collapsed="false">
      <c r="A77" s="4" t="str">
        <f aca="false">Machine_List!A77</f>
        <v>FID</v>
      </c>
      <c r="B77" s="4" t="str">
        <f aca="false">Machine_List!B77</f>
        <v>FID-MC-06</v>
      </c>
      <c r="C77" s="12" t="n">
        <f aca="false">Machine_List!C77</f>
        <v>46088</v>
      </c>
      <c r="D77" s="4" t="n">
        <f aca="false">Machine_List!D77</f>
        <v>6</v>
      </c>
      <c r="E77" s="4" t="n">
        <f aca="true">C77-TODAY()</f>
        <v>-30</v>
      </c>
      <c r="F77" s="4" t="str">
        <f aca="false">IF(E77&lt;0,"OVERDUE",IF(E77&lt;=5,"DUE SOON","OK"))</f>
        <v>OVERDUE</v>
      </c>
      <c r="G77" s="84" t="str">
        <f aca="false">IF(INT(G$3)=INT($C77), TEXT($C77, "dd-mmm"), "")</f>
        <v/>
      </c>
      <c r="H77" s="84" t="str">
        <f aca="false">IF(INT(H$3)=INT($C77), TEXT($C77, "dd-mmm"), "")</f>
        <v/>
      </c>
      <c r="I77" s="84" t="str">
        <f aca="false">IF(INT(I$3)=INT($C77), TEXT($C77, "dd-mmm"), "")</f>
        <v/>
      </c>
      <c r="J77" s="84" t="str">
        <f aca="false">IF(INT(J$3)=INT($C77), TEXT($C77, "dd-mmm"), "")</f>
        <v/>
      </c>
      <c r="K77" s="84" t="str">
        <f aca="false">IF(INT(K$3)=INT($C77), TEXT($C77, "dd-mmm"), "")</f>
        <v/>
      </c>
      <c r="L77" s="84" t="str">
        <f aca="false">IF(INT(L$3)=INT($C77), TEXT($C77, "dd-mmm"), "")</f>
        <v/>
      </c>
      <c r="M77" s="84" t="str">
        <f aca="false">IF(INT(M$3)=INT($C77), TEXT($C77, "dd-mmm"), "")</f>
        <v/>
      </c>
      <c r="N77" s="84" t="str">
        <f aca="false">IF(INT(N$3)=INT($C77), TEXT($C77, "dd-mmm"), "")</f>
        <v/>
      </c>
      <c r="O77" s="84" t="str">
        <f aca="false">IF(INT(O$3)=INT($C77), TEXT($C77, "dd-mmm"), "")</f>
        <v/>
      </c>
      <c r="P77" s="84" t="str">
        <f aca="false">IF(INT(P$3)=INT($C77), TEXT($C77, "dd-mmm"), "")</f>
        <v/>
      </c>
      <c r="Q77" s="84" t="str">
        <f aca="false">IF(INT(Q$3)=INT($C77), TEXT($C77, "dd-mmm"), "")</f>
        <v/>
      </c>
      <c r="R77" s="84" t="str">
        <f aca="false">IF(INT(R$3)=INT($C77), TEXT($C77, "dd-mmm"), "")</f>
        <v/>
      </c>
      <c r="S77" s="84" t="str">
        <f aca="false">IF(INT(S$3)=INT($C77), TEXT($C77, "dd-mmm"), "")</f>
        <v/>
      </c>
      <c r="T77" s="84" t="str">
        <f aca="false">IF(INT(T$3)=INT($C77), TEXT($C77, "dd-mmm"), "")</f>
        <v/>
      </c>
      <c r="U77" s="84" t="str">
        <f aca="false">IF(INT(U$3)=INT($C77), TEXT($C77, "dd-mmm"), "")</f>
        <v/>
      </c>
      <c r="V77" s="84" t="str">
        <f aca="false">IF(INT(V$3)=INT($C77), TEXT($C77, "dd-mmm"), "")</f>
        <v/>
      </c>
      <c r="W77" s="84" t="str">
        <f aca="false">IF(INT(W$3)=INT($C77), TEXT($C77, "dd-mmm"), "")</f>
        <v/>
      </c>
      <c r="X77" s="84" t="str">
        <f aca="false">IF(INT(X$3)=INT($C77), TEXT($C77, "dd-mmm"), "")</f>
        <v/>
      </c>
      <c r="Y77" s="84" t="str">
        <f aca="false">IF(INT(Y$3)=INT($C77), TEXT($C77, "dd-mmm"), "")</f>
        <v/>
      </c>
      <c r="Z77" s="84" t="str">
        <f aca="false">IF(INT(Z$3)=INT($C77), TEXT($C77, "dd-mmm"), "")</f>
        <v/>
      </c>
      <c r="AA77" s="84" t="str">
        <f aca="false">IF(INT(AA$3)=INT($C77), TEXT($C77, "dd-mmm"), "")</f>
        <v/>
      </c>
      <c r="AB77" s="84" t="str">
        <f aca="false">IF(INT(AB$3)=INT($C77), TEXT($C77, "dd-mmm"), "")</f>
        <v/>
      </c>
      <c r="AC77" s="84" t="str">
        <f aca="false">IF(INT(AC$3)=INT($C77), TEXT($C77, "dd-mmm"), "")</f>
        <v/>
      </c>
      <c r="AD77" s="84" t="str">
        <f aca="false">IF(INT(AD$3)=INT($C77), TEXT($C77, "dd-mmm"), "")</f>
        <v/>
      </c>
      <c r="AE77" s="84" t="str">
        <f aca="false">IF(INT(AE$3)=INT($C77), TEXT($C77, "dd-mmm"), "")</f>
        <v/>
      </c>
      <c r="AF77" s="84" t="str">
        <f aca="false">IF(INT(AF$3)=INT($C77), TEXT($C77, "dd-mmm"), "")</f>
        <v/>
      </c>
      <c r="AG77" s="84" t="str">
        <f aca="false">IF(INT(AG$3)=INT($C77), TEXT($C77, "dd-mmm"), "")</f>
        <v/>
      </c>
      <c r="AH77" s="84" t="str">
        <f aca="false">IF(INT(AH$3)=INT($C77), TEXT($C77, "dd-mmm"), "")</f>
        <v/>
      </c>
      <c r="AI77" s="84" t="str">
        <f aca="false">IF(INT(AI$3)=INT($C77), TEXT($C77, "dd-mmm"), "")</f>
        <v/>
      </c>
      <c r="AJ77" s="84" t="str">
        <f aca="false">IF(INT(AJ$3)=INT($C77), TEXT($C77, "dd-mmm"), "")</f>
        <v/>
      </c>
      <c r="AK77" s="84" t="str">
        <f aca="false">IF(INT(AK$3)=INT($C77), TEXT($C77, "dd-mmm"), "")</f>
        <v/>
      </c>
      <c r="AL77" s="84" t="str">
        <f aca="false">IF(INT(AL$3)=INT($C77), TEXT($C77, "dd-mmm"), "")</f>
        <v/>
      </c>
      <c r="AM77" s="84" t="str">
        <f aca="false">IF(INT(AM$3)=INT($C77), TEXT($C77, "dd-mmm"), "")</f>
        <v/>
      </c>
      <c r="AN77" s="84" t="str">
        <f aca="false">IF(INT(AN$3)=INT($C77), TEXT($C77, "dd-mmm"), "")</f>
        <v/>
      </c>
      <c r="AO77" s="84" t="str">
        <f aca="false">IF(INT(AO$3)=INT($C77), TEXT($C77, "dd-mmm"), "")</f>
        <v/>
      </c>
      <c r="AP77" s="84" t="str">
        <f aca="false">IF(INT(AP$3)=INT($C77), TEXT($C77, "dd-mmm"), "")</f>
        <v/>
      </c>
      <c r="AQ77" s="84" t="str">
        <f aca="false">IF(INT(AQ$3)=INT($C77), TEXT($C77, "dd-mmm"), "")</f>
        <v/>
      </c>
      <c r="AR77" s="84" t="str">
        <f aca="false">IF(INT(AR$3)=INT($C77), TEXT($C77, "dd-mmm"), "")</f>
        <v/>
      </c>
      <c r="AS77" s="84" t="str">
        <f aca="false">IF(INT(AS$3)=INT($C77), TEXT($C77, "dd-mmm"), "")</f>
        <v/>
      </c>
      <c r="AT77" s="84" t="str">
        <f aca="false">IF(INT(AT$3)=INT($C77), TEXT($C77, "dd-mmm"), "")</f>
        <v/>
      </c>
      <c r="AU77" s="84" t="str">
        <f aca="false">IF(INT(AU$3)=INT($C77), TEXT($C77, "dd-mmm"), "")</f>
        <v/>
      </c>
      <c r="AV77" s="84" t="str">
        <f aca="false">IF(INT(AV$3)=INT($C77), TEXT($C77, "dd-mmm"), "")</f>
        <v/>
      </c>
      <c r="AW77" s="84" t="str">
        <f aca="false">IF(INT(AW$3)=INT($C77), TEXT($C77, "dd-mmm"), "")</f>
        <v/>
      </c>
      <c r="AX77" s="84" t="str">
        <f aca="false">IF(INT(AX$3)=INT($C77), TEXT($C77, "dd-mmm"), "")</f>
        <v/>
      </c>
      <c r="AY77" s="84" t="str">
        <f aca="false">IF(INT(AY$3)=INT($C77), TEXT($C77, "dd-mmm"), "")</f>
        <v/>
      </c>
      <c r="AZ77" s="84" t="str">
        <f aca="false">IF(INT(AZ$3)=INT($C77), TEXT($C77, "dd-mmm"), "")</f>
        <v/>
      </c>
      <c r="BA77" s="84" t="str">
        <f aca="false">IF(INT(BA$3)=INT($C77), TEXT($C77, "dd-mmm"), "")</f>
        <v/>
      </c>
      <c r="BB77" s="84" t="str">
        <f aca="false">IF(INT(BB$3)=INT($C77), TEXT($C77, "dd-mmm"), "")</f>
        <v/>
      </c>
      <c r="BC77" s="84" t="str">
        <f aca="false">IF(INT(BC$3)=INT($C77), TEXT($C77, "dd-mmm"), "")</f>
        <v/>
      </c>
      <c r="BD77" s="84" t="str">
        <f aca="false">IF(INT(BD$3)=INT($C77), TEXT($C77, "dd-mmm"), "")</f>
        <v/>
      </c>
      <c r="BE77" s="84" t="str">
        <f aca="false">IF(INT(BE$3)=INT($C77), TEXT($C77, "dd-mmm"), "")</f>
        <v/>
      </c>
      <c r="BF77" s="84" t="str">
        <f aca="false">IF(INT(BF$3)=INT($C77), TEXT($C77, "dd-mmm"), "")</f>
        <v/>
      </c>
      <c r="BG77" s="84" t="str">
        <f aca="false">IF(INT(BG$3)=INT($C77), TEXT($C77, "dd-mmm"), "")</f>
        <v/>
      </c>
      <c r="BH77" s="84" t="str">
        <f aca="false">IF(INT(BH$3)=INT($C77), TEXT($C77, "dd-mmm"), "")</f>
        <v/>
      </c>
      <c r="BI77" s="84" t="str">
        <f aca="false">IF(INT(BI$3)=INT($C77), TEXT($C77, "dd-mmm"), "")</f>
        <v/>
      </c>
      <c r="BJ77" s="84" t="str">
        <f aca="false">IF(INT(BJ$3)=INT($C77), TEXT($C77, "dd-mmm"), "")</f>
        <v/>
      </c>
      <c r="BK77" s="84" t="str">
        <f aca="false">IF(INT(BK$3)=INT($C77), TEXT($C77, "dd-mmm"), "")</f>
        <v/>
      </c>
      <c r="BL77" s="84" t="str">
        <f aca="false">IF(INT(BL$3)=INT($C77), TEXT($C77, "dd-mmm"), "")</f>
        <v/>
      </c>
      <c r="BM77" s="84" t="str">
        <f aca="false">IF(INT(BM$3)=INT($C77), TEXT($C77, "dd-mmm"), "")</f>
        <v/>
      </c>
      <c r="BN77" s="84" t="str">
        <f aca="false">IF(INT(BN$3)=INT($C77), TEXT($C77, "dd-mmm"), "")</f>
        <v/>
      </c>
    </row>
    <row r="78" customFormat="false" ht="15" hidden="false" customHeight="true" outlineLevel="0" collapsed="false">
      <c r="A78" s="4" t="str">
        <f aca="false">Machine_List!A78</f>
        <v>FID</v>
      </c>
      <c r="B78" s="4" t="str">
        <f aca="false">Machine_List!B78</f>
        <v>FID-MC-07</v>
      </c>
      <c r="C78" s="12" t="n">
        <f aca="false">Machine_List!C78</f>
        <v>46402</v>
      </c>
      <c r="D78" s="4" t="n">
        <f aca="false">Machine_List!D78</f>
        <v>6</v>
      </c>
      <c r="E78" s="4" t="n">
        <f aca="true">C78-TODAY()</f>
        <v>284</v>
      </c>
      <c r="F78" s="4" t="str">
        <f aca="false">IF(E78&lt;0,"OVERDUE",IF(E78&lt;=5,"DUE SOON","OK"))</f>
        <v>OK</v>
      </c>
      <c r="G78" s="84" t="str">
        <f aca="false">IF(INT(G$3)=INT($C78), TEXT($C78, "dd-mmm"), "")</f>
        <v/>
      </c>
      <c r="H78" s="84" t="str">
        <f aca="false">IF(INT(H$3)=INT($C78), TEXT($C78, "dd-mmm"), "")</f>
        <v/>
      </c>
      <c r="I78" s="84" t="str">
        <f aca="false">IF(INT(I$3)=INT($C78), TEXT($C78, "dd-mmm"), "")</f>
        <v/>
      </c>
      <c r="J78" s="84" t="str">
        <f aca="false">IF(INT(J$3)=INT($C78), TEXT($C78, "dd-mmm"), "")</f>
        <v/>
      </c>
      <c r="K78" s="84" t="str">
        <f aca="false">IF(INT(K$3)=INT($C78), TEXT($C78, "dd-mmm"), "")</f>
        <v/>
      </c>
      <c r="L78" s="84" t="str">
        <f aca="false">IF(INT(L$3)=INT($C78), TEXT($C78, "dd-mmm"), "")</f>
        <v/>
      </c>
      <c r="M78" s="84" t="str">
        <f aca="false">IF(INT(M$3)=INT($C78), TEXT($C78, "dd-mmm"), "")</f>
        <v/>
      </c>
      <c r="N78" s="84" t="str">
        <f aca="false">IF(INT(N$3)=INT($C78), TEXT($C78, "dd-mmm"), "")</f>
        <v/>
      </c>
      <c r="O78" s="84" t="str">
        <f aca="false">IF(INT(O$3)=INT($C78), TEXT($C78, "dd-mmm"), "")</f>
        <v/>
      </c>
      <c r="P78" s="84" t="str">
        <f aca="false">IF(INT(P$3)=INT($C78), TEXT($C78, "dd-mmm"), "")</f>
        <v/>
      </c>
      <c r="Q78" s="84" t="str">
        <f aca="false">IF(INT(Q$3)=INT($C78), TEXT($C78, "dd-mmm"), "")</f>
        <v/>
      </c>
      <c r="R78" s="84" t="str">
        <f aca="false">IF(INT(R$3)=INT($C78), TEXT($C78, "dd-mmm"), "")</f>
        <v/>
      </c>
      <c r="S78" s="84" t="str">
        <f aca="false">IF(INT(S$3)=INT($C78), TEXT($C78, "dd-mmm"), "")</f>
        <v/>
      </c>
      <c r="T78" s="84" t="str">
        <f aca="false">IF(INT(T$3)=INT($C78), TEXT($C78, "dd-mmm"), "")</f>
        <v/>
      </c>
      <c r="U78" s="84" t="str">
        <f aca="false">IF(INT(U$3)=INT($C78), TEXT($C78, "dd-mmm"), "")</f>
        <v/>
      </c>
      <c r="V78" s="84" t="str">
        <f aca="false">IF(INT(V$3)=INT($C78), TEXT($C78, "dd-mmm"), "")</f>
        <v/>
      </c>
      <c r="W78" s="84" t="str">
        <f aca="false">IF(INT(W$3)=INT($C78), TEXT($C78, "dd-mmm"), "")</f>
        <v/>
      </c>
      <c r="X78" s="84" t="str">
        <f aca="false">IF(INT(X$3)=INT($C78), TEXT($C78, "dd-mmm"), "")</f>
        <v/>
      </c>
      <c r="Y78" s="84" t="str">
        <f aca="false">IF(INT(Y$3)=INT($C78), TEXT($C78, "dd-mmm"), "")</f>
        <v/>
      </c>
      <c r="Z78" s="84" t="str">
        <f aca="false">IF(INT(Z$3)=INT($C78), TEXT($C78, "dd-mmm"), "")</f>
        <v/>
      </c>
      <c r="AA78" s="84" t="str">
        <f aca="false">IF(INT(AA$3)=INT($C78), TEXT($C78, "dd-mmm"), "")</f>
        <v/>
      </c>
      <c r="AB78" s="84" t="str">
        <f aca="false">IF(INT(AB$3)=INT($C78), TEXT($C78, "dd-mmm"), "")</f>
        <v/>
      </c>
      <c r="AC78" s="84" t="str">
        <f aca="false">IF(INT(AC$3)=INT($C78), TEXT($C78, "dd-mmm"), "")</f>
        <v/>
      </c>
      <c r="AD78" s="84" t="str">
        <f aca="false">IF(INT(AD$3)=INT($C78), TEXT($C78, "dd-mmm"), "")</f>
        <v/>
      </c>
      <c r="AE78" s="84" t="str">
        <f aca="false">IF(INT(AE$3)=INT($C78), TEXT($C78, "dd-mmm"), "")</f>
        <v/>
      </c>
      <c r="AF78" s="84" t="str">
        <f aca="false">IF(INT(AF$3)=INT($C78), TEXT($C78, "dd-mmm"), "")</f>
        <v/>
      </c>
      <c r="AG78" s="84" t="str">
        <f aca="false">IF(INT(AG$3)=INT($C78), TEXT($C78, "dd-mmm"), "")</f>
        <v/>
      </c>
      <c r="AH78" s="84" t="str">
        <f aca="false">IF(INT(AH$3)=INT($C78), TEXT($C78, "dd-mmm"), "")</f>
        <v/>
      </c>
      <c r="AI78" s="84" t="str">
        <f aca="false">IF(INT(AI$3)=INT($C78), TEXT($C78, "dd-mmm"), "")</f>
        <v/>
      </c>
      <c r="AJ78" s="84" t="str">
        <f aca="false">IF(INT(AJ$3)=INT($C78), TEXT($C78, "dd-mmm"), "")</f>
        <v/>
      </c>
      <c r="AK78" s="84" t="str">
        <f aca="false">IF(INT(AK$3)=INT($C78), TEXT($C78, "dd-mmm"), "")</f>
        <v/>
      </c>
      <c r="AL78" s="84" t="str">
        <f aca="false">IF(INT(AL$3)=INT($C78), TEXT($C78, "dd-mmm"), "")</f>
        <v/>
      </c>
      <c r="AM78" s="84" t="str">
        <f aca="false">IF(INT(AM$3)=INT($C78), TEXT($C78, "dd-mmm"), "")</f>
        <v/>
      </c>
      <c r="AN78" s="84" t="str">
        <f aca="false">IF(INT(AN$3)=INT($C78), TEXT($C78, "dd-mmm"), "")</f>
        <v/>
      </c>
      <c r="AO78" s="84" t="str">
        <f aca="false">IF(INT(AO$3)=INT($C78), TEXT($C78, "dd-mmm"), "")</f>
        <v/>
      </c>
      <c r="AP78" s="84" t="str">
        <f aca="false">IF(INT(AP$3)=INT($C78), TEXT($C78, "dd-mmm"), "")</f>
        <v/>
      </c>
      <c r="AQ78" s="84" t="str">
        <f aca="false">IF(INT(AQ$3)=INT($C78), TEXT($C78, "dd-mmm"), "")</f>
        <v/>
      </c>
      <c r="AR78" s="84" t="str">
        <f aca="false">IF(INT(AR$3)=INT($C78), TEXT($C78, "dd-mmm"), "")</f>
        <v/>
      </c>
      <c r="AS78" s="84" t="str">
        <f aca="false">IF(INT(AS$3)=INT($C78), TEXT($C78, "dd-mmm"), "")</f>
        <v/>
      </c>
      <c r="AT78" s="84" t="str">
        <f aca="false">IF(INT(AT$3)=INT($C78), TEXT($C78, "dd-mmm"), "")</f>
        <v/>
      </c>
      <c r="AU78" s="84" t="str">
        <f aca="false">IF(INT(AU$3)=INT($C78), TEXT($C78, "dd-mmm"), "")</f>
        <v/>
      </c>
      <c r="AV78" s="84" t="str">
        <f aca="false">IF(INT(AV$3)=INT($C78), TEXT($C78, "dd-mmm"), "")</f>
        <v/>
      </c>
      <c r="AW78" s="84" t="str">
        <f aca="false">IF(INT(AW$3)=INT($C78), TEXT($C78, "dd-mmm"), "")</f>
        <v/>
      </c>
      <c r="AX78" s="84" t="str">
        <f aca="false">IF(INT(AX$3)=INT($C78), TEXT($C78, "dd-mmm"), "")</f>
        <v/>
      </c>
      <c r="AY78" s="84" t="str">
        <f aca="false">IF(INT(AY$3)=INT($C78), TEXT($C78, "dd-mmm"), "")</f>
        <v/>
      </c>
      <c r="AZ78" s="84" t="str">
        <f aca="false">IF(INT(AZ$3)=INT($C78), TEXT($C78, "dd-mmm"), "")</f>
        <v/>
      </c>
      <c r="BA78" s="84" t="str">
        <f aca="false">IF(INT(BA$3)=INT($C78), TEXT($C78, "dd-mmm"), "")</f>
        <v/>
      </c>
      <c r="BB78" s="84" t="str">
        <f aca="false">IF(INT(BB$3)=INT($C78), TEXT($C78, "dd-mmm"), "")</f>
        <v/>
      </c>
      <c r="BC78" s="84" t="str">
        <f aca="false">IF(INT(BC$3)=INT($C78), TEXT($C78, "dd-mmm"), "")</f>
        <v/>
      </c>
      <c r="BD78" s="84" t="str">
        <f aca="false">IF(INT(BD$3)=INT($C78), TEXT($C78, "dd-mmm"), "")</f>
        <v/>
      </c>
      <c r="BE78" s="84" t="str">
        <f aca="false">IF(INT(BE$3)=INT($C78), TEXT($C78, "dd-mmm"), "")</f>
        <v/>
      </c>
      <c r="BF78" s="84" t="str">
        <f aca="false">IF(INT(BF$3)=INT($C78), TEXT($C78, "dd-mmm"), "")</f>
        <v/>
      </c>
      <c r="BG78" s="84" t="str">
        <f aca="false">IF(INT(BG$3)=INT($C78), TEXT($C78, "dd-mmm"), "")</f>
        <v/>
      </c>
      <c r="BH78" s="84" t="str">
        <f aca="false">IF(INT(BH$3)=INT($C78), TEXT($C78, "dd-mmm"), "")</f>
        <v/>
      </c>
      <c r="BI78" s="84" t="str">
        <f aca="false">IF(INT(BI$3)=INT($C78), TEXT($C78, "dd-mmm"), "")</f>
        <v/>
      </c>
      <c r="BJ78" s="84" t="str">
        <f aca="false">IF(INT(BJ$3)=INT($C78), TEXT($C78, "dd-mmm"), "")</f>
        <v/>
      </c>
      <c r="BK78" s="84" t="str">
        <f aca="false">IF(INT(BK$3)=INT($C78), TEXT($C78, "dd-mmm"), "")</f>
        <v/>
      </c>
      <c r="BL78" s="84" t="str">
        <f aca="false">IF(INT(BL$3)=INT($C78), TEXT($C78, "dd-mmm"), "")</f>
        <v/>
      </c>
      <c r="BM78" s="84" t="str">
        <f aca="false">IF(INT(BM$3)=INT($C78), TEXT($C78, "dd-mmm"), "")</f>
        <v/>
      </c>
      <c r="BN78" s="84" t="str">
        <f aca="false">IF(INT(BN$3)=INT($C78), TEXT($C78, "dd-mmm"), "")</f>
        <v/>
      </c>
    </row>
    <row r="79" customFormat="false" ht="15" hidden="false" customHeight="true" outlineLevel="0" collapsed="false">
      <c r="A79" s="4" t="str">
        <f aca="false">Machine_List!A79</f>
        <v>FID</v>
      </c>
      <c r="B79" s="4" t="str">
        <f aca="false">Machine_List!B79</f>
        <v>FID-MC-08</v>
      </c>
      <c r="C79" s="12" t="n">
        <f aca="false">Machine_List!C79</f>
        <v>46328</v>
      </c>
      <c r="D79" s="4" t="n">
        <f aca="false">Machine_List!D79</f>
        <v>6</v>
      </c>
      <c r="E79" s="4" t="n">
        <f aca="true">C79-TODAY()</f>
        <v>210</v>
      </c>
      <c r="F79" s="4" t="str">
        <f aca="false">IF(E79&lt;0,"OVERDUE",IF(E79&lt;=5,"DUE SOON","OK"))</f>
        <v>OK</v>
      </c>
      <c r="G79" s="84" t="str">
        <f aca="false">IF(INT(G$3)=INT($C79), TEXT($C79, "dd-mmm"), "")</f>
        <v/>
      </c>
      <c r="H79" s="84" t="str">
        <f aca="false">IF(INT(H$3)=INT($C79), TEXT($C79, "dd-mmm"), "")</f>
        <v/>
      </c>
      <c r="I79" s="84" t="str">
        <f aca="false">IF(INT(I$3)=INT($C79), TEXT($C79, "dd-mmm"), "")</f>
        <v/>
      </c>
      <c r="J79" s="84" t="str">
        <f aca="false">IF(INT(J$3)=INT($C79), TEXT($C79, "dd-mmm"), "")</f>
        <v/>
      </c>
      <c r="K79" s="84" t="str">
        <f aca="false">IF(INT(K$3)=INT($C79), TEXT($C79, "dd-mmm"), "")</f>
        <v/>
      </c>
      <c r="L79" s="84" t="str">
        <f aca="false">IF(INT(L$3)=INT($C79), TEXT($C79, "dd-mmm"), "")</f>
        <v/>
      </c>
      <c r="M79" s="84" t="str">
        <f aca="false">IF(INT(M$3)=INT($C79), TEXT($C79, "dd-mmm"), "")</f>
        <v/>
      </c>
      <c r="N79" s="84" t="str">
        <f aca="false">IF(INT(N$3)=INT($C79), TEXT($C79, "dd-mmm"), "")</f>
        <v/>
      </c>
      <c r="O79" s="84" t="str">
        <f aca="false">IF(INT(O$3)=INT($C79), TEXT($C79, "dd-mmm"), "")</f>
        <v/>
      </c>
      <c r="P79" s="84" t="str">
        <f aca="false">IF(INT(P$3)=INT($C79), TEXT($C79, "dd-mmm"), "")</f>
        <v/>
      </c>
      <c r="Q79" s="84" t="str">
        <f aca="false">IF(INT(Q$3)=INT($C79), TEXT($C79, "dd-mmm"), "")</f>
        <v/>
      </c>
      <c r="R79" s="84" t="str">
        <f aca="false">IF(INT(R$3)=INT($C79), TEXT($C79, "dd-mmm"), "")</f>
        <v/>
      </c>
      <c r="S79" s="84" t="str">
        <f aca="false">IF(INT(S$3)=INT($C79), TEXT($C79, "dd-mmm"), "")</f>
        <v/>
      </c>
      <c r="T79" s="84" t="str">
        <f aca="false">IF(INT(T$3)=INT($C79), TEXT($C79, "dd-mmm"), "")</f>
        <v/>
      </c>
      <c r="U79" s="84" t="str">
        <f aca="false">IF(INT(U$3)=INT($C79), TEXT($C79, "dd-mmm"), "")</f>
        <v/>
      </c>
      <c r="V79" s="84" t="str">
        <f aca="false">IF(INT(V$3)=INT($C79), TEXT($C79, "dd-mmm"), "")</f>
        <v/>
      </c>
      <c r="W79" s="84" t="str">
        <f aca="false">IF(INT(W$3)=INT($C79), TEXT($C79, "dd-mmm"), "")</f>
        <v/>
      </c>
      <c r="X79" s="84" t="str">
        <f aca="false">IF(INT(X$3)=INT($C79), TEXT($C79, "dd-mmm"), "")</f>
        <v/>
      </c>
      <c r="Y79" s="84" t="str">
        <f aca="false">IF(INT(Y$3)=INT($C79), TEXT($C79, "dd-mmm"), "")</f>
        <v/>
      </c>
      <c r="Z79" s="84" t="str">
        <f aca="false">IF(INT(Z$3)=INT($C79), TEXT($C79, "dd-mmm"), "")</f>
        <v/>
      </c>
      <c r="AA79" s="84" t="str">
        <f aca="false">IF(INT(AA$3)=INT($C79), TEXT($C79, "dd-mmm"), "")</f>
        <v/>
      </c>
      <c r="AB79" s="84" t="str">
        <f aca="false">IF(INT(AB$3)=INT($C79), TEXT($C79, "dd-mmm"), "")</f>
        <v/>
      </c>
      <c r="AC79" s="84" t="str">
        <f aca="false">IF(INT(AC$3)=INT($C79), TEXT($C79, "dd-mmm"), "")</f>
        <v/>
      </c>
      <c r="AD79" s="84" t="str">
        <f aca="false">IF(INT(AD$3)=INT($C79), TEXT($C79, "dd-mmm"), "")</f>
        <v/>
      </c>
      <c r="AE79" s="84" t="str">
        <f aca="false">IF(INT(AE$3)=INT($C79), TEXT($C79, "dd-mmm"), "")</f>
        <v/>
      </c>
      <c r="AF79" s="84" t="str">
        <f aca="false">IF(INT(AF$3)=INT($C79), TEXT($C79, "dd-mmm"), "")</f>
        <v/>
      </c>
      <c r="AG79" s="84" t="str">
        <f aca="false">IF(INT(AG$3)=INT($C79), TEXT($C79, "dd-mmm"), "")</f>
        <v/>
      </c>
      <c r="AH79" s="84" t="str">
        <f aca="false">IF(INT(AH$3)=INT($C79), TEXT($C79, "dd-mmm"), "")</f>
        <v/>
      </c>
      <c r="AI79" s="84" t="str">
        <f aca="false">IF(INT(AI$3)=INT($C79), TEXT($C79, "dd-mmm"), "")</f>
        <v/>
      </c>
      <c r="AJ79" s="84" t="str">
        <f aca="false">IF(INT(AJ$3)=INT($C79), TEXT($C79, "dd-mmm"), "")</f>
        <v/>
      </c>
      <c r="AK79" s="84" t="str">
        <f aca="false">IF(INT(AK$3)=INT($C79), TEXT($C79, "dd-mmm"), "")</f>
        <v/>
      </c>
      <c r="AL79" s="84" t="str">
        <f aca="false">IF(INT(AL$3)=INT($C79), TEXT($C79, "dd-mmm"), "")</f>
        <v/>
      </c>
      <c r="AM79" s="84" t="str">
        <f aca="false">IF(INT(AM$3)=INT($C79), TEXT($C79, "dd-mmm"), "")</f>
        <v/>
      </c>
      <c r="AN79" s="84" t="str">
        <f aca="false">IF(INT(AN$3)=INT($C79), TEXT($C79, "dd-mmm"), "")</f>
        <v/>
      </c>
      <c r="AO79" s="84" t="str">
        <f aca="false">IF(INT(AO$3)=INT($C79), TEXT($C79, "dd-mmm"), "")</f>
        <v/>
      </c>
      <c r="AP79" s="84" t="str">
        <f aca="false">IF(INT(AP$3)=INT($C79), TEXT($C79, "dd-mmm"), "")</f>
        <v/>
      </c>
      <c r="AQ79" s="84" t="str">
        <f aca="false">IF(INT(AQ$3)=INT($C79), TEXT($C79, "dd-mmm"), "")</f>
        <v/>
      </c>
      <c r="AR79" s="84" t="str">
        <f aca="false">IF(INT(AR$3)=INT($C79), TEXT($C79, "dd-mmm"), "")</f>
        <v/>
      </c>
      <c r="AS79" s="84" t="str">
        <f aca="false">IF(INT(AS$3)=INT($C79), TEXT($C79, "dd-mmm"), "")</f>
        <v/>
      </c>
      <c r="AT79" s="84" t="str">
        <f aca="false">IF(INT(AT$3)=INT($C79), TEXT($C79, "dd-mmm"), "")</f>
        <v/>
      </c>
      <c r="AU79" s="84" t="str">
        <f aca="false">IF(INT(AU$3)=INT($C79), TEXT($C79, "dd-mmm"), "")</f>
        <v/>
      </c>
      <c r="AV79" s="84" t="str">
        <f aca="false">IF(INT(AV$3)=INT($C79), TEXT($C79, "dd-mmm"), "")</f>
        <v/>
      </c>
      <c r="AW79" s="84" t="str">
        <f aca="false">IF(INT(AW$3)=INT($C79), TEXT($C79, "dd-mmm"), "")</f>
        <v/>
      </c>
      <c r="AX79" s="84" t="str">
        <f aca="false">IF(INT(AX$3)=INT($C79), TEXT($C79, "dd-mmm"), "")</f>
        <v/>
      </c>
      <c r="AY79" s="84" t="str">
        <f aca="false">IF(INT(AY$3)=INT($C79), TEXT($C79, "dd-mmm"), "")</f>
        <v/>
      </c>
      <c r="AZ79" s="84" t="str">
        <f aca="false">IF(INT(AZ$3)=INT($C79), TEXT($C79, "dd-mmm"), "")</f>
        <v/>
      </c>
      <c r="BA79" s="84" t="str">
        <f aca="false">IF(INT(BA$3)=INT($C79), TEXT($C79, "dd-mmm"), "")</f>
        <v/>
      </c>
      <c r="BB79" s="84" t="str">
        <f aca="false">IF(INT(BB$3)=INT($C79), TEXT($C79, "dd-mmm"), "")</f>
        <v/>
      </c>
      <c r="BC79" s="84" t="str">
        <f aca="false">IF(INT(BC$3)=INT($C79), TEXT($C79, "dd-mmm"), "")</f>
        <v/>
      </c>
      <c r="BD79" s="84" t="str">
        <f aca="false">IF(INT(BD$3)=INT($C79), TEXT($C79, "dd-mmm"), "")</f>
        <v/>
      </c>
      <c r="BE79" s="84" t="str">
        <f aca="false">IF(INT(BE$3)=INT($C79), TEXT($C79, "dd-mmm"), "")</f>
        <v/>
      </c>
      <c r="BF79" s="84" t="str">
        <f aca="false">IF(INT(BF$3)=INT($C79), TEXT($C79, "dd-mmm"), "")</f>
        <v/>
      </c>
      <c r="BG79" s="84" t="str">
        <f aca="false">IF(INT(BG$3)=INT($C79), TEXT($C79, "dd-mmm"), "")</f>
        <v/>
      </c>
      <c r="BH79" s="84" t="str">
        <f aca="false">IF(INT(BH$3)=INT($C79), TEXT($C79, "dd-mmm"), "")</f>
        <v/>
      </c>
      <c r="BI79" s="84" t="str">
        <f aca="false">IF(INT(BI$3)=INT($C79), TEXT($C79, "dd-mmm"), "")</f>
        <v/>
      </c>
      <c r="BJ79" s="84" t="str">
        <f aca="false">IF(INT(BJ$3)=INT($C79), TEXT($C79, "dd-mmm"), "")</f>
        <v/>
      </c>
      <c r="BK79" s="84" t="str">
        <f aca="false">IF(INT(BK$3)=INT($C79), TEXT($C79, "dd-mmm"), "")</f>
        <v/>
      </c>
      <c r="BL79" s="84" t="str">
        <f aca="false">IF(INT(BL$3)=INT($C79), TEXT($C79, "dd-mmm"), "")</f>
        <v/>
      </c>
      <c r="BM79" s="84" t="str">
        <f aca="false">IF(INT(BM$3)=INT($C79), TEXT($C79, "dd-mmm"), "")</f>
        <v/>
      </c>
      <c r="BN79" s="84" t="str">
        <f aca="false">IF(INT(BN$3)=INT($C79), TEXT($C79, "dd-mmm"), "")</f>
        <v/>
      </c>
    </row>
    <row r="80" customFormat="false" ht="15" hidden="false" customHeight="true" outlineLevel="0" collapsed="false">
      <c r="A80" s="4" t="str">
        <f aca="false">Machine_List!A80</f>
        <v>FID</v>
      </c>
      <c r="B80" s="4" t="str">
        <f aca="false">Machine_List!B80</f>
        <v>FID-MC-09</v>
      </c>
      <c r="C80" s="12" t="n">
        <f aca="false">Machine_List!C80</f>
        <v>46165</v>
      </c>
      <c r="D80" s="4" t="n">
        <f aca="false">Machine_List!D80</f>
        <v>6</v>
      </c>
      <c r="E80" s="4" t="n">
        <f aca="true">C80-TODAY()</f>
        <v>47</v>
      </c>
      <c r="F80" s="4" t="str">
        <f aca="false">IF(E80&lt;0,"OVERDUE",IF(E80&lt;=5,"DUE SOON","OK"))</f>
        <v>OK</v>
      </c>
      <c r="G80" s="84" t="str">
        <f aca="false">IF(INT(G$3)=INT($C80), TEXT($C80, "dd-mmm"), "")</f>
        <v/>
      </c>
      <c r="H80" s="84" t="str">
        <f aca="false">IF(INT(H$3)=INT($C80), TEXT($C80, "dd-mmm"), "")</f>
        <v/>
      </c>
      <c r="I80" s="84" t="str">
        <f aca="false">IF(INT(I$3)=INT($C80), TEXT($C80, "dd-mmm"), "")</f>
        <v/>
      </c>
      <c r="J80" s="84" t="str">
        <f aca="false">IF(INT(J$3)=INT($C80), TEXT($C80, "dd-mmm"), "")</f>
        <v/>
      </c>
      <c r="K80" s="84" t="str">
        <f aca="false">IF(INT(K$3)=INT($C80), TEXT($C80, "dd-mmm"), "")</f>
        <v/>
      </c>
      <c r="L80" s="84" t="str">
        <f aca="false">IF(INT(L$3)=INT($C80), TEXT($C80, "dd-mmm"), "")</f>
        <v/>
      </c>
      <c r="M80" s="84" t="str">
        <f aca="false">IF(INT(M$3)=INT($C80), TEXT($C80, "dd-mmm"), "")</f>
        <v/>
      </c>
      <c r="N80" s="84" t="str">
        <f aca="false">IF(INT(N$3)=INT($C80), TEXT($C80, "dd-mmm"), "")</f>
        <v/>
      </c>
      <c r="O80" s="84" t="str">
        <f aca="false">IF(INT(O$3)=INT($C80), TEXT($C80, "dd-mmm"), "")</f>
        <v/>
      </c>
      <c r="P80" s="84" t="str">
        <f aca="false">IF(INT(P$3)=INT($C80), TEXT($C80, "dd-mmm"), "")</f>
        <v/>
      </c>
      <c r="Q80" s="84" t="str">
        <f aca="false">IF(INT(Q$3)=INT($C80), TEXT($C80, "dd-mmm"), "")</f>
        <v/>
      </c>
      <c r="R80" s="84" t="str">
        <f aca="false">IF(INT(R$3)=INT($C80), TEXT($C80, "dd-mmm"), "")</f>
        <v/>
      </c>
      <c r="S80" s="84" t="str">
        <f aca="false">IF(INT(S$3)=INT($C80), TEXT($C80, "dd-mmm"), "")</f>
        <v/>
      </c>
      <c r="T80" s="84" t="str">
        <f aca="false">IF(INT(T$3)=INT($C80), TEXT($C80, "dd-mmm"), "")</f>
        <v/>
      </c>
      <c r="U80" s="84" t="str">
        <f aca="false">IF(INT(U$3)=INT($C80), TEXT($C80, "dd-mmm"), "")</f>
        <v/>
      </c>
      <c r="V80" s="84" t="str">
        <f aca="false">IF(INT(V$3)=INT($C80), TEXT($C80, "dd-mmm"), "")</f>
        <v/>
      </c>
      <c r="W80" s="84" t="str">
        <f aca="false">IF(INT(W$3)=INT($C80), TEXT($C80, "dd-mmm"), "")</f>
        <v/>
      </c>
      <c r="X80" s="84" t="str">
        <f aca="false">IF(INT(X$3)=INT($C80), TEXT($C80, "dd-mmm"), "")</f>
        <v/>
      </c>
      <c r="Y80" s="84" t="str">
        <f aca="false">IF(INT(Y$3)=INT($C80), TEXT($C80, "dd-mmm"), "")</f>
        <v/>
      </c>
      <c r="Z80" s="84" t="str">
        <f aca="false">IF(INT(Z$3)=INT($C80), TEXT($C80, "dd-mmm"), "")</f>
        <v/>
      </c>
      <c r="AA80" s="84" t="str">
        <f aca="false">IF(INT(AA$3)=INT($C80), TEXT($C80, "dd-mmm"), "")</f>
        <v/>
      </c>
      <c r="AB80" s="84" t="str">
        <f aca="false">IF(INT(AB$3)=INT($C80), TEXT($C80, "dd-mmm"), "")</f>
        <v/>
      </c>
      <c r="AC80" s="84" t="str">
        <f aca="false">IF(INT(AC$3)=INT($C80), TEXT($C80, "dd-mmm"), "")</f>
        <v/>
      </c>
      <c r="AD80" s="84" t="str">
        <f aca="false">IF(INT(AD$3)=INT($C80), TEXT($C80, "dd-mmm"), "")</f>
        <v/>
      </c>
      <c r="AE80" s="84" t="str">
        <f aca="false">IF(INT(AE$3)=INT($C80), TEXT($C80, "dd-mmm"), "")</f>
        <v/>
      </c>
      <c r="AF80" s="84" t="str">
        <f aca="false">IF(INT(AF$3)=INT($C80), TEXT($C80, "dd-mmm"), "")</f>
        <v/>
      </c>
      <c r="AG80" s="84" t="str">
        <f aca="false">IF(INT(AG$3)=INT($C80), TEXT($C80, "dd-mmm"), "")</f>
        <v/>
      </c>
      <c r="AH80" s="84" t="str">
        <f aca="false">IF(INT(AH$3)=INT($C80), TEXT($C80, "dd-mmm"), "")</f>
        <v/>
      </c>
      <c r="AI80" s="84" t="str">
        <f aca="false">IF(INT(AI$3)=INT($C80), TEXT($C80, "dd-mmm"), "")</f>
        <v/>
      </c>
      <c r="AJ80" s="84" t="str">
        <f aca="false">IF(INT(AJ$3)=INT($C80), TEXT($C80, "dd-mmm"), "")</f>
        <v/>
      </c>
      <c r="AK80" s="84" t="str">
        <f aca="false">IF(INT(AK$3)=INT($C80), TEXT($C80, "dd-mmm"), "")</f>
        <v/>
      </c>
      <c r="AL80" s="84" t="str">
        <f aca="false">IF(INT(AL$3)=INT($C80), TEXT($C80, "dd-mmm"), "")</f>
        <v/>
      </c>
      <c r="AM80" s="84" t="str">
        <f aca="false">IF(INT(AM$3)=INT($C80), TEXT($C80, "dd-mmm"), "")</f>
        <v/>
      </c>
      <c r="AN80" s="84" t="str">
        <f aca="false">IF(INT(AN$3)=INT($C80), TEXT($C80, "dd-mmm"), "")</f>
        <v/>
      </c>
      <c r="AO80" s="84" t="str">
        <f aca="false">IF(INT(AO$3)=INT($C80), TEXT($C80, "dd-mmm"), "")</f>
        <v/>
      </c>
      <c r="AP80" s="84" t="str">
        <f aca="false">IF(INT(AP$3)=INT($C80), TEXT($C80, "dd-mmm"), "")</f>
        <v/>
      </c>
      <c r="AQ80" s="84" t="str">
        <f aca="false">IF(INT(AQ$3)=INT($C80), TEXT($C80, "dd-mmm"), "")</f>
        <v/>
      </c>
      <c r="AR80" s="84" t="str">
        <f aca="false">IF(INT(AR$3)=INT($C80), TEXT($C80, "dd-mmm"), "")</f>
        <v/>
      </c>
      <c r="AS80" s="84" t="str">
        <f aca="false">IF(INT(AS$3)=INT($C80), TEXT($C80, "dd-mmm"), "")</f>
        <v/>
      </c>
      <c r="AT80" s="84" t="str">
        <f aca="false">IF(INT(AT$3)=INT($C80), TEXT($C80, "dd-mmm"), "")</f>
        <v/>
      </c>
      <c r="AU80" s="84" t="str">
        <f aca="false">IF(INT(AU$3)=INT($C80), TEXT($C80, "dd-mmm"), "")</f>
        <v/>
      </c>
      <c r="AV80" s="84" t="str">
        <f aca="false">IF(INT(AV$3)=INT($C80), TEXT($C80, "dd-mmm"), "")</f>
        <v/>
      </c>
      <c r="AW80" s="84" t="str">
        <f aca="false">IF(INT(AW$3)=INT($C80), TEXT($C80, "dd-mmm"), "")</f>
        <v/>
      </c>
      <c r="AX80" s="84" t="str">
        <f aca="false">IF(INT(AX$3)=INT($C80), TEXT($C80, "dd-mmm"), "")</f>
        <v/>
      </c>
      <c r="AY80" s="84" t="str">
        <f aca="false">IF(INT(AY$3)=INT($C80), TEXT($C80, "dd-mmm"), "")</f>
        <v/>
      </c>
      <c r="AZ80" s="84" t="str">
        <f aca="false">IF(INT(AZ$3)=INT($C80), TEXT($C80, "dd-mmm"), "")</f>
        <v/>
      </c>
      <c r="BA80" s="84" t="str">
        <f aca="false">IF(INT(BA$3)=INT($C80), TEXT($C80, "dd-mmm"), "")</f>
        <v/>
      </c>
      <c r="BB80" s="84" t="str">
        <f aca="false">IF(INT(BB$3)=INT($C80), TEXT($C80, "dd-mmm"), "")</f>
        <v/>
      </c>
      <c r="BC80" s="84" t="str">
        <f aca="false">IF(INT(BC$3)=INT($C80), TEXT($C80, "dd-mmm"), "")</f>
        <v/>
      </c>
      <c r="BD80" s="84" t="str">
        <f aca="false">IF(INT(BD$3)=INT($C80), TEXT($C80, "dd-mmm"), "")</f>
        <v/>
      </c>
      <c r="BE80" s="84" t="str">
        <f aca="false">IF(INT(BE$3)=INT($C80), TEXT($C80, "dd-mmm"), "")</f>
        <v/>
      </c>
      <c r="BF80" s="84" t="str">
        <f aca="false">IF(INT(BF$3)=INT($C80), TEXT($C80, "dd-mmm"), "")</f>
        <v/>
      </c>
      <c r="BG80" s="84" t="str">
        <f aca="false">IF(INT(BG$3)=INT($C80), TEXT($C80, "dd-mmm"), "")</f>
        <v>23-May</v>
      </c>
      <c r="BH80" s="84" t="str">
        <f aca="false">IF(INT(BH$3)=INT($C80), TEXT($C80, "dd-mmm"), "")</f>
        <v/>
      </c>
      <c r="BI80" s="84" t="str">
        <f aca="false">IF(INT(BI$3)=INT($C80), TEXT($C80, "dd-mmm"), "")</f>
        <v/>
      </c>
      <c r="BJ80" s="84" t="str">
        <f aca="false">IF(INT(BJ$3)=INT($C80), TEXT($C80, "dd-mmm"), "")</f>
        <v/>
      </c>
      <c r="BK80" s="84" t="str">
        <f aca="false">IF(INT(BK$3)=INT($C80), TEXT($C80, "dd-mmm"), "")</f>
        <v/>
      </c>
      <c r="BL80" s="84" t="str">
        <f aca="false">IF(INT(BL$3)=INT($C80), TEXT($C80, "dd-mmm"), "")</f>
        <v/>
      </c>
      <c r="BM80" s="84" t="str">
        <f aca="false">IF(INT(BM$3)=INT($C80), TEXT($C80, "dd-mmm"), "")</f>
        <v/>
      </c>
      <c r="BN80" s="84" t="str">
        <f aca="false">IF(INT(BN$3)=INT($C80), TEXT($C80, "dd-mmm"), "")</f>
        <v/>
      </c>
    </row>
    <row r="81" customFormat="false" ht="15" hidden="false" customHeight="true" outlineLevel="0" collapsed="false">
      <c r="A81" s="4" t="str">
        <f aca="false">Machine_List!A81</f>
        <v>FID</v>
      </c>
      <c r="B81" s="4" t="str">
        <f aca="false">Machine_List!B81</f>
        <v>FID-MC-10</v>
      </c>
      <c r="C81" s="12" t="n">
        <f aca="false">Machine_List!C81</f>
        <v>46483</v>
      </c>
      <c r="D81" s="4" t="n">
        <f aca="false">Machine_List!D81</f>
        <v>6</v>
      </c>
      <c r="E81" s="4" t="n">
        <f aca="true">C81-TODAY()</f>
        <v>365</v>
      </c>
      <c r="F81" s="4" t="str">
        <f aca="false">IF(E81&lt;0,"OVERDUE",IF(E81&lt;=5,"DUE SOON","OK"))</f>
        <v>OK</v>
      </c>
      <c r="G81" s="84" t="str">
        <f aca="false">IF(INT(G$3)=INT($C81), TEXT($C81, "dd-mmm"), "")</f>
        <v/>
      </c>
      <c r="H81" s="84" t="str">
        <f aca="false">IF(INT(H$3)=INT($C81), TEXT($C81, "dd-mmm"), "")</f>
        <v/>
      </c>
      <c r="I81" s="84" t="str">
        <f aca="false">IF(INT(I$3)=INT($C81), TEXT($C81, "dd-mmm"), "")</f>
        <v/>
      </c>
      <c r="J81" s="84" t="str">
        <f aca="false">IF(INT(J$3)=INT($C81), TEXT($C81, "dd-mmm"), "")</f>
        <v/>
      </c>
      <c r="K81" s="84" t="str">
        <f aca="false">IF(INT(K$3)=INT($C81), TEXT($C81, "dd-mmm"), "")</f>
        <v/>
      </c>
      <c r="L81" s="84" t="str">
        <f aca="false">IF(INT(L$3)=INT($C81), TEXT($C81, "dd-mmm"), "")</f>
        <v/>
      </c>
      <c r="M81" s="84" t="str">
        <f aca="false">IF(INT(M$3)=INT($C81), TEXT($C81, "dd-mmm"), "")</f>
        <v/>
      </c>
      <c r="N81" s="84" t="str">
        <f aca="false">IF(INT(N$3)=INT($C81), TEXT($C81, "dd-mmm"), "")</f>
        <v/>
      </c>
      <c r="O81" s="84" t="str">
        <f aca="false">IF(INT(O$3)=INT($C81), TEXT($C81, "dd-mmm"), "")</f>
        <v/>
      </c>
      <c r="P81" s="84" t="str">
        <f aca="false">IF(INT(P$3)=INT($C81), TEXT($C81, "dd-mmm"), "")</f>
        <v/>
      </c>
      <c r="Q81" s="84" t="str">
        <f aca="false">IF(INT(Q$3)=INT($C81), TEXT($C81, "dd-mmm"), "")</f>
        <v/>
      </c>
      <c r="R81" s="84" t="str">
        <f aca="false">IF(INT(R$3)=INT($C81), TEXT($C81, "dd-mmm"), "")</f>
        <v/>
      </c>
      <c r="S81" s="84" t="str">
        <f aca="false">IF(INT(S$3)=INT($C81), TEXT($C81, "dd-mmm"), "")</f>
        <v/>
      </c>
      <c r="T81" s="84" t="str">
        <f aca="false">IF(INT(T$3)=INT($C81), TEXT($C81, "dd-mmm"), "")</f>
        <v/>
      </c>
      <c r="U81" s="84" t="str">
        <f aca="false">IF(INT(U$3)=INT($C81), TEXT($C81, "dd-mmm"), "")</f>
        <v/>
      </c>
      <c r="V81" s="84" t="str">
        <f aca="false">IF(INT(V$3)=INT($C81), TEXT($C81, "dd-mmm"), "")</f>
        <v/>
      </c>
      <c r="W81" s="84" t="str">
        <f aca="false">IF(INT(W$3)=INT($C81), TEXT($C81, "dd-mmm"), "")</f>
        <v/>
      </c>
      <c r="X81" s="84" t="str">
        <f aca="false">IF(INT(X$3)=INT($C81), TEXT($C81, "dd-mmm"), "")</f>
        <v/>
      </c>
      <c r="Y81" s="84" t="str">
        <f aca="false">IF(INT(Y$3)=INT($C81), TEXT($C81, "dd-mmm"), "")</f>
        <v/>
      </c>
      <c r="Z81" s="84" t="str">
        <f aca="false">IF(INT(Z$3)=INT($C81), TEXT($C81, "dd-mmm"), "")</f>
        <v/>
      </c>
      <c r="AA81" s="84" t="str">
        <f aca="false">IF(INT(AA$3)=INT($C81), TEXT($C81, "dd-mmm"), "")</f>
        <v/>
      </c>
      <c r="AB81" s="84" t="str">
        <f aca="false">IF(INT(AB$3)=INT($C81), TEXT($C81, "dd-mmm"), "")</f>
        <v/>
      </c>
      <c r="AC81" s="84" t="str">
        <f aca="false">IF(INT(AC$3)=INT($C81), TEXT($C81, "dd-mmm"), "")</f>
        <v/>
      </c>
      <c r="AD81" s="84" t="str">
        <f aca="false">IF(INT(AD$3)=INT($C81), TEXT($C81, "dd-mmm"), "")</f>
        <v/>
      </c>
      <c r="AE81" s="84" t="str">
        <f aca="false">IF(INT(AE$3)=INT($C81), TEXT($C81, "dd-mmm"), "")</f>
        <v/>
      </c>
      <c r="AF81" s="84" t="str">
        <f aca="false">IF(INT(AF$3)=INT($C81), TEXT($C81, "dd-mmm"), "")</f>
        <v/>
      </c>
      <c r="AG81" s="84" t="str">
        <f aca="false">IF(INT(AG$3)=INT($C81), TEXT($C81, "dd-mmm"), "")</f>
        <v/>
      </c>
      <c r="AH81" s="84" t="str">
        <f aca="false">IF(INT(AH$3)=INT($C81), TEXT($C81, "dd-mmm"), "")</f>
        <v/>
      </c>
      <c r="AI81" s="84" t="str">
        <f aca="false">IF(INT(AI$3)=INT($C81), TEXT($C81, "dd-mmm"), "")</f>
        <v/>
      </c>
      <c r="AJ81" s="84" t="str">
        <f aca="false">IF(INT(AJ$3)=INT($C81), TEXT($C81, "dd-mmm"), "")</f>
        <v/>
      </c>
      <c r="AK81" s="84" t="str">
        <f aca="false">IF(INT(AK$3)=INT($C81), TEXT($C81, "dd-mmm"), "")</f>
        <v/>
      </c>
      <c r="AL81" s="84" t="str">
        <f aca="false">IF(INT(AL$3)=INT($C81), TEXT($C81, "dd-mmm"), "")</f>
        <v/>
      </c>
      <c r="AM81" s="84" t="str">
        <f aca="false">IF(INT(AM$3)=INT($C81), TEXT($C81, "dd-mmm"), "")</f>
        <v/>
      </c>
      <c r="AN81" s="84" t="str">
        <f aca="false">IF(INT(AN$3)=INT($C81), TEXT($C81, "dd-mmm"), "")</f>
        <v/>
      </c>
      <c r="AO81" s="84" t="str">
        <f aca="false">IF(INT(AO$3)=INT($C81), TEXT($C81, "dd-mmm"), "")</f>
        <v/>
      </c>
      <c r="AP81" s="84" t="str">
        <f aca="false">IF(INT(AP$3)=INT($C81), TEXT($C81, "dd-mmm"), "")</f>
        <v/>
      </c>
      <c r="AQ81" s="84" t="str">
        <f aca="false">IF(INT(AQ$3)=INT($C81), TEXT($C81, "dd-mmm"), "")</f>
        <v/>
      </c>
      <c r="AR81" s="84" t="str">
        <f aca="false">IF(INT(AR$3)=INT($C81), TEXT($C81, "dd-mmm"), "")</f>
        <v/>
      </c>
      <c r="AS81" s="84" t="str">
        <f aca="false">IF(INT(AS$3)=INT($C81), TEXT($C81, "dd-mmm"), "")</f>
        <v/>
      </c>
      <c r="AT81" s="84" t="str">
        <f aca="false">IF(INT(AT$3)=INT($C81), TEXT($C81, "dd-mmm"), "")</f>
        <v/>
      </c>
      <c r="AU81" s="84" t="str">
        <f aca="false">IF(INT(AU$3)=INT($C81), TEXT($C81, "dd-mmm"), "")</f>
        <v/>
      </c>
      <c r="AV81" s="84" t="str">
        <f aca="false">IF(INT(AV$3)=INT($C81), TEXT($C81, "dd-mmm"), "")</f>
        <v/>
      </c>
      <c r="AW81" s="84" t="str">
        <f aca="false">IF(INT(AW$3)=INT($C81), TEXT($C81, "dd-mmm"), "")</f>
        <v/>
      </c>
      <c r="AX81" s="84" t="str">
        <f aca="false">IF(INT(AX$3)=INT($C81), TEXT($C81, "dd-mmm"), "")</f>
        <v/>
      </c>
      <c r="AY81" s="84" t="str">
        <f aca="false">IF(INT(AY$3)=INT($C81), TEXT($C81, "dd-mmm"), "")</f>
        <v/>
      </c>
      <c r="AZ81" s="84" t="str">
        <f aca="false">IF(INT(AZ$3)=INT($C81), TEXT($C81, "dd-mmm"), "")</f>
        <v/>
      </c>
      <c r="BA81" s="84" t="str">
        <f aca="false">IF(INT(BA$3)=INT($C81), TEXT($C81, "dd-mmm"), "")</f>
        <v/>
      </c>
      <c r="BB81" s="84" t="str">
        <f aca="false">IF(INT(BB$3)=INT($C81), TEXT($C81, "dd-mmm"), "")</f>
        <v/>
      </c>
      <c r="BC81" s="84" t="str">
        <f aca="false">IF(INT(BC$3)=INT($C81), TEXT($C81, "dd-mmm"), "")</f>
        <v/>
      </c>
      <c r="BD81" s="84" t="str">
        <f aca="false">IF(INT(BD$3)=INT($C81), TEXT($C81, "dd-mmm"), "")</f>
        <v/>
      </c>
      <c r="BE81" s="84" t="str">
        <f aca="false">IF(INT(BE$3)=INT($C81), TEXT($C81, "dd-mmm"), "")</f>
        <v/>
      </c>
      <c r="BF81" s="84" t="str">
        <f aca="false">IF(INT(BF$3)=INT($C81), TEXT($C81, "dd-mmm"), "")</f>
        <v/>
      </c>
      <c r="BG81" s="84" t="str">
        <f aca="false">IF(INT(BG$3)=INT($C81), TEXT($C81, "dd-mmm"), "")</f>
        <v/>
      </c>
      <c r="BH81" s="84" t="str">
        <f aca="false">IF(INT(BH$3)=INT($C81), TEXT($C81, "dd-mmm"), "")</f>
        <v/>
      </c>
      <c r="BI81" s="84" t="str">
        <f aca="false">IF(INT(BI$3)=INT($C81), TEXT($C81, "dd-mmm"), "")</f>
        <v/>
      </c>
      <c r="BJ81" s="84" t="str">
        <f aca="false">IF(INT(BJ$3)=INT($C81), TEXT($C81, "dd-mmm"), "")</f>
        <v/>
      </c>
      <c r="BK81" s="84" t="str">
        <f aca="false">IF(INT(BK$3)=INT($C81), TEXT($C81, "dd-mmm"), "")</f>
        <v/>
      </c>
      <c r="BL81" s="84" t="str">
        <f aca="false">IF(INT(BL$3)=INT($C81), TEXT($C81, "dd-mmm"), "")</f>
        <v/>
      </c>
      <c r="BM81" s="84" t="str">
        <f aca="false">IF(INT(BM$3)=INT($C81), TEXT($C81, "dd-mmm"), "")</f>
        <v/>
      </c>
      <c r="BN81" s="84" t="str">
        <f aca="false">IF(INT(BN$3)=INT($C81), TEXT($C81, "dd-mmm"), "")</f>
        <v/>
      </c>
    </row>
    <row r="82" customFormat="false" ht="15" hidden="false" customHeight="true" outlineLevel="0" collapsed="false">
      <c r="A82" s="4" t="str">
        <f aca="false">Machine_List!A82</f>
        <v>QC</v>
      </c>
      <c r="B82" s="4" t="str">
        <f aca="false">Machine_List!B82</f>
        <v>QC-MC-01</v>
      </c>
      <c r="C82" s="12" t="n">
        <f aca="false">Machine_List!C82</f>
        <v>46518</v>
      </c>
      <c r="D82" s="4" t="n">
        <f aca="false">Machine_List!D82</f>
        <v>6</v>
      </c>
      <c r="E82" s="4" t="n">
        <f aca="true">C82-TODAY()</f>
        <v>400</v>
      </c>
      <c r="F82" s="4" t="str">
        <f aca="false">IF(E82&lt;0,"OVERDUE",IF(E82&lt;=5,"DUE SOON","OK"))</f>
        <v>OK</v>
      </c>
      <c r="G82" s="84" t="str">
        <f aca="false">IF(INT(G$3)=INT($C82), TEXT($C82, "dd-mmm"), "")</f>
        <v/>
      </c>
      <c r="H82" s="84" t="str">
        <f aca="false">IF(INT(H$3)=INT($C82), TEXT($C82, "dd-mmm"), "")</f>
        <v/>
      </c>
      <c r="I82" s="84" t="str">
        <f aca="false">IF(INT(I$3)=INT($C82), TEXT($C82, "dd-mmm"), "")</f>
        <v/>
      </c>
      <c r="J82" s="84" t="str">
        <f aca="false">IF(INT(J$3)=INT($C82), TEXT($C82, "dd-mmm"), "")</f>
        <v/>
      </c>
      <c r="K82" s="84" t="str">
        <f aca="false">IF(INT(K$3)=INT($C82), TEXT($C82, "dd-mmm"), "")</f>
        <v/>
      </c>
      <c r="L82" s="84" t="str">
        <f aca="false">IF(INT(L$3)=INT($C82), TEXT($C82, "dd-mmm"), "")</f>
        <v/>
      </c>
      <c r="M82" s="84" t="str">
        <f aca="false">IF(INT(M$3)=INT($C82), TEXT($C82, "dd-mmm"), "")</f>
        <v/>
      </c>
      <c r="N82" s="84" t="str">
        <f aca="false">IF(INT(N$3)=INT($C82), TEXT($C82, "dd-mmm"), "")</f>
        <v/>
      </c>
      <c r="O82" s="84" t="str">
        <f aca="false">IF(INT(O$3)=INT($C82), TEXT($C82, "dd-mmm"), "")</f>
        <v/>
      </c>
      <c r="P82" s="84" t="str">
        <f aca="false">IF(INT(P$3)=INT($C82), TEXT($C82, "dd-mmm"), "")</f>
        <v/>
      </c>
      <c r="Q82" s="84" t="str">
        <f aca="false">IF(INT(Q$3)=INT($C82), TEXT($C82, "dd-mmm"), "")</f>
        <v/>
      </c>
      <c r="R82" s="84" t="str">
        <f aca="false">IF(INT(R$3)=INT($C82), TEXT($C82, "dd-mmm"), "")</f>
        <v/>
      </c>
      <c r="S82" s="84" t="str">
        <f aca="false">IF(INT(S$3)=INT($C82), TEXT($C82, "dd-mmm"), "")</f>
        <v/>
      </c>
      <c r="T82" s="84" t="str">
        <f aca="false">IF(INT(T$3)=INT($C82), TEXT($C82, "dd-mmm"), "")</f>
        <v/>
      </c>
      <c r="U82" s="84" t="str">
        <f aca="false">IF(INT(U$3)=INT($C82), TEXT($C82, "dd-mmm"), "")</f>
        <v/>
      </c>
      <c r="V82" s="84" t="str">
        <f aca="false">IF(INT(V$3)=INT($C82), TEXT($C82, "dd-mmm"), "")</f>
        <v/>
      </c>
      <c r="W82" s="84" t="str">
        <f aca="false">IF(INT(W$3)=INT($C82), TEXT($C82, "dd-mmm"), "")</f>
        <v/>
      </c>
      <c r="X82" s="84" t="str">
        <f aca="false">IF(INT(X$3)=INT($C82), TEXT($C82, "dd-mmm"), "")</f>
        <v/>
      </c>
      <c r="Y82" s="84" t="str">
        <f aca="false">IF(INT(Y$3)=INT($C82), TEXT($C82, "dd-mmm"), "")</f>
        <v/>
      </c>
      <c r="Z82" s="84" t="str">
        <f aca="false">IF(INT(Z$3)=INT($C82), TEXT($C82, "dd-mmm"), "")</f>
        <v/>
      </c>
      <c r="AA82" s="84" t="str">
        <f aca="false">IF(INT(AA$3)=INT($C82), TEXT($C82, "dd-mmm"), "")</f>
        <v/>
      </c>
      <c r="AB82" s="84" t="str">
        <f aca="false">IF(INT(AB$3)=INT($C82), TEXT($C82, "dd-mmm"), "")</f>
        <v/>
      </c>
      <c r="AC82" s="84" t="str">
        <f aca="false">IF(INT(AC$3)=INT($C82), TEXT($C82, "dd-mmm"), "")</f>
        <v/>
      </c>
      <c r="AD82" s="84" t="str">
        <f aca="false">IF(INT(AD$3)=INT($C82), TEXT($C82, "dd-mmm"), "")</f>
        <v/>
      </c>
      <c r="AE82" s="84" t="str">
        <f aca="false">IF(INT(AE$3)=INT($C82), TEXT($C82, "dd-mmm"), "")</f>
        <v/>
      </c>
      <c r="AF82" s="84" t="str">
        <f aca="false">IF(INT(AF$3)=INT($C82), TEXT($C82, "dd-mmm"), "")</f>
        <v/>
      </c>
      <c r="AG82" s="84" t="str">
        <f aca="false">IF(INT(AG$3)=INT($C82), TEXT($C82, "dd-mmm"), "")</f>
        <v/>
      </c>
      <c r="AH82" s="84" t="str">
        <f aca="false">IF(INT(AH$3)=INT($C82), TEXT($C82, "dd-mmm"), "")</f>
        <v/>
      </c>
      <c r="AI82" s="84" t="str">
        <f aca="false">IF(INT(AI$3)=INT($C82), TEXT($C82, "dd-mmm"), "")</f>
        <v/>
      </c>
      <c r="AJ82" s="84" t="str">
        <f aca="false">IF(INT(AJ$3)=INT($C82), TEXT($C82, "dd-mmm"), "")</f>
        <v/>
      </c>
      <c r="AK82" s="84" t="str">
        <f aca="false">IF(INT(AK$3)=INT($C82), TEXT($C82, "dd-mmm"), "")</f>
        <v/>
      </c>
      <c r="AL82" s="84" t="str">
        <f aca="false">IF(INT(AL$3)=INT($C82), TEXT($C82, "dd-mmm"), "")</f>
        <v/>
      </c>
      <c r="AM82" s="84" t="str">
        <f aca="false">IF(INT(AM$3)=INT($C82), TEXT($C82, "dd-mmm"), "")</f>
        <v/>
      </c>
      <c r="AN82" s="84" t="str">
        <f aca="false">IF(INT(AN$3)=INT($C82), TEXT($C82, "dd-mmm"), "")</f>
        <v/>
      </c>
      <c r="AO82" s="84" t="str">
        <f aca="false">IF(INT(AO$3)=INT($C82), TEXT($C82, "dd-mmm"), "")</f>
        <v/>
      </c>
      <c r="AP82" s="84" t="str">
        <f aca="false">IF(INT(AP$3)=INT($C82), TEXT($C82, "dd-mmm"), "")</f>
        <v/>
      </c>
      <c r="AQ82" s="84" t="str">
        <f aca="false">IF(INT(AQ$3)=INT($C82), TEXT($C82, "dd-mmm"), "")</f>
        <v/>
      </c>
      <c r="AR82" s="84" t="str">
        <f aca="false">IF(INT(AR$3)=INT($C82), TEXT($C82, "dd-mmm"), "")</f>
        <v/>
      </c>
      <c r="AS82" s="84" t="str">
        <f aca="false">IF(INT(AS$3)=INT($C82), TEXT($C82, "dd-mmm"), "")</f>
        <v/>
      </c>
      <c r="AT82" s="84" t="str">
        <f aca="false">IF(INT(AT$3)=INT($C82), TEXT($C82, "dd-mmm"), "")</f>
        <v/>
      </c>
      <c r="AU82" s="84" t="str">
        <f aca="false">IF(INT(AU$3)=INT($C82), TEXT($C82, "dd-mmm"), "")</f>
        <v/>
      </c>
      <c r="AV82" s="84" t="str">
        <f aca="false">IF(INT(AV$3)=INT($C82), TEXT($C82, "dd-mmm"), "")</f>
        <v/>
      </c>
      <c r="AW82" s="84" t="str">
        <f aca="false">IF(INT(AW$3)=INT($C82), TEXT($C82, "dd-mmm"), "")</f>
        <v/>
      </c>
      <c r="AX82" s="84" t="str">
        <f aca="false">IF(INT(AX$3)=INT($C82), TEXT($C82, "dd-mmm"), "")</f>
        <v/>
      </c>
      <c r="AY82" s="84" t="str">
        <f aca="false">IF(INT(AY$3)=INT($C82), TEXT($C82, "dd-mmm"), "")</f>
        <v/>
      </c>
      <c r="AZ82" s="84" t="str">
        <f aca="false">IF(INT(AZ$3)=INT($C82), TEXT($C82, "dd-mmm"), "")</f>
        <v/>
      </c>
      <c r="BA82" s="84" t="str">
        <f aca="false">IF(INT(BA$3)=INT($C82), TEXT($C82, "dd-mmm"), "")</f>
        <v/>
      </c>
      <c r="BB82" s="84" t="str">
        <f aca="false">IF(INT(BB$3)=INT($C82), TEXT($C82, "dd-mmm"), "")</f>
        <v/>
      </c>
      <c r="BC82" s="84" t="str">
        <f aca="false">IF(INT(BC$3)=INT($C82), TEXT($C82, "dd-mmm"), "")</f>
        <v/>
      </c>
      <c r="BD82" s="84" t="str">
        <f aca="false">IF(INT(BD$3)=INT($C82), TEXT($C82, "dd-mmm"), "")</f>
        <v/>
      </c>
      <c r="BE82" s="84" t="str">
        <f aca="false">IF(INT(BE$3)=INT($C82), TEXT($C82, "dd-mmm"), "")</f>
        <v/>
      </c>
      <c r="BF82" s="84" t="str">
        <f aca="false">IF(INT(BF$3)=INT($C82), TEXT($C82, "dd-mmm"), "")</f>
        <v/>
      </c>
      <c r="BG82" s="84" t="str">
        <f aca="false">IF(INT(BG$3)=INT($C82), TEXT($C82, "dd-mmm"), "")</f>
        <v/>
      </c>
      <c r="BH82" s="84" t="str">
        <f aca="false">IF(INT(BH$3)=INT($C82), TEXT($C82, "dd-mmm"), "")</f>
        <v/>
      </c>
      <c r="BI82" s="84" t="str">
        <f aca="false">IF(INT(BI$3)=INT($C82), TEXT($C82, "dd-mmm"), "")</f>
        <v/>
      </c>
      <c r="BJ82" s="84" t="str">
        <f aca="false">IF(INT(BJ$3)=INT($C82), TEXT($C82, "dd-mmm"), "")</f>
        <v/>
      </c>
      <c r="BK82" s="84" t="str">
        <f aca="false">IF(INT(BK$3)=INT($C82), TEXT($C82, "dd-mmm"), "")</f>
        <v/>
      </c>
      <c r="BL82" s="84" t="str">
        <f aca="false">IF(INT(BL$3)=INT($C82), TEXT($C82, "dd-mmm"), "")</f>
        <v/>
      </c>
      <c r="BM82" s="84" t="str">
        <f aca="false">IF(INT(BM$3)=INT($C82), TEXT($C82, "dd-mmm"), "")</f>
        <v/>
      </c>
      <c r="BN82" s="84" t="str">
        <f aca="false">IF(INT(BN$3)=INT($C82), TEXT($C82, "dd-mmm"), "")</f>
        <v/>
      </c>
    </row>
    <row r="83" customFormat="false" ht="15" hidden="false" customHeight="true" outlineLevel="0" collapsed="false">
      <c r="A83" s="4" t="str">
        <f aca="false">Machine_List!A83</f>
        <v>QC</v>
      </c>
      <c r="B83" s="4" t="str">
        <f aca="false">Machine_List!B83</f>
        <v>QC-MC-02</v>
      </c>
      <c r="C83" s="12" t="n">
        <f aca="false">Machine_List!C83</f>
        <v>46115</v>
      </c>
      <c r="D83" s="4" t="n">
        <f aca="false">Machine_List!D83</f>
        <v>6</v>
      </c>
      <c r="E83" s="4" t="n">
        <f aca="true">C83-TODAY()</f>
        <v>-3</v>
      </c>
      <c r="F83" s="4" t="str">
        <f aca="false">IF(E83&lt;0,"OVERDUE",IF(E83&lt;=5,"DUE SOON","OK"))</f>
        <v>OVERDUE</v>
      </c>
      <c r="G83" s="84" t="str">
        <f aca="false">IF(INT(G$3)=INT($C83), TEXT($C83, "dd-mmm"), "")</f>
        <v/>
      </c>
      <c r="H83" s="84" t="str">
        <f aca="false">IF(INT(H$3)=INT($C83), TEXT($C83, "dd-mmm"), "")</f>
        <v/>
      </c>
      <c r="I83" s="84" t="str">
        <f aca="false">IF(INT(I$3)=INT($C83), TEXT($C83, "dd-mmm"), "")</f>
        <v>03-Apr</v>
      </c>
      <c r="J83" s="84" t="str">
        <f aca="false">IF(INT(J$3)=INT($C83), TEXT($C83, "dd-mmm"), "")</f>
        <v/>
      </c>
      <c r="K83" s="84" t="str">
        <f aca="false">IF(INT(K$3)=INT($C83), TEXT($C83, "dd-mmm"), "")</f>
        <v/>
      </c>
      <c r="L83" s="84" t="str">
        <f aca="false">IF(INT(L$3)=INT($C83), TEXT($C83, "dd-mmm"), "")</f>
        <v/>
      </c>
      <c r="M83" s="84" t="str">
        <f aca="false">IF(INT(M$3)=INT($C83), TEXT($C83, "dd-mmm"), "")</f>
        <v/>
      </c>
      <c r="N83" s="84" t="str">
        <f aca="false">IF(INT(N$3)=INT($C83), TEXT($C83, "dd-mmm"), "")</f>
        <v/>
      </c>
      <c r="O83" s="84" t="str">
        <f aca="false">IF(INT(O$3)=INT($C83), TEXT($C83, "dd-mmm"), "")</f>
        <v/>
      </c>
      <c r="P83" s="84" t="str">
        <f aca="false">IF(INT(P$3)=INT($C83), TEXT($C83, "dd-mmm"), "")</f>
        <v/>
      </c>
      <c r="Q83" s="84" t="str">
        <f aca="false">IF(INT(Q$3)=INT($C83), TEXT($C83, "dd-mmm"), "")</f>
        <v/>
      </c>
      <c r="R83" s="84" t="str">
        <f aca="false">IF(INT(R$3)=INT($C83), TEXT($C83, "dd-mmm"), "")</f>
        <v/>
      </c>
      <c r="S83" s="84" t="str">
        <f aca="false">IF(INT(S$3)=INT($C83), TEXT($C83, "dd-mmm"), "")</f>
        <v/>
      </c>
      <c r="T83" s="84" t="str">
        <f aca="false">IF(INT(T$3)=INT($C83), TEXT($C83, "dd-mmm"), "")</f>
        <v/>
      </c>
      <c r="U83" s="84" t="str">
        <f aca="false">IF(INT(U$3)=INT($C83), TEXT($C83, "dd-mmm"), "")</f>
        <v/>
      </c>
      <c r="V83" s="84" t="str">
        <f aca="false">IF(INT(V$3)=INT($C83), TEXT($C83, "dd-mmm"), "")</f>
        <v/>
      </c>
      <c r="W83" s="84" t="str">
        <f aca="false">IF(INT(W$3)=INT($C83), TEXT($C83, "dd-mmm"), "")</f>
        <v/>
      </c>
      <c r="X83" s="84" t="str">
        <f aca="false">IF(INT(X$3)=INT($C83), TEXT($C83, "dd-mmm"), "")</f>
        <v/>
      </c>
      <c r="Y83" s="84" t="str">
        <f aca="false">IF(INT(Y$3)=INT($C83), TEXT($C83, "dd-mmm"), "")</f>
        <v/>
      </c>
      <c r="Z83" s="84" t="str">
        <f aca="false">IF(INT(Z$3)=INT($C83), TEXT($C83, "dd-mmm"), "")</f>
        <v/>
      </c>
      <c r="AA83" s="84" t="str">
        <f aca="false">IF(INT(AA$3)=INT($C83), TEXT($C83, "dd-mmm"), "")</f>
        <v/>
      </c>
      <c r="AB83" s="84" t="str">
        <f aca="false">IF(INT(AB$3)=INT($C83), TEXT($C83, "dd-mmm"), "")</f>
        <v/>
      </c>
      <c r="AC83" s="84" t="str">
        <f aca="false">IF(INT(AC$3)=INT($C83), TEXT($C83, "dd-mmm"), "")</f>
        <v/>
      </c>
      <c r="AD83" s="84" t="str">
        <f aca="false">IF(INT(AD$3)=INT($C83), TEXT($C83, "dd-mmm"), "")</f>
        <v/>
      </c>
      <c r="AE83" s="84" t="str">
        <f aca="false">IF(INT(AE$3)=INT($C83), TEXT($C83, "dd-mmm"), "")</f>
        <v/>
      </c>
      <c r="AF83" s="84" t="str">
        <f aca="false">IF(INT(AF$3)=INT($C83), TEXT($C83, "dd-mmm"), "")</f>
        <v/>
      </c>
      <c r="AG83" s="84" t="str">
        <f aca="false">IF(INT(AG$3)=INT($C83), TEXT($C83, "dd-mmm"), "")</f>
        <v/>
      </c>
      <c r="AH83" s="84" t="str">
        <f aca="false">IF(INT(AH$3)=INT($C83), TEXT($C83, "dd-mmm"), "")</f>
        <v/>
      </c>
      <c r="AI83" s="84" t="str">
        <f aca="false">IF(INT(AI$3)=INT($C83), TEXT($C83, "dd-mmm"), "")</f>
        <v/>
      </c>
      <c r="AJ83" s="84" t="str">
        <f aca="false">IF(INT(AJ$3)=INT($C83), TEXT($C83, "dd-mmm"), "")</f>
        <v/>
      </c>
      <c r="AK83" s="84" t="str">
        <f aca="false">IF(INT(AK$3)=INT($C83), TEXT($C83, "dd-mmm"), "")</f>
        <v/>
      </c>
      <c r="AL83" s="84" t="str">
        <f aca="false">IF(INT(AL$3)=INT($C83), TEXT($C83, "dd-mmm"), "")</f>
        <v/>
      </c>
      <c r="AM83" s="84" t="str">
        <f aca="false">IF(INT(AM$3)=INT($C83), TEXT($C83, "dd-mmm"), "")</f>
        <v/>
      </c>
      <c r="AN83" s="84" t="str">
        <f aca="false">IF(INT(AN$3)=INT($C83), TEXT($C83, "dd-mmm"), "")</f>
        <v/>
      </c>
      <c r="AO83" s="84" t="str">
        <f aca="false">IF(INT(AO$3)=INT($C83), TEXT($C83, "dd-mmm"), "")</f>
        <v/>
      </c>
      <c r="AP83" s="84" t="str">
        <f aca="false">IF(INT(AP$3)=INT($C83), TEXT($C83, "dd-mmm"), "")</f>
        <v/>
      </c>
      <c r="AQ83" s="84" t="str">
        <f aca="false">IF(INT(AQ$3)=INT($C83), TEXT($C83, "dd-mmm"), "")</f>
        <v/>
      </c>
      <c r="AR83" s="84" t="str">
        <f aca="false">IF(INT(AR$3)=INT($C83), TEXT($C83, "dd-mmm"), "")</f>
        <v/>
      </c>
      <c r="AS83" s="84" t="str">
        <f aca="false">IF(INT(AS$3)=INT($C83), TEXT($C83, "dd-mmm"), "")</f>
        <v/>
      </c>
      <c r="AT83" s="84" t="str">
        <f aca="false">IF(INT(AT$3)=INT($C83), TEXT($C83, "dd-mmm"), "")</f>
        <v/>
      </c>
      <c r="AU83" s="84" t="str">
        <f aca="false">IF(INT(AU$3)=INT($C83), TEXT($C83, "dd-mmm"), "")</f>
        <v/>
      </c>
      <c r="AV83" s="84" t="str">
        <f aca="false">IF(INT(AV$3)=INT($C83), TEXT($C83, "dd-mmm"), "")</f>
        <v/>
      </c>
      <c r="AW83" s="84" t="str">
        <f aca="false">IF(INT(AW$3)=INT($C83), TEXT($C83, "dd-mmm"), "")</f>
        <v/>
      </c>
      <c r="AX83" s="84" t="str">
        <f aca="false">IF(INT(AX$3)=INT($C83), TEXT($C83, "dd-mmm"), "")</f>
        <v/>
      </c>
      <c r="AY83" s="84" t="str">
        <f aca="false">IF(INT(AY$3)=INT($C83), TEXT($C83, "dd-mmm"), "")</f>
        <v/>
      </c>
      <c r="AZ83" s="84" t="str">
        <f aca="false">IF(INT(AZ$3)=INT($C83), TEXT($C83, "dd-mmm"), "")</f>
        <v/>
      </c>
      <c r="BA83" s="84" t="str">
        <f aca="false">IF(INT(BA$3)=INT($C83), TEXT($C83, "dd-mmm"), "")</f>
        <v/>
      </c>
      <c r="BB83" s="84" t="str">
        <f aca="false">IF(INT(BB$3)=INT($C83), TEXT($C83, "dd-mmm"), "")</f>
        <v/>
      </c>
      <c r="BC83" s="84" t="str">
        <f aca="false">IF(INT(BC$3)=INT($C83), TEXT($C83, "dd-mmm"), "")</f>
        <v/>
      </c>
      <c r="BD83" s="84" t="str">
        <f aca="false">IF(INT(BD$3)=INT($C83), TEXT($C83, "dd-mmm"), "")</f>
        <v/>
      </c>
      <c r="BE83" s="84" t="str">
        <f aca="false">IF(INT(BE$3)=INT($C83), TEXT($C83, "dd-mmm"), "")</f>
        <v/>
      </c>
      <c r="BF83" s="84" t="str">
        <f aca="false">IF(INT(BF$3)=INT($C83), TEXT($C83, "dd-mmm"), "")</f>
        <v/>
      </c>
      <c r="BG83" s="84" t="str">
        <f aca="false">IF(INT(BG$3)=INT($C83), TEXT($C83, "dd-mmm"), "")</f>
        <v/>
      </c>
      <c r="BH83" s="84" t="str">
        <f aca="false">IF(INT(BH$3)=INT($C83), TEXT($C83, "dd-mmm"), "")</f>
        <v/>
      </c>
      <c r="BI83" s="84" t="str">
        <f aca="false">IF(INT(BI$3)=INT($C83), TEXT($C83, "dd-mmm"), "")</f>
        <v/>
      </c>
      <c r="BJ83" s="84" t="str">
        <f aca="false">IF(INT(BJ$3)=INT($C83), TEXT($C83, "dd-mmm"), "")</f>
        <v/>
      </c>
      <c r="BK83" s="84" t="str">
        <f aca="false">IF(INT(BK$3)=INT($C83), TEXT($C83, "dd-mmm"), "")</f>
        <v/>
      </c>
      <c r="BL83" s="84" t="str">
        <f aca="false">IF(INT(BL$3)=INT($C83), TEXT($C83, "dd-mmm"), "")</f>
        <v/>
      </c>
      <c r="BM83" s="84" t="str">
        <f aca="false">IF(INT(BM$3)=INT($C83), TEXT($C83, "dd-mmm"), "")</f>
        <v/>
      </c>
      <c r="BN83" s="84" t="str">
        <f aca="false">IF(INT(BN$3)=INT($C83), TEXT($C83, "dd-mmm"), "")</f>
        <v/>
      </c>
    </row>
    <row r="84" customFormat="false" ht="15" hidden="false" customHeight="true" outlineLevel="0" collapsed="false">
      <c r="A84" s="4" t="str">
        <f aca="false">Machine_List!A84</f>
        <v>QC</v>
      </c>
      <c r="B84" s="4" t="str">
        <f aca="false">Machine_List!B84</f>
        <v>QC-MC-03</v>
      </c>
      <c r="C84" s="12" t="n">
        <f aca="false">Machine_List!C84</f>
        <v>46172</v>
      </c>
      <c r="D84" s="4" t="n">
        <f aca="false">Machine_List!D84</f>
        <v>6</v>
      </c>
      <c r="E84" s="4" t="n">
        <f aca="true">C84-TODAY()</f>
        <v>54</v>
      </c>
      <c r="F84" s="4" t="str">
        <f aca="false">IF(E84&lt;0,"OVERDUE",IF(E84&lt;=5,"DUE SOON","OK"))</f>
        <v>OK</v>
      </c>
      <c r="G84" s="84" t="str">
        <f aca="false">IF(INT(G$3)=INT($C84), TEXT($C84, "dd-mmm"), "")</f>
        <v/>
      </c>
      <c r="H84" s="84" t="str">
        <f aca="false">IF(INT(H$3)=INT($C84), TEXT($C84, "dd-mmm"), "")</f>
        <v/>
      </c>
      <c r="I84" s="84" t="str">
        <f aca="false">IF(INT(I$3)=INT($C84), TEXT($C84, "dd-mmm"), "")</f>
        <v/>
      </c>
      <c r="J84" s="84" t="str">
        <f aca="false">IF(INT(J$3)=INT($C84), TEXT($C84, "dd-mmm"), "")</f>
        <v/>
      </c>
      <c r="K84" s="84" t="str">
        <f aca="false">IF(INT(K$3)=INT($C84), TEXT($C84, "dd-mmm"), "")</f>
        <v/>
      </c>
      <c r="L84" s="84" t="str">
        <f aca="false">IF(INT(L$3)=INT($C84), TEXT($C84, "dd-mmm"), "")</f>
        <v/>
      </c>
      <c r="M84" s="84" t="str">
        <f aca="false">IF(INT(M$3)=INT($C84), TEXT($C84, "dd-mmm"), "")</f>
        <v/>
      </c>
      <c r="N84" s="84" t="str">
        <f aca="false">IF(INT(N$3)=INT($C84), TEXT($C84, "dd-mmm"), "")</f>
        <v/>
      </c>
      <c r="O84" s="84" t="str">
        <f aca="false">IF(INT(O$3)=INT($C84), TEXT($C84, "dd-mmm"), "")</f>
        <v/>
      </c>
      <c r="P84" s="84" t="str">
        <f aca="false">IF(INT(P$3)=INT($C84), TEXT($C84, "dd-mmm"), "")</f>
        <v/>
      </c>
      <c r="Q84" s="84" t="str">
        <f aca="false">IF(INT(Q$3)=INT($C84), TEXT($C84, "dd-mmm"), "")</f>
        <v/>
      </c>
      <c r="R84" s="84" t="str">
        <f aca="false">IF(INT(R$3)=INT($C84), TEXT($C84, "dd-mmm"), "")</f>
        <v/>
      </c>
      <c r="S84" s="84" t="str">
        <f aca="false">IF(INT(S$3)=INT($C84), TEXT($C84, "dd-mmm"), "")</f>
        <v/>
      </c>
      <c r="T84" s="84" t="str">
        <f aca="false">IF(INT(T$3)=INT($C84), TEXT($C84, "dd-mmm"), "")</f>
        <v/>
      </c>
      <c r="U84" s="84" t="str">
        <f aca="false">IF(INT(U$3)=INT($C84), TEXT($C84, "dd-mmm"), "")</f>
        <v/>
      </c>
      <c r="V84" s="84" t="str">
        <f aca="false">IF(INT(V$3)=INT($C84), TEXT($C84, "dd-mmm"), "")</f>
        <v/>
      </c>
      <c r="W84" s="84" t="str">
        <f aca="false">IF(INT(W$3)=INT($C84), TEXT($C84, "dd-mmm"), "")</f>
        <v/>
      </c>
      <c r="X84" s="84" t="str">
        <f aca="false">IF(INT(X$3)=INT($C84), TEXT($C84, "dd-mmm"), "")</f>
        <v/>
      </c>
      <c r="Y84" s="84" t="str">
        <f aca="false">IF(INT(Y$3)=INT($C84), TEXT($C84, "dd-mmm"), "")</f>
        <v/>
      </c>
      <c r="Z84" s="84" t="str">
        <f aca="false">IF(INT(Z$3)=INT($C84), TEXT($C84, "dd-mmm"), "")</f>
        <v/>
      </c>
      <c r="AA84" s="84" t="str">
        <f aca="false">IF(INT(AA$3)=INT($C84), TEXT($C84, "dd-mmm"), "")</f>
        <v/>
      </c>
      <c r="AB84" s="84" t="str">
        <f aca="false">IF(INT(AB$3)=INT($C84), TEXT($C84, "dd-mmm"), "")</f>
        <v/>
      </c>
      <c r="AC84" s="84" t="str">
        <f aca="false">IF(INT(AC$3)=INT($C84), TEXT($C84, "dd-mmm"), "")</f>
        <v/>
      </c>
      <c r="AD84" s="84" t="str">
        <f aca="false">IF(INT(AD$3)=INT($C84), TEXT($C84, "dd-mmm"), "")</f>
        <v/>
      </c>
      <c r="AE84" s="84" t="str">
        <f aca="false">IF(INT(AE$3)=INT($C84), TEXT($C84, "dd-mmm"), "")</f>
        <v/>
      </c>
      <c r="AF84" s="84" t="str">
        <f aca="false">IF(INT(AF$3)=INT($C84), TEXT($C84, "dd-mmm"), "")</f>
        <v/>
      </c>
      <c r="AG84" s="84" t="str">
        <f aca="false">IF(INT(AG$3)=INT($C84), TEXT($C84, "dd-mmm"), "")</f>
        <v/>
      </c>
      <c r="AH84" s="84" t="str">
        <f aca="false">IF(INT(AH$3)=INT($C84), TEXT($C84, "dd-mmm"), "")</f>
        <v/>
      </c>
      <c r="AI84" s="84" t="str">
        <f aca="false">IF(INT(AI$3)=INT($C84), TEXT($C84, "dd-mmm"), "")</f>
        <v/>
      </c>
      <c r="AJ84" s="84" t="str">
        <f aca="false">IF(INT(AJ$3)=INT($C84), TEXT($C84, "dd-mmm"), "")</f>
        <v/>
      </c>
      <c r="AK84" s="84" t="str">
        <f aca="false">IF(INT(AK$3)=INT($C84), TEXT($C84, "dd-mmm"), "")</f>
        <v/>
      </c>
      <c r="AL84" s="84" t="str">
        <f aca="false">IF(INT(AL$3)=INT($C84), TEXT($C84, "dd-mmm"), "")</f>
        <v/>
      </c>
      <c r="AM84" s="84" t="str">
        <f aca="false">IF(INT(AM$3)=INT($C84), TEXT($C84, "dd-mmm"), "")</f>
        <v/>
      </c>
      <c r="AN84" s="84" t="str">
        <f aca="false">IF(INT(AN$3)=INT($C84), TEXT($C84, "dd-mmm"), "")</f>
        <v/>
      </c>
      <c r="AO84" s="84" t="str">
        <f aca="false">IF(INT(AO$3)=INT($C84), TEXT($C84, "dd-mmm"), "")</f>
        <v/>
      </c>
      <c r="AP84" s="84" t="str">
        <f aca="false">IF(INT(AP$3)=INT($C84), TEXT($C84, "dd-mmm"), "")</f>
        <v/>
      </c>
      <c r="AQ84" s="84" t="str">
        <f aca="false">IF(INT(AQ$3)=INT($C84), TEXT($C84, "dd-mmm"), "")</f>
        <v/>
      </c>
      <c r="AR84" s="84" t="str">
        <f aca="false">IF(INT(AR$3)=INT($C84), TEXT($C84, "dd-mmm"), "")</f>
        <v/>
      </c>
      <c r="AS84" s="84" t="str">
        <f aca="false">IF(INT(AS$3)=INT($C84), TEXT($C84, "dd-mmm"), "")</f>
        <v/>
      </c>
      <c r="AT84" s="84" t="str">
        <f aca="false">IF(INT(AT$3)=INT($C84), TEXT($C84, "dd-mmm"), "")</f>
        <v/>
      </c>
      <c r="AU84" s="84" t="str">
        <f aca="false">IF(INT(AU$3)=INT($C84), TEXT($C84, "dd-mmm"), "")</f>
        <v/>
      </c>
      <c r="AV84" s="84" t="str">
        <f aca="false">IF(INT(AV$3)=INT($C84), TEXT($C84, "dd-mmm"), "")</f>
        <v/>
      </c>
      <c r="AW84" s="84" t="str">
        <f aca="false">IF(INT(AW$3)=INT($C84), TEXT($C84, "dd-mmm"), "")</f>
        <v/>
      </c>
      <c r="AX84" s="84" t="str">
        <f aca="false">IF(INT(AX$3)=INT($C84), TEXT($C84, "dd-mmm"), "")</f>
        <v/>
      </c>
      <c r="AY84" s="84" t="str">
        <f aca="false">IF(INT(AY$3)=INT($C84), TEXT($C84, "dd-mmm"), "")</f>
        <v/>
      </c>
      <c r="AZ84" s="84" t="str">
        <f aca="false">IF(INT(AZ$3)=INT($C84), TEXT($C84, "dd-mmm"), "")</f>
        <v/>
      </c>
      <c r="BA84" s="84" t="str">
        <f aca="false">IF(INT(BA$3)=INT($C84), TEXT($C84, "dd-mmm"), "")</f>
        <v/>
      </c>
      <c r="BB84" s="84" t="str">
        <f aca="false">IF(INT(BB$3)=INT($C84), TEXT($C84, "dd-mmm"), "")</f>
        <v/>
      </c>
      <c r="BC84" s="84" t="str">
        <f aca="false">IF(INT(BC$3)=INT($C84), TEXT($C84, "dd-mmm"), "")</f>
        <v/>
      </c>
      <c r="BD84" s="84" t="str">
        <f aca="false">IF(INT(BD$3)=INT($C84), TEXT($C84, "dd-mmm"), "")</f>
        <v/>
      </c>
      <c r="BE84" s="84" t="str">
        <f aca="false">IF(INT(BE$3)=INT($C84), TEXT($C84, "dd-mmm"), "")</f>
        <v/>
      </c>
      <c r="BF84" s="84" t="str">
        <f aca="false">IF(INT(BF$3)=INT($C84), TEXT($C84, "dd-mmm"), "")</f>
        <v/>
      </c>
      <c r="BG84" s="84" t="str">
        <f aca="false">IF(INT(BG$3)=INT($C84), TEXT($C84, "dd-mmm"), "")</f>
        <v/>
      </c>
      <c r="BH84" s="84" t="str">
        <f aca="false">IF(INT(BH$3)=INT($C84), TEXT($C84, "dd-mmm"), "")</f>
        <v/>
      </c>
      <c r="BI84" s="84" t="str">
        <f aca="false">IF(INT(BI$3)=INT($C84), TEXT($C84, "dd-mmm"), "")</f>
        <v/>
      </c>
      <c r="BJ84" s="84" t="str">
        <f aca="false">IF(INT(BJ$3)=INT($C84), TEXT($C84, "dd-mmm"), "")</f>
        <v/>
      </c>
      <c r="BK84" s="84" t="str">
        <f aca="false">IF(INT(BK$3)=INT($C84), TEXT($C84, "dd-mmm"), "")</f>
        <v/>
      </c>
      <c r="BL84" s="84" t="str">
        <f aca="false">IF(INT(BL$3)=INT($C84), TEXT($C84, "dd-mmm"), "")</f>
        <v/>
      </c>
      <c r="BM84" s="84" t="str">
        <f aca="false">IF(INT(BM$3)=INT($C84), TEXT($C84, "dd-mmm"), "")</f>
        <v/>
      </c>
      <c r="BN84" s="84" t="str">
        <f aca="false">IF(INT(BN$3)=INT($C84), TEXT($C84, "dd-mmm"), "")</f>
        <v>30-May</v>
      </c>
    </row>
    <row r="85" customFormat="false" ht="15" hidden="false" customHeight="true" outlineLevel="0" collapsed="false">
      <c r="A85" s="4" t="str">
        <f aca="false">Machine_List!A85</f>
        <v>QC</v>
      </c>
      <c r="B85" s="4" t="str">
        <f aca="false">Machine_List!B85</f>
        <v>QC-MC-04</v>
      </c>
      <c r="C85" s="12" t="n">
        <f aca="false">Machine_List!C85</f>
        <v>46195</v>
      </c>
      <c r="D85" s="4" t="n">
        <f aca="false">Machine_List!D85</f>
        <v>6</v>
      </c>
      <c r="E85" s="4" t="n">
        <f aca="true">C85-TODAY()</f>
        <v>77</v>
      </c>
      <c r="F85" s="4" t="str">
        <f aca="false">IF(E85&lt;0,"OVERDUE",IF(E85&lt;=5,"DUE SOON","OK"))</f>
        <v>OK</v>
      </c>
      <c r="G85" s="84" t="str">
        <f aca="false">IF(INT(G$3)=INT($C85), TEXT($C85, "dd-mmm"), "")</f>
        <v/>
      </c>
      <c r="H85" s="84" t="str">
        <f aca="false">IF(INT(H$3)=INT($C85), TEXT($C85, "dd-mmm"), "")</f>
        <v/>
      </c>
      <c r="I85" s="84" t="str">
        <f aca="false">IF(INT(I$3)=INT($C85), TEXT($C85, "dd-mmm"), "")</f>
        <v/>
      </c>
      <c r="J85" s="84" t="str">
        <f aca="false">IF(INT(J$3)=INT($C85), TEXT($C85, "dd-mmm"), "")</f>
        <v/>
      </c>
      <c r="K85" s="84" t="str">
        <f aca="false">IF(INT(K$3)=INT($C85), TEXT($C85, "dd-mmm"), "")</f>
        <v/>
      </c>
      <c r="L85" s="84" t="str">
        <f aca="false">IF(INT(L$3)=INT($C85), TEXT($C85, "dd-mmm"), "")</f>
        <v/>
      </c>
      <c r="M85" s="84" t="str">
        <f aca="false">IF(INT(M$3)=INT($C85), TEXT($C85, "dd-mmm"), "")</f>
        <v/>
      </c>
      <c r="N85" s="84" t="str">
        <f aca="false">IF(INT(N$3)=INT($C85), TEXT($C85, "dd-mmm"), "")</f>
        <v/>
      </c>
      <c r="O85" s="84" t="str">
        <f aca="false">IF(INT(O$3)=INT($C85), TEXT($C85, "dd-mmm"), "")</f>
        <v/>
      </c>
      <c r="P85" s="84" t="str">
        <f aca="false">IF(INT(P$3)=INT($C85), TEXT($C85, "dd-mmm"), "")</f>
        <v/>
      </c>
      <c r="Q85" s="84" t="str">
        <f aca="false">IF(INT(Q$3)=INT($C85), TEXT($C85, "dd-mmm"), "")</f>
        <v/>
      </c>
      <c r="R85" s="84" t="str">
        <f aca="false">IF(INT(R$3)=INT($C85), TEXT($C85, "dd-mmm"), "")</f>
        <v/>
      </c>
      <c r="S85" s="84" t="str">
        <f aca="false">IF(INT(S$3)=INT($C85), TEXT($C85, "dd-mmm"), "")</f>
        <v/>
      </c>
      <c r="T85" s="84" t="str">
        <f aca="false">IF(INT(T$3)=INT($C85), TEXT($C85, "dd-mmm"), "")</f>
        <v/>
      </c>
      <c r="U85" s="84" t="str">
        <f aca="false">IF(INT(U$3)=INT($C85), TEXT($C85, "dd-mmm"), "")</f>
        <v/>
      </c>
      <c r="V85" s="84" t="str">
        <f aca="false">IF(INT(V$3)=INT($C85), TEXT($C85, "dd-mmm"), "")</f>
        <v/>
      </c>
      <c r="W85" s="84" t="str">
        <f aca="false">IF(INT(W$3)=INT($C85), TEXT($C85, "dd-mmm"), "")</f>
        <v/>
      </c>
      <c r="X85" s="84" t="str">
        <f aca="false">IF(INT(X$3)=INT($C85), TEXT($C85, "dd-mmm"), "")</f>
        <v/>
      </c>
      <c r="Y85" s="84" t="str">
        <f aca="false">IF(INT(Y$3)=INT($C85), TEXT($C85, "dd-mmm"), "")</f>
        <v/>
      </c>
      <c r="Z85" s="84" t="str">
        <f aca="false">IF(INT(Z$3)=INT($C85), TEXT($C85, "dd-mmm"), "")</f>
        <v/>
      </c>
      <c r="AA85" s="84" t="str">
        <f aca="false">IF(INT(AA$3)=INT($C85), TEXT($C85, "dd-mmm"), "")</f>
        <v/>
      </c>
      <c r="AB85" s="84" t="str">
        <f aca="false">IF(INT(AB$3)=INT($C85), TEXT($C85, "dd-mmm"), "")</f>
        <v/>
      </c>
      <c r="AC85" s="84" t="str">
        <f aca="false">IF(INT(AC$3)=INT($C85), TEXT($C85, "dd-mmm"), "")</f>
        <v/>
      </c>
      <c r="AD85" s="84" t="str">
        <f aca="false">IF(INT(AD$3)=INT($C85), TEXT($C85, "dd-mmm"), "")</f>
        <v/>
      </c>
      <c r="AE85" s="84" t="str">
        <f aca="false">IF(INT(AE$3)=INT($C85), TEXT($C85, "dd-mmm"), "")</f>
        <v/>
      </c>
      <c r="AF85" s="84" t="str">
        <f aca="false">IF(INT(AF$3)=INT($C85), TEXT($C85, "dd-mmm"), "")</f>
        <v/>
      </c>
      <c r="AG85" s="84" t="str">
        <f aca="false">IF(INT(AG$3)=INT($C85), TEXT($C85, "dd-mmm"), "")</f>
        <v/>
      </c>
      <c r="AH85" s="84" t="str">
        <f aca="false">IF(INT(AH$3)=INT($C85), TEXT($C85, "dd-mmm"), "")</f>
        <v/>
      </c>
      <c r="AI85" s="84" t="str">
        <f aca="false">IF(INT(AI$3)=INT($C85), TEXT($C85, "dd-mmm"), "")</f>
        <v/>
      </c>
      <c r="AJ85" s="84" t="str">
        <f aca="false">IF(INT(AJ$3)=INT($C85), TEXT($C85, "dd-mmm"), "")</f>
        <v/>
      </c>
      <c r="AK85" s="84" t="str">
        <f aca="false">IF(INT(AK$3)=INT($C85), TEXT($C85, "dd-mmm"), "")</f>
        <v/>
      </c>
      <c r="AL85" s="84" t="str">
        <f aca="false">IF(INT(AL$3)=INT($C85), TEXT($C85, "dd-mmm"), "")</f>
        <v/>
      </c>
      <c r="AM85" s="84" t="str">
        <f aca="false">IF(INT(AM$3)=INT($C85), TEXT($C85, "dd-mmm"), "")</f>
        <v/>
      </c>
      <c r="AN85" s="84" t="str">
        <f aca="false">IF(INT(AN$3)=INT($C85), TEXT($C85, "dd-mmm"), "")</f>
        <v/>
      </c>
      <c r="AO85" s="84" t="str">
        <f aca="false">IF(INT(AO$3)=INT($C85), TEXT($C85, "dd-mmm"), "")</f>
        <v/>
      </c>
      <c r="AP85" s="84" t="str">
        <f aca="false">IF(INT(AP$3)=INT($C85), TEXT($C85, "dd-mmm"), "")</f>
        <v/>
      </c>
      <c r="AQ85" s="84" t="str">
        <f aca="false">IF(INT(AQ$3)=INT($C85), TEXT($C85, "dd-mmm"), "")</f>
        <v/>
      </c>
      <c r="AR85" s="84" t="str">
        <f aca="false">IF(INT(AR$3)=INT($C85), TEXT($C85, "dd-mmm"), "")</f>
        <v/>
      </c>
      <c r="AS85" s="84" t="str">
        <f aca="false">IF(INT(AS$3)=INT($C85), TEXT($C85, "dd-mmm"), "")</f>
        <v/>
      </c>
      <c r="AT85" s="84" t="str">
        <f aca="false">IF(INT(AT$3)=INT($C85), TEXT($C85, "dd-mmm"), "")</f>
        <v/>
      </c>
      <c r="AU85" s="84" t="str">
        <f aca="false">IF(INT(AU$3)=INT($C85), TEXT($C85, "dd-mmm"), "")</f>
        <v/>
      </c>
      <c r="AV85" s="84" t="str">
        <f aca="false">IF(INT(AV$3)=INT($C85), TEXT($C85, "dd-mmm"), "")</f>
        <v/>
      </c>
      <c r="AW85" s="84" t="str">
        <f aca="false">IF(INT(AW$3)=INT($C85), TEXT($C85, "dd-mmm"), "")</f>
        <v/>
      </c>
      <c r="AX85" s="84" t="str">
        <f aca="false">IF(INT(AX$3)=INT($C85), TEXT($C85, "dd-mmm"), "")</f>
        <v/>
      </c>
      <c r="AY85" s="84" t="str">
        <f aca="false">IF(INT(AY$3)=INT($C85), TEXT($C85, "dd-mmm"), "")</f>
        <v/>
      </c>
      <c r="AZ85" s="84" t="str">
        <f aca="false">IF(INT(AZ$3)=INT($C85), TEXT($C85, "dd-mmm"), "")</f>
        <v/>
      </c>
      <c r="BA85" s="84" t="str">
        <f aca="false">IF(INT(BA$3)=INT($C85), TEXT($C85, "dd-mmm"), "")</f>
        <v/>
      </c>
      <c r="BB85" s="84" t="str">
        <f aca="false">IF(INT(BB$3)=INT($C85), TEXT($C85, "dd-mmm"), "")</f>
        <v/>
      </c>
      <c r="BC85" s="84" t="str">
        <f aca="false">IF(INT(BC$3)=INT($C85), TEXT($C85, "dd-mmm"), "")</f>
        <v/>
      </c>
      <c r="BD85" s="84" t="str">
        <f aca="false">IF(INT(BD$3)=INT($C85), TEXT($C85, "dd-mmm"), "")</f>
        <v/>
      </c>
      <c r="BE85" s="84" t="str">
        <f aca="false">IF(INT(BE$3)=INT($C85), TEXT($C85, "dd-mmm"), "")</f>
        <v/>
      </c>
      <c r="BF85" s="84" t="str">
        <f aca="false">IF(INT(BF$3)=INT($C85), TEXT($C85, "dd-mmm"), "")</f>
        <v/>
      </c>
      <c r="BG85" s="84" t="str">
        <f aca="false">IF(INT(BG$3)=INT($C85), TEXT($C85, "dd-mmm"), "")</f>
        <v/>
      </c>
      <c r="BH85" s="84" t="str">
        <f aca="false">IF(INT(BH$3)=INT($C85), TEXT($C85, "dd-mmm"), "")</f>
        <v/>
      </c>
      <c r="BI85" s="84" t="str">
        <f aca="false">IF(INT(BI$3)=INT($C85), TEXT($C85, "dd-mmm"), "")</f>
        <v/>
      </c>
      <c r="BJ85" s="84" t="str">
        <f aca="false">IF(INT(BJ$3)=INT($C85), TEXT($C85, "dd-mmm"), "")</f>
        <v/>
      </c>
      <c r="BK85" s="84" t="str">
        <f aca="false">IF(INT(BK$3)=INT($C85), TEXT($C85, "dd-mmm"), "")</f>
        <v/>
      </c>
      <c r="BL85" s="84" t="str">
        <f aca="false">IF(INT(BL$3)=INT($C85), TEXT($C85, "dd-mmm"), "")</f>
        <v/>
      </c>
      <c r="BM85" s="84" t="str">
        <f aca="false">IF(INT(BM$3)=INT($C85), TEXT($C85, "dd-mmm"), "")</f>
        <v/>
      </c>
      <c r="BN85" s="84" t="str">
        <f aca="false">IF(INT(BN$3)=INT($C85), TEXT($C85, "dd-mmm"), "")</f>
        <v/>
      </c>
    </row>
    <row r="86" customFormat="false" ht="15" hidden="false" customHeight="true" outlineLevel="0" collapsed="false">
      <c r="A86" s="4" t="str">
        <f aca="false">Machine_List!A86</f>
        <v>QC</v>
      </c>
      <c r="B86" s="4" t="str">
        <f aca="false">Machine_List!B86</f>
        <v>QC-MC-05</v>
      </c>
      <c r="C86" s="12" t="n">
        <f aca="false">Machine_List!C86</f>
        <v>46373</v>
      </c>
      <c r="D86" s="4" t="n">
        <f aca="false">Machine_List!D86</f>
        <v>6</v>
      </c>
      <c r="E86" s="4" t="n">
        <f aca="true">C86-TODAY()</f>
        <v>255</v>
      </c>
      <c r="F86" s="4" t="str">
        <f aca="false">IF(E86&lt;0,"OVERDUE",IF(E86&lt;=5,"DUE SOON","OK"))</f>
        <v>OK</v>
      </c>
      <c r="G86" s="84" t="str">
        <f aca="false">IF(INT(G$3)=INT($C86), TEXT($C86, "dd-mmm"), "")</f>
        <v/>
      </c>
      <c r="H86" s="84" t="str">
        <f aca="false">IF(INT(H$3)=INT($C86), TEXT($C86, "dd-mmm"), "")</f>
        <v/>
      </c>
      <c r="I86" s="84" t="str">
        <f aca="false">IF(INT(I$3)=INT($C86), TEXT($C86, "dd-mmm"), "")</f>
        <v/>
      </c>
      <c r="J86" s="84" t="str">
        <f aca="false">IF(INT(J$3)=INT($C86), TEXT($C86, "dd-mmm"), "")</f>
        <v/>
      </c>
      <c r="K86" s="84" t="str">
        <f aca="false">IF(INT(K$3)=INT($C86), TEXT($C86, "dd-mmm"), "")</f>
        <v/>
      </c>
      <c r="L86" s="84" t="str">
        <f aca="false">IF(INT(L$3)=INT($C86), TEXT($C86, "dd-mmm"), "")</f>
        <v/>
      </c>
      <c r="M86" s="84" t="str">
        <f aca="false">IF(INT(M$3)=INT($C86), TEXT($C86, "dd-mmm"), "")</f>
        <v/>
      </c>
      <c r="N86" s="84" t="str">
        <f aca="false">IF(INT(N$3)=INT($C86), TEXT($C86, "dd-mmm"), "")</f>
        <v/>
      </c>
      <c r="O86" s="84" t="str">
        <f aca="false">IF(INT(O$3)=INT($C86), TEXT($C86, "dd-mmm"), "")</f>
        <v/>
      </c>
      <c r="P86" s="84" t="str">
        <f aca="false">IF(INT(P$3)=INT($C86), TEXT($C86, "dd-mmm"), "")</f>
        <v/>
      </c>
      <c r="Q86" s="84" t="str">
        <f aca="false">IF(INT(Q$3)=INT($C86), TEXT($C86, "dd-mmm"), "")</f>
        <v/>
      </c>
      <c r="R86" s="84" t="str">
        <f aca="false">IF(INT(R$3)=INT($C86), TEXT($C86, "dd-mmm"), "")</f>
        <v/>
      </c>
      <c r="S86" s="84" t="str">
        <f aca="false">IF(INT(S$3)=INT($C86), TEXT($C86, "dd-mmm"), "")</f>
        <v/>
      </c>
      <c r="T86" s="84" t="str">
        <f aca="false">IF(INT(T$3)=INT($C86), TEXT($C86, "dd-mmm"), "")</f>
        <v/>
      </c>
      <c r="U86" s="84" t="str">
        <f aca="false">IF(INT(U$3)=INT($C86), TEXT($C86, "dd-mmm"), "")</f>
        <v/>
      </c>
      <c r="V86" s="84" t="str">
        <f aca="false">IF(INT(V$3)=INT($C86), TEXT($C86, "dd-mmm"), "")</f>
        <v/>
      </c>
      <c r="W86" s="84" t="str">
        <f aca="false">IF(INT(W$3)=INT($C86), TEXT($C86, "dd-mmm"), "")</f>
        <v/>
      </c>
      <c r="X86" s="84" t="str">
        <f aca="false">IF(INT(X$3)=INT($C86), TEXT($C86, "dd-mmm"), "")</f>
        <v/>
      </c>
      <c r="Y86" s="84" t="str">
        <f aca="false">IF(INT(Y$3)=INT($C86), TEXT($C86, "dd-mmm"), "")</f>
        <v/>
      </c>
      <c r="Z86" s="84" t="str">
        <f aca="false">IF(INT(Z$3)=INT($C86), TEXT($C86, "dd-mmm"), "")</f>
        <v/>
      </c>
      <c r="AA86" s="84" t="str">
        <f aca="false">IF(INT(AA$3)=INT($C86), TEXT($C86, "dd-mmm"), "")</f>
        <v/>
      </c>
      <c r="AB86" s="84" t="str">
        <f aca="false">IF(INT(AB$3)=INT($C86), TEXT($C86, "dd-mmm"), "")</f>
        <v/>
      </c>
      <c r="AC86" s="84" t="str">
        <f aca="false">IF(INT(AC$3)=INT($C86), TEXT($C86, "dd-mmm"), "")</f>
        <v/>
      </c>
      <c r="AD86" s="84" t="str">
        <f aca="false">IF(INT(AD$3)=INT($C86), TEXT($C86, "dd-mmm"), "")</f>
        <v/>
      </c>
      <c r="AE86" s="84" t="str">
        <f aca="false">IF(INT(AE$3)=INT($C86), TEXT($C86, "dd-mmm"), "")</f>
        <v/>
      </c>
      <c r="AF86" s="84" t="str">
        <f aca="false">IF(INT(AF$3)=INT($C86), TEXT($C86, "dd-mmm"), "")</f>
        <v/>
      </c>
      <c r="AG86" s="84" t="str">
        <f aca="false">IF(INT(AG$3)=INT($C86), TEXT($C86, "dd-mmm"), "")</f>
        <v/>
      </c>
      <c r="AH86" s="84" t="str">
        <f aca="false">IF(INT(AH$3)=INT($C86), TEXT($C86, "dd-mmm"), "")</f>
        <v/>
      </c>
      <c r="AI86" s="84" t="str">
        <f aca="false">IF(INT(AI$3)=INT($C86), TEXT($C86, "dd-mmm"), "")</f>
        <v/>
      </c>
      <c r="AJ86" s="84" t="str">
        <f aca="false">IF(INT(AJ$3)=INT($C86), TEXT($C86, "dd-mmm"), "")</f>
        <v/>
      </c>
      <c r="AK86" s="84" t="str">
        <f aca="false">IF(INT(AK$3)=INT($C86), TEXT($C86, "dd-mmm"), "")</f>
        <v/>
      </c>
      <c r="AL86" s="84" t="str">
        <f aca="false">IF(INT(AL$3)=INT($C86), TEXT($C86, "dd-mmm"), "")</f>
        <v/>
      </c>
      <c r="AM86" s="84" t="str">
        <f aca="false">IF(INT(AM$3)=INT($C86), TEXT($C86, "dd-mmm"), "")</f>
        <v/>
      </c>
      <c r="AN86" s="84" t="str">
        <f aca="false">IF(INT(AN$3)=INT($C86), TEXT($C86, "dd-mmm"), "")</f>
        <v/>
      </c>
      <c r="AO86" s="84" t="str">
        <f aca="false">IF(INT(AO$3)=INT($C86), TEXT($C86, "dd-mmm"), "")</f>
        <v/>
      </c>
      <c r="AP86" s="84" t="str">
        <f aca="false">IF(INT(AP$3)=INT($C86), TEXT($C86, "dd-mmm"), "")</f>
        <v/>
      </c>
      <c r="AQ86" s="84" t="str">
        <f aca="false">IF(INT(AQ$3)=INT($C86), TEXT($C86, "dd-mmm"), "")</f>
        <v/>
      </c>
      <c r="AR86" s="84" t="str">
        <f aca="false">IF(INT(AR$3)=INT($C86), TEXT($C86, "dd-mmm"), "")</f>
        <v/>
      </c>
      <c r="AS86" s="84" t="str">
        <f aca="false">IF(INT(AS$3)=INT($C86), TEXT($C86, "dd-mmm"), "")</f>
        <v/>
      </c>
      <c r="AT86" s="84" t="str">
        <f aca="false">IF(INT(AT$3)=INT($C86), TEXT($C86, "dd-mmm"), "")</f>
        <v/>
      </c>
      <c r="AU86" s="84" t="str">
        <f aca="false">IF(INT(AU$3)=INT($C86), TEXT($C86, "dd-mmm"), "")</f>
        <v/>
      </c>
      <c r="AV86" s="84" t="str">
        <f aca="false">IF(INT(AV$3)=INT($C86), TEXT($C86, "dd-mmm"), "")</f>
        <v/>
      </c>
      <c r="AW86" s="84" t="str">
        <f aca="false">IF(INT(AW$3)=INT($C86), TEXT($C86, "dd-mmm"), "")</f>
        <v/>
      </c>
      <c r="AX86" s="84" t="str">
        <f aca="false">IF(INT(AX$3)=INT($C86), TEXT($C86, "dd-mmm"), "")</f>
        <v/>
      </c>
      <c r="AY86" s="84" t="str">
        <f aca="false">IF(INT(AY$3)=INT($C86), TEXT($C86, "dd-mmm"), "")</f>
        <v/>
      </c>
      <c r="AZ86" s="84" t="str">
        <f aca="false">IF(INT(AZ$3)=INT($C86), TEXT($C86, "dd-mmm"), "")</f>
        <v/>
      </c>
      <c r="BA86" s="84" t="str">
        <f aca="false">IF(INT(BA$3)=INT($C86), TEXT($C86, "dd-mmm"), "")</f>
        <v/>
      </c>
      <c r="BB86" s="84" t="str">
        <f aca="false">IF(INT(BB$3)=INT($C86), TEXT($C86, "dd-mmm"), "")</f>
        <v/>
      </c>
      <c r="BC86" s="84" t="str">
        <f aca="false">IF(INT(BC$3)=INT($C86), TEXT($C86, "dd-mmm"), "")</f>
        <v/>
      </c>
      <c r="BD86" s="84" t="str">
        <f aca="false">IF(INT(BD$3)=INT($C86), TEXT($C86, "dd-mmm"), "")</f>
        <v/>
      </c>
      <c r="BE86" s="84" t="str">
        <f aca="false">IF(INT(BE$3)=INT($C86), TEXT($C86, "dd-mmm"), "")</f>
        <v/>
      </c>
      <c r="BF86" s="84" t="str">
        <f aca="false">IF(INT(BF$3)=INT($C86), TEXT($C86, "dd-mmm"), "")</f>
        <v/>
      </c>
      <c r="BG86" s="84" t="str">
        <f aca="false">IF(INT(BG$3)=INT($C86), TEXT($C86, "dd-mmm"), "")</f>
        <v/>
      </c>
      <c r="BH86" s="84" t="str">
        <f aca="false">IF(INT(BH$3)=INT($C86), TEXT($C86, "dd-mmm"), "")</f>
        <v/>
      </c>
      <c r="BI86" s="84" t="str">
        <f aca="false">IF(INT(BI$3)=INT($C86), TEXT($C86, "dd-mmm"), "")</f>
        <v/>
      </c>
      <c r="BJ86" s="84" t="str">
        <f aca="false">IF(INT(BJ$3)=INT($C86), TEXT($C86, "dd-mmm"), "")</f>
        <v/>
      </c>
      <c r="BK86" s="84" t="str">
        <f aca="false">IF(INT(BK$3)=INT($C86), TEXT($C86, "dd-mmm"), "")</f>
        <v/>
      </c>
      <c r="BL86" s="84" t="str">
        <f aca="false">IF(INT(BL$3)=INT($C86), TEXT($C86, "dd-mmm"), "")</f>
        <v/>
      </c>
      <c r="BM86" s="84" t="str">
        <f aca="false">IF(INT(BM$3)=INT($C86), TEXT($C86, "dd-mmm"), "")</f>
        <v/>
      </c>
      <c r="BN86" s="84" t="str">
        <f aca="false">IF(INT(BN$3)=INT($C86), TEXT($C86, "dd-mmm"), "")</f>
        <v/>
      </c>
    </row>
  </sheetData>
  <conditionalFormatting sqref="F4:F100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16">
      <formula>"DUE SOON"</formula>
    </cfRule>
    <cfRule type="cellIs" priority="4" operator="equal" aboveAverage="0" equalAverage="0" bottom="0" percent="0" rank="0" text="" dxfId="17">
      <formula>"OK"</formula>
    </cfRule>
  </conditionalFormatting>
  <conditionalFormatting sqref="G4:BN100">
    <cfRule type="expression" priority="5" aboveAverage="0" equalAverage="0" bottom="0" percent="0" rank="0" text="" dxfId="0">
      <formula>INT(G$3)=INT($C4)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2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1" t="s">
        <v>291</v>
      </c>
      <c r="K3" s="1" t="s">
        <v>292</v>
      </c>
    </row>
    <row r="4" customFormat="false" ht="15" hidden="false" customHeight="true" outlineLevel="0" collapsed="false">
      <c r="A4" s="4" t="n">
        <v>9</v>
      </c>
      <c r="B4" s="4" t="n">
        <v>6</v>
      </c>
      <c r="C4" s="4" t="n">
        <v>3</v>
      </c>
      <c r="D4" s="4" t="n">
        <v>6</v>
      </c>
      <c r="E4" s="4" t="n">
        <v>4</v>
      </c>
      <c r="F4" s="4" t="n">
        <v>5</v>
      </c>
      <c r="G4" s="4" t="n">
        <v>1</v>
      </c>
      <c r="H4" s="4" t="n">
        <v>5</v>
      </c>
      <c r="I4" s="4" t="n">
        <v>2</v>
      </c>
      <c r="J4" s="1" t="n">
        <v>100</v>
      </c>
      <c r="K4" s="1" t="n">
        <v>600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12</v>
      </c>
      <c r="D5" s="4" t="n">
        <v>12</v>
      </c>
      <c r="E5" s="4" t="n">
        <v>16</v>
      </c>
      <c r="F5" s="4" t="n">
        <v>10</v>
      </c>
      <c r="G5" s="4" t="n">
        <v>12</v>
      </c>
      <c r="H5" s="4" t="n">
        <v>13</v>
      </c>
      <c r="I5" s="4" t="n">
        <v>6</v>
      </c>
      <c r="J5" s="1" t="n">
        <v>300</v>
      </c>
      <c r="K5" s="1" t="n">
        <v>800</v>
      </c>
    </row>
    <row r="6" customFormat="false" ht="15" hidden="false" customHeight="true" outlineLevel="0" collapsed="false">
      <c r="A6" s="4" t="n">
        <v>17</v>
      </c>
      <c r="B6" s="4" t="n">
        <v>20</v>
      </c>
      <c r="C6" s="4" t="n">
        <v>14</v>
      </c>
      <c r="D6" s="4" t="n">
        <v>12</v>
      </c>
      <c r="E6" s="4" t="n">
        <v>12</v>
      </c>
      <c r="F6" s="4" t="n">
        <v>16</v>
      </c>
      <c r="G6" s="4" t="n">
        <v>17</v>
      </c>
      <c r="H6" s="4" t="n">
        <v>13</v>
      </c>
      <c r="I6" s="4" t="n">
        <v>10</v>
      </c>
      <c r="J6" s="1" t="n">
        <v>500</v>
      </c>
      <c r="K6" s="1" t="n">
        <v>1000</v>
      </c>
    </row>
    <row r="7" customFormat="false" ht="15" hidden="false" customHeight="true" outlineLevel="0" collapsed="false">
      <c r="A7" s="4" t="n">
        <v>20</v>
      </c>
      <c r="B7" s="4" t="n">
        <v>31</v>
      </c>
      <c r="C7" s="4" t="n">
        <v>24</v>
      </c>
      <c r="D7" s="4" t="n">
        <v>20</v>
      </c>
      <c r="E7" s="4" t="n">
        <v>27</v>
      </c>
      <c r="F7" s="4" t="n">
        <v>18</v>
      </c>
      <c r="G7" s="4" t="n">
        <v>14</v>
      </c>
      <c r="H7" s="4" t="n">
        <v>12</v>
      </c>
      <c r="I7" s="4" t="n">
        <v>15</v>
      </c>
      <c r="J7" s="1" t="n">
        <v>700</v>
      </c>
      <c r="K7" s="1" t="n">
        <v>1200</v>
      </c>
    </row>
    <row r="8" customFormat="false" ht="15" hidden="false" customHeight="true" outlineLevel="0" collapsed="false">
      <c r="A8" s="4" t="n">
        <v>25</v>
      </c>
      <c r="B8" s="4" t="n">
        <v>36</v>
      </c>
      <c r="C8" s="4" t="n">
        <v>29</v>
      </c>
      <c r="D8" s="4" t="n">
        <v>24</v>
      </c>
      <c r="E8" s="4" t="n">
        <v>24</v>
      </c>
      <c r="F8" s="4" t="n">
        <v>27</v>
      </c>
      <c r="G8" s="4" t="n">
        <v>24</v>
      </c>
      <c r="H8" s="4" t="n">
        <v>27</v>
      </c>
      <c r="I8" s="4" t="n">
        <v>24</v>
      </c>
      <c r="J8" s="1" t="n">
        <v>900</v>
      </c>
      <c r="K8" s="1" t="n">
        <v>1400</v>
      </c>
    </row>
    <row r="9" customFormat="false" ht="15" hidden="false" customHeight="true" outlineLevel="0" collapsed="false">
      <c r="A9" s="4" t="n">
        <v>28</v>
      </c>
      <c r="B9" s="4" t="n">
        <v>38</v>
      </c>
      <c r="C9" s="4" t="n">
        <v>30</v>
      </c>
      <c r="D9" s="4" t="n">
        <v>35</v>
      </c>
      <c r="E9" s="4" t="n">
        <v>26</v>
      </c>
      <c r="F9" s="4" t="n">
        <v>32</v>
      </c>
      <c r="G9" s="4" t="n">
        <v>32</v>
      </c>
      <c r="H9" s="4" t="n">
        <v>17</v>
      </c>
      <c r="I9" s="4" t="n">
        <v>28</v>
      </c>
      <c r="J9" s="1" t="n">
        <v>1100</v>
      </c>
      <c r="K9" s="1" t="n">
        <v>1600</v>
      </c>
    </row>
    <row r="10" customFormat="false" ht="15" hidden="false" customHeight="true" outlineLevel="0" collapsed="false">
      <c r="A10" s="4" t="n">
        <v>30</v>
      </c>
      <c r="B10" s="4" t="n">
        <v>35</v>
      </c>
      <c r="C10" s="4" t="n">
        <v>42</v>
      </c>
      <c r="D10" s="4" t="n">
        <v>27</v>
      </c>
      <c r="E10" s="4" t="n">
        <v>38</v>
      </c>
      <c r="F10" s="4" t="n">
        <v>22</v>
      </c>
      <c r="G10" s="4" t="n">
        <v>31</v>
      </c>
      <c r="H10" s="4" t="n">
        <v>30</v>
      </c>
      <c r="I10" s="4" t="n">
        <v>16</v>
      </c>
      <c r="J10" s="1" t="n">
        <v>1300</v>
      </c>
      <c r="K10" s="1" t="n">
        <v>1800</v>
      </c>
    </row>
    <row r="11" customFormat="false" ht="15" hidden="false" customHeight="true" outlineLevel="0" collapsed="false">
      <c r="A11" s="4" t="n">
        <v>34</v>
      </c>
      <c r="B11" s="4" t="n">
        <v>50</v>
      </c>
      <c r="C11" s="4" t="n">
        <v>48</v>
      </c>
      <c r="D11" s="4" t="n">
        <v>54</v>
      </c>
      <c r="E11" s="4" t="n">
        <v>35</v>
      </c>
      <c r="F11" s="4" t="n">
        <v>27</v>
      </c>
      <c r="G11" s="4" t="n">
        <v>37</v>
      </c>
      <c r="H11" s="4" t="n">
        <v>27</v>
      </c>
      <c r="I11" s="4" t="n">
        <v>27</v>
      </c>
      <c r="J11" s="1" t="n">
        <v>1500</v>
      </c>
      <c r="K11" s="1" t="n">
        <v>2000</v>
      </c>
    </row>
    <row r="12" customFormat="false" ht="15" hidden="false" customHeight="true" outlineLevel="0" collapsed="false">
      <c r="A12" s="4" t="n">
        <v>42</v>
      </c>
      <c r="B12" s="4" t="n">
        <v>48</v>
      </c>
      <c r="C12" s="4" t="n">
        <v>48</v>
      </c>
      <c r="D12" s="4" t="n">
        <v>61</v>
      </c>
      <c r="E12" s="4" t="n">
        <v>64</v>
      </c>
      <c r="F12" s="4" t="n">
        <v>62</v>
      </c>
      <c r="G12" s="4" t="n">
        <v>51</v>
      </c>
      <c r="H12" s="4" t="n">
        <v>47</v>
      </c>
      <c r="I12" s="4" t="n">
        <v>39</v>
      </c>
      <c r="J12" s="1" t="n">
        <v>1700</v>
      </c>
      <c r="K12" s="1" t="n">
        <v>2200</v>
      </c>
    </row>
    <row r="13" customFormat="false" ht="15" hidden="false" customHeight="true" outlineLevel="0" collapsed="false">
      <c r="A13" s="4" t="n">
        <v>46</v>
      </c>
      <c r="B13" s="4" t="n">
        <v>59</v>
      </c>
      <c r="C13" s="4" t="n">
        <v>74</v>
      </c>
      <c r="D13" s="4" t="n">
        <v>72</v>
      </c>
      <c r="E13" s="4" t="n">
        <v>64</v>
      </c>
      <c r="F13" s="4" t="n">
        <v>48</v>
      </c>
      <c r="G13" s="4" t="n">
        <v>35</v>
      </c>
      <c r="H13" s="4" t="n">
        <v>35</v>
      </c>
      <c r="I13" s="4" t="n">
        <v>29</v>
      </c>
      <c r="J13" s="1" t="n">
        <v>1900</v>
      </c>
      <c r="K13" s="1" t="n">
        <v>2400</v>
      </c>
    </row>
    <row r="14" customFormat="false" ht="15" hidden="false" customHeight="true" outlineLevel="0" collapsed="false">
      <c r="A14" s="4" t="n">
        <v>50</v>
      </c>
      <c r="B14" s="4" t="n">
        <v>56</v>
      </c>
      <c r="C14" s="4" t="n">
        <v>84</v>
      </c>
      <c r="D14" s="4" t="n">
        <v>67</v>
      </c>
      <c r="E14" s="4" t="n">
        <v>84</v>
      </c>
      <c r="F14" s="4" t="n">
        <v>69</v>
      </c>
      <c r="G14" s="4" t="n">
        <v>46</v>
      </c>
      <c r="H14" s="4" t="n">
        <v>65</v>
      </c>
      <c r="I14" s="4" t="n">
        <v>55</v>
      </c>
      <c r="J14" s="1" t="n">
        <v>2100</v>
      </c>
      <c r="K14" s="1" t="n">
        <v>2600</v>
      </c>
    </row>
    <row r="15" customFormat="false" ht="15" hidden="false" customHeight="true" outlineLevel="0" collapsed="false">
      <c r="A15" s="4" t="n">
        <v>54</v>
      </c>
      <c r="B15" s="4" t="n">
        <v>100</v>
      </c>
      <c r="C15" s="4" t="n">
        <v>60</v>
      </c>
      <c r="D15" s="4" t="n">
        <v>92</v>
      </c>
      <c r="E15" s="4" t="n">
        <v>66</v>
      </c>
      <c r="F15" s="4" t="n">
        <v>57</v>
      </c>
      <c r="G15" s="4" t="n">
        <v>77</v>
      </c>
      <c r="H15" s="4" t="n">
        <v>67</v>
      </c>
      <c r="I15" s="4" t="n">
        <v>61</v>
      </c>
      <c r="J15" s="1" t="n">
        <v>2300</v>
      </c>
      <c r="K15" s="1" t="n">
        <v>2800</v>
      </c>
    </row>
    <row r="16" customFormat="false" ht="15" hidden="false" customHeight="true" outlineLevel="0" collapsed="false">
      <c r="A16" s="4" t="n">
        <v>57</v>
      </c>
      <c r="B16" s="4" t="n">
        <v>71</v>
      </c>
      <c r="C16" s="4" t="n">
        <v>61</v>
      </c>
      <c r="D16" s="4" t="n">
        <v>61</v>
      </c>
      <c r="E16" s="4" t="n">
        <v>77</v>
      </c>
      <c r="F16" s="4" t="n">
        <v>69</v>
      </c>
      <c r="G16" s="4" t="n">
        <v>69</v>
      </c>
      <c r="H16" s="4" t="n">
        <v>46</v>
      </c>
      <c r="I16" s="4" t="n">
        <v>38</v>
      </c>
      <c r="J16" s="1" t="n">
        <v>2500</v>
      </c>
      <c r="K16" s="1" t="n">
        <v>3000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92</v>
      </c>
      <c r="D17" s="4" t="n">
        <v>61</v>
      </c>
      <c r="E17" s="4" t="n">
        <v>77</v>
      </c>
      <c r="F17" s="4" t="n">
        <v>71</v>
      </c>
      <c r="G17" s="4" t="n">
        <v>93</v>
      </c>
      <c r="H17" s="4" t="n">
        <v>67</v>
      </c>
      <c r="I17" s="4" t="n">
        <v>44</v>
      </c>
      <c r="J17" s="1" t="n">
        <v>2700</v>
      </c>
      <c r="K17" s="1" t="n">
        <v>3200</v>
      </c>
    </row>
    <row r="18" customFormat="false" ht="15" hidden="false" customHeight="true" outlineLevel="0" collapsed="false">
      <c r="A18" s="4" t="n">
        <v>70</v>
      </c>
      <c r="B18" s="4" t="n">
        <v>115</v>
      </c>
      <c r="C18" s="4" t="n">
        <v>129</v>
      </c>
      <c r="D18" s="4" t="n">
        <v>75</v>
      </c>
      <c r="E18" s="4" t="n">
        <v>106</v>
      </c>
      <c r="F18" s="4" t="n">
        <v>90</v>
      </c>
      <c r="G18" s="4" t="n">
        <v>70</v>
      </c>
      <c r="H18" s="4" t="n">
        <v>80</v>
      </c>
      <c r="I18" s="4" t="n">
        <v>51</v>
      </c>
      <c r="J18" s="1" t="n">
        <v>2900</v>
      </c>
      <c r="K18" s="1" t="n"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6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8</v>
      </c>
      <c r="C4" s="4" t="n">
        <v>5</v>
      </c>
      <c r="D4" s="4" t="n">
        <v>7</v>
      </c>
      <c r="E4" s="4" t="n">
        <v>5</v>
      </c>
      <c r="F4" s="4" t="n">
        <v>5</v>
      </c>
      <c r="G4" s="4" t="n">
        <v>2</v>
      </c>
      <c r="H4" s="4" t="n">
        <v>2</v>
      </c>
      <c r="I4" s="4" t="n">
        <v>4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10</v>
      </c>
      <c r="C5" s="4" t="n">
        <v>15</v>
      </c>
      <c r="D5" s="4" t="n">
        <v>15</v>
      </c>
      <c r="E5" s="4" t="n">
        <v>16</v>
      </c>
      <c r="F5" s="4" t="n">
        <v>7</v>
      </c>
      <c r="G5" s="4" t="n">
        <v>15</v>
      </c>
      <c r="H5" s="4" t="n">
        <v>11</v>
      </c>
      <c r="I5" s="4" t="n">
        <v>8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19</v>
      </c>
      <c r="C6" s="4" t="n">
        <v>18</v>
      </c>
      <c r="D6" s="4" t="n">
        <v>20</v>
      </c>
      <c r="E6" s="4" t="n">
        <v>20</v>
      </c>
      <c r="F6" s="4" t="n">
        <v>19</v>
      </c>
      <c r="G6" s="4" t="n">
        <v>17</v>
      </c>
      <c r="H6" s="4" t="n">
        <v>11</v>
      </c>
      <c r="I6" s="4" t="n">
        <v>13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26</v>
      </c>
      <c r="C7" s="4" t="n">
        <v>29</v>
      </c>
      <c r="D7" s="4" t="n">
        <v>17</v>
      </c>
      <c r="E7" s="4" t="n">
        <v>28</v>
      </c>
      <c r="F7" s="4" t="n">
        <v>19</v>
      </c>
      <c r="G7" s="4" t="n">
        <v>22</v>
      </c>
      <c r="H7" s="4" t="n">
        <v>22</v>
      </c>
      <c r="I7" s="4" t="n">
        <v>9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38</v>
      </c>
      <c r="C8" s="4" t="n">
        <v>27</v>
      </c>
      <c r="D8" s="4" t="n">
        <v>26</v>
      </c>
      <c r="E8" s="4" t="n">
        <v>35</v>
      </c>
      <c r="F8" s="4" t="n">
        <v>32</v>
      </c>
      <c r="G8" s="4" t="n">
        <v>31</v>
      </c>
      <c r="H8" s="4" t="n">
        <v>23</v>
      </c>
      <c r="I8" s="4" t="n">
        <v>12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31</v>
      </c>
      <c r="C9" s="4" t="n">
        <v>43</v>
      </c>
      <c r="D9" s="4" t="n">
        <v>25</v>
      </c>
      <c r="E9" s="4" t="n">
        <v>25</v>
      </c>
      <c r="F9" s="4" t="n">
        <v>32</v>
      </c>
      <c r="G9" s="4" t="n">
        <v>27</v>
      </c>
      <c r="H9" s="4" t="n">
        <v>17</v>
      </c>
      <c r="I9" s="4" t="n">
        <v>19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35</v>
      </c>
      <c r="C10" s="4" t="n">
        <v>31</v>
      </c>
      <c r="D10" s="4" t="n">
        <v>27</v>
      </c>
      <c r="E10" s="4" t="n">
        <v>38</v>
      </c>
      <c r="F10" s="4" t="n">
        <v>26</v>
      </c>
      <c r="G10" s="4" t="n">
        <v>27</v>
      </c>
      <c r="H10" s="4" t="n">
        <v>25</v>
      </c>
      <c r="I10" s="4" t="n">
        <v>29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49</v>
      </c>
      <c r="C11" s="4" t="n">
        <v>39</v>
      </c>
      <c r="D11" s="4" t="n">
        <v>48</v>
      </c>
      <c r="E11" s="4" t="n">
        <v>42</v>
      </c>
      <c r="F11" s="4" t="n">
        <v>32</v>
      </c>
      <c r="G11" s="4" t="n">
        <v>33</v>
      </c>
      <c r="H11" s="4" t="n">
        <v>31</v>
      </c>
      <c r="I11" s="4" t="n">
        <v>29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73</v>
      </c>
      <c r="C12" s="4" t="n">
        <v>54</v>
      </c>
      <c r="D12" s="4" t="n">
        <v>58</v>
      </c>
      <c r="E12" s="4" t="n">
        <v>44</v>
      </c>
      <c r="F12" s="4" t="n">
        <v>53</v>
      </c>
      <c r="G12" s="4" t="n">
        <v>37</v>
      </c>
      <c r="H12" s="4" t="n">
        <v>54</v>
      </c>
      <c r="I12" s="4" t="n">
        <v>36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74</v>
      </c>
      <c r="C13" s="4" t="n">
        <v>76</v>
      </c>
      <c r="D13" s="4" t="n">
        <v>76</v>
      </c>
      <c r="E13" s="4" t="n">
        <v>67</v>
      </c>
      <c r="F13" s="4" t="n">
        <v>59</v>
      </c>
      <c r="G13" s="4" t="n">
        <v>61</v>
      </c>
      <c r="H13" s="4" t="n">
        <v>38</v>
      </c>
      <c r="I13" s="4" t="n">
        <v>34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89</v>
      </c>
      <c r="C14" s="4" t="n">
        <v>70</v>
      </c>
      <c r="D14" s="4" t="n">
        <v>67</v>
      </c>
      <c r="E14" s="4" t="n">
        <v>57</v>
      </c>
      <c r="F14" s="4" t="n">
        <v>53</v>
      </c>
      <c r="G14" s="4" t="n">
        <v>59</v>
      </c>
      <c r="H14" s="4" t="n">
        <v>36</v>
      </c>
      <c r="I14" s="4" t="n">
        <v>32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102</v>
      </c>
      <c r="C15" s="4" t="n">
        <v>84</v>
      </c>
      <c r="D15" s="4" t="n">
        <v>73</v>
      </c>
      <c r="E15" s="4" t="n">
        <v>91</v>
      </c>
      <c r="F15" s="4" t="n">
        <v>65</v>
      </c>
      <c r="G15" s="4" t="n">
        <v>48</v>
      </c>
      <c r="H15" s="4" t="n">
        <v>57</v>
      </c>
      <c r="I15" s="4" t="n">
        <v>62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110</v>
      </c>
      <c r="C16" s="4" t="n">
        <v>66</v>
      </c>
      <c r="D16" s="4" t="n">
        <v>68</v>
      </c>
      <c r="E16" s="4" t="n">
        <v>96</v>
      </c>
      <c r="F16" s="4" t="n">
        <v>91</v>
      </c>
      <c r="G16" s="4" t="n">
        <v>76</v>
      </c>
      <c r="H16" s="4" t="n">
        <v>61</v>
      </c>
      <c r="I16" s="4" t="n">
        <v>43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94</v>
      </c>
      <c r="C17" s="4" t="n">
        <v>105</v>
      </c>
      <c r="D17" s="4" t="n">
        <v>93</v>
      </c>
      <c r="E17" s="4" t="n">
        <v>94</v>
      </c>
      <c r="F17" s="4" t="n">
        <v>62</v>
      </c>
      <c r="G17" s="4" t="n">
        <v>78</v>
      </c>
      <c r="H17" s="4" t="n">
        <v>50</v>
      </c>
      <c r="I17" s="4" t="n">
        <v>39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102</v>
      </c>
      <c r="C18" s="4" t="n">
        <v>92</v>
      </c>
      <c r="D18" s="4" t="n">
        <v>112</v>
      </c>
      <c r="E18" s="4" t="n">
        <v>130</v>
      </c>
      <c r="F18" s="4" t="n">
        <v>90</v>
      </c>
      <c r="G18" s="4" t="n">
        <v>104</v>
      </c>
      <c r="H18" s="4" t="n">
        <v>91</v>
      </c>
      <c r="I18" s="4" t="n">
        <v>52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4" t="n">
        <v>2</v>
      </c>
      <c r="G4" s="4" t="n">
        <v>5</v>
      </c>
      <c r="H4" s="4" t="n">
        <v>5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4" t="n">
        <v>13</v>
      </c>
      <c r="G5" s="4" t="n">
        <v>14</v>
      </c>
      <c r="H5" s="4" t="n">
        <v>7</v>
      </c>
      <c r="I5" s="4" t="n">
        <v>9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4" t="n">
        <v>15</v>
      </c>
      <c r="G6" s="4" t="n">
        <v>11</v>
      </c>
      <c r="H6" s="4" t="n">
        <v>15</v>
      </c>
      <c r="I6" s="4" t="n">
        <v>11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4" t="n">
        <v>15</v>
      </c>
      <c r="G7" s="4" t="n">
        <v>14</v>
      </c>
      <c r="H7" s="4" t="n">
        <v>16</v>
      </c>
      <c r="I7" s="4" t="n">
        <v>11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4" t="n">
        <v>20</v>
      </c>
      <c r="G8" s="4" t="n">
        <v>23</v>
      </c>
      <c r="H8" s="4" t="n">
        <v>23</v>
      </c>
      <c r="I8" s="4" t="n">
        <v>20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4" t="n">
        <v>28</v>
      </c>
      <c r="G9" s="4" t="n">
        <v>23</v>
      </c>
      <c r="H9" s="4" t="n">
        <v>28</v>
      </c>
      <c r="I9" s="4" t="n">
        <v>16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4" t="n">
        <v>39</v>
      </c>
      <c r="G10" s="4" t="n">
        <v>24</v>
      </c>
      <c r="H10" s="4" t="n">
        <v>22</v>
      </c>
      <c r="I10" s="4" t="n">
        <v>21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4" t="n">
        <v>38</v>
      </c>
      <c r="G11" s="4" t="n">
        <v>25</v>
      </c>
      <c r="H11" s="4" t="n">
        <v>32</v>
      </c>
      <c r="I11" s="4" t="n">
        <v>26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4" t="n">
        <v>37</v>
      </c>
      <c r="G12" s="4" t="n">
        <v>41</v>
      </c>
      <c r="H12" s="4" t="n">
        <v>33</v>
      </c>
      <c r="I12" s="4" t="n">
        <v>29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4" t="n">
        <v>69</v>
      </c>
      <c r="G13" s="4" t="n">
        <v>35</v>
      </c>
      <c r="H13" s="4" t="n">
        <v>41</v>
      </c>
      <c r="I13" s="4" t="n">
        <v>44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4" t="n">
        <v>53</v>
      </c>
      <c r="G14" s="4" t="n">
        <v>71</v>
      </c>
      <c r="H14" s="4" t="n">
        <v>47</v>
      </c>
      <c r="I14" s="4" t="n">
        <v>51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4" t="n">
        <v>54</v>
      </c>
      <c r="G15" s="4" t="n">
        <v>78</v>
      </c>
      <c r="H15" s="4" t="n">
        <v>50</v>
      </c>
      <c r="I15" s="4" t="n">
        <v>53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4" t="n">
        <v>74</v>
      </c>
      <c r="G16" s="4" t="n">
        <v>54</v>
      </c>
      <c r="H16" s="4" t="n">
        <v>55</v>
      </c>
      <c r="I16" s="4" t="n">
        <v>63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4" t="n">
        <v>75</v>
      </c>
      <c r="G17" s="4" t="n">
        <v>52</v>
      </c>
      <c r="H17" s="4" t="n">
        <v>77</v>
      </c>
      <c r="I17" s="4" t="n">
        <v>68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4" t="n">
        <v>86</v>
      </c>
      <c r="G18" s="4" t="n">
        <v>84</v>
      </c>
      <c r="H18" s="4" t="n">
        <v>57</v>
      </c>
      <c r="I18" s="4" t="n">
        <v>56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2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5</v>
      </c>
      <c r="D4" s="4" t="n">
        <v>2</v>
      </c>
      <c r="E4" s="4" t="n">
        <v>6</v>
      </c>
      <c r="F4" s="4" t="n">
        <v>2</v>
      </c>
      <c r="G4" s="4" t="n">
        <v>6</v>
      </c>
      <c r="H4" s="4" t="n">
        <v>5</v>
      </c>
      <c r="I4" s="4" t="n">
        <v>1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15</v>
      </c>
      <c r="C5" s="4" t="n">
        <v>11</v>
      </c>
      <c r="D5" s="4" t="n">
        <v>14</v>
      </c>
      <c r="E5" s="4" t="n">
        <v>10</v>
      </c>
      <c r="F5" s="4" t="n">
        <v>7</v>
      </c>
      <c r="G5" s="4" t="n">
        <v>14</v>
      </c>
      <c r="H5" s="4" t="n">
        <v>7</v>
      </c>
      <c r="I5" s="4" t="n">
        <v>5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17</v>
      </c>
      <c r="C6" s="4" t="n">
        <v>21</v>
      </c>
      <c r="D6" s="4" t="n">
        <v>19</v>
      </c>
      <c r="E6" s="4" t="n">
        <v>22</v>
      </c>
      <c r="F6" s="4" t="n">
        <v>19</v>
      </c>
      <c r="G6" s="4" t="n">
        <v>11</v>
      </c>
      <c r="H6" s="4" t="n">
        <v>11</v>
      </c>
      <c r="I6" s="4" t="n">
        <v>9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32</v>
      </c>
      <c r="C7" s="4" t="n">
        <v>18</v>
      </c>
      <c r="D7" s="4" t="n">
        <v>22</v>
      </c>
      <c r="E7" s="4" t="n">
        <v>28</v>
      </c>
      <c r="F7" s="4" t="n">
        <v>23</v>
      </c>
      <c r="G7" s="4" t="n">
        <v>15</v>
      </c>
      <c r="H7" s="4" t="n">
        <v>19</v>
      </c>
      <c r="I7" s="4" t="n">
        <v>9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30</v>
      </c>
      <c r="C8" s="4" t="n">
        <v>30</v>
      </c>
      <c r="D8" s="4" t="n">
        <v>35</v>
      </c>
      <c r="E8" s="4" t="n">
        <v>39</v>
      </c>
      <c r="F8" s="4" t="n">
        <v>23</v>
      </c>
      <c r="G8" s="4" t="n">
        <v>18</v>
      </c>
      <c r="H8" s="4" t="n">
        <v>16</v>
      </c>
      <c r="I8" s="4" t="n">
        <v>16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29</v>
      </c>
      <c r="C9" s="4" t="n">
        <v>36</v>
      </c>
      <c r="D9" s="4" t="n">
        <v>36</v>
      </c>
      <c r="E9" s="4" t="n">
        <v>48</v>
      </c>
      <c r="F9" s="4" t="n">
        <v>33</v>
      </c>
      <c r="G9" s="4" t="n">
        <v>24</v>
      </c>
      <c r="H9" s="4" t="n">
        <v>34</v>
      </c>
      <c r="I9" s="4" t="n">
        <v>26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32</v>
      </c>
      <c r="C10" s="4" t="n">
        <v>41</v>
      </c>
      <c r="D10" s="4" t="n">
        <v>30</v>
      </c>
      <c r="E10" s="4" t="n">
        <v>49</v>
      </c>
      <c r="F10" s="4" t="n">
        <v>31</v>
      </c>
      <c r="G10" s="4" t="n">
        <v>20</v>
      </c>
      <c r="H10" s="4" t="n">
        <v>35</v>
      </c>
      <c r="I10" s="4" t="n">
        <v>26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56</v>
      </c>
      <c r="C11" s="4" t="n">
        <v>51</v>
      </c>
      <c r="D11" s="4" t="n">
        <v>36</v>
      </c>
      <c r="E11" s="4" t="n">
        <v>52</v>
      </c>
      <c r="F11" s="4" t="n">
        <v>32</v>
      </c>
      <c r="G11" s="4" t="n">
        <v>37</v>
      </c>
      <c r="H11" s="4" t="n">
        <v>28</v>
      </c>
      <c r="I11" s="4" t="n">
        <v>33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59</v>
      </c>
      <c r="C12" s="4" t="n">
        <v>66</v>
      </c>
      <c r="D12" s="4" t="n">
        <v>52</v>
      </c>
      <c r="E12" s="4" t="n">
        <v>57</v>
      </c>
      <c r="F12" s="4" t="n">
        <v>50</v>
      </c>
      <c r="G12" s="4" t="n">
        <v>40</v>
      </c>
      <c r="H12" s="4" t="n">
        <v>35</v>
      </c>
      <c r="I12" s="4" t="n">
        <v>40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51</v>
      </c>
      <c r="C13" s="4" t="n">
        <v>52</v>
      </c>
      <c r="D13" s="4" t="n">
        <v>62</v>
      </c>
      <c r="E13" s="4" t="n">
        <v>49</v>
      </c>
      <c r="F13" s="4" t="n">
        <v>66</v>
      </c>
      <c r="G13" s="4" t="n">
        <v>35</v>
      </c>
      <c r="H13" s="4" t="n">
        <v>48</v>
      </c>
      <c r="I13" s="4" t="n">
        <v>40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61</v>
      </c>
      <c r="C14" s="4" t="n">
        <v>54</v>
      </c>
      <c r="D14" s="4" t="n">
        <v>77</v>
      </c>
      <c r="E14" s="4" t="n">
        <v>72</v>
      </c>
      <c r="F14" s="4" t="n">
        <v>78</v>
      </c>
      <c r="G14" s="4" t="n">
        <v>41</v>
      </c>
      <c r="H14" s="4" t="n">
        <v>53</v>
      </c>
      <c r="I14" s="4" t="n">
        <v>47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78</v>
      </c>
      <c r="C15" s="4" t="n">
        <v>88</v>
      </c>
      <c r="D15" s="4" t="n">
        <v>76</v>
      </c>
      <c r="E15" s="4" t="n">
        <v>73</v>
      </c>
      <c r="F15" s="4" t="n">
        <v>86</v>
      </c>
      <c r="G15" s="4" t="n">
        <v>54</v>
      </c>
      <c r="H15" s="4" t="n">
        <v>68</v>
      </c>
      <c r="I15" s="4" t="n">
        <v>33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108</v>
      </c>
      <c r="C16" s="4" t="n">
        <v>99</v>
      </c>
      <c r="D16" s="4" t="n">
        <v>63</v>
      </c>
      <c r="E16" s="4" t="n">
        <v>94</v>
      </c>
      <c r="F16" s="4" t="n">
        <v>53</v>
      </c>
      <c r="G16" s="4" t="n">
        <v>84</v>
      </c>
      <c r="H16" s="4" t="n">
        <v>77</v>
      </c>
      <c r="I16" s="4" t="n">
        <v>40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104</v>
      </c>
      <c r="C17" s="4" t="n">
        <v>90</v>
      </c>
      <c r="D17" s="4" t="n">
        <v>64</v>
      </c>
      <c r="E17" s="4" t="n">
        <v>81</v>
      </c>
      <c r="F17" s="4" t="n">
        <v>61</v>
      </c>
      <c r="G17" s="4" t="n">
        <v>76</v>
      </c>
      <c r="H17" s="4" t="n">
        <v>55</v>
      </c>
      <c r="I17" s="4" t="n">
        <v>53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100</v>
      </c>
      <c r="C18" s="4" t="n">
        <v>96</v>
      </c>
      <c r="D18" s="4" t="n">
        <v>115</v>
      </c>
      <c r="E18" s="4" t="n">
        <v>99</v>
      </c>
      <c r="F18" s="4" t="n">
        <v>77</v>
      </c>
      <c r="G18" s="4" t="n">
        <v>87</v>
      </c>
      <c r="H18" s="4" t="n">
        <v>96</v>
      </c>
      <c r="I18" s="4" t="n">
        <v>57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3</v>
      </c>
      <c r="C4" s="4" t="n">
        <v>4</v>
      </c>
      <c r="D4" s="4" t="n">
        <v>4</v>
      </c>
      <c r="E4" s="4" t="n">
        <v>4</v>
      </c>
      <c r="F4" s="4" t="n">
        <v>4</v>
      </c>
      <c r="G4" s="4" t="n">
        <v>6</v>
      </c>
      <c r="H4" s="4" t="n">
        <v>4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18</v>
      </c>
      <c r="C5" s="4" t="n">
        <v>17</v>
      </c>
      <c r="D5" s="4" t="n">
        <v>18</v>
      </c>
      <c r="E5" s="4" t="n">
        <v>14</v>
      </c>
      <c r="F5" s="4" t="n">
        <v>7</v>
      </c>
      <c r="G5" s="4" t="n">
        <v>13</v>
      </c>
      <c r="H5" s="4" t="n">
        <v>12</v>
      </c>
      <c r="I5" s="4" t="n">
        <v>6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22</v>
      </c>
      <c r="C6" s="4" t="n">
        <v>19</v>
      </c>
      <c r="D6" s="4" t="n">
        <v>17</v>
      </c>
      <c r="E6" s="4" t="n">
        <v>14</v>
      </c>
      <c r="F6" s="4" t="n">
        <v>10</v>
      </c>
      <c r="G6" s="4" t="n">
        <v>9</v>
      </c>
      <c r="H6" s="4" t="n">
        <v>12</v>
      </c>
      <c r="I6" s="4" t="n">
        <v>11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20</v>
      </c>
      <c r="C7" s="4" t="n">
        <v>20</v>
      </c>
      <c r="D7" s="4" t="n">
        <v>16</v>
      </c>
      <c r="E7" s="4" t="n">
        <v>28</v>
      </c>
      <c r="F7" s="4" t="n">
        <v>24</v>
      </c>
      <c r="G7" s="4" t="n">
        <v>23</v>
      </c>
      <c r="H7" s="4" t="n">
        <v>19</v>
      </c>
      <c r="I7" s="4" t="n">
        <v>13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45</v>
      </c>
      <c r="C8" s="4" t="n">
        <v>21</v>
      </c>
      <c r="D8" s="4" t="n">
        <v>30</v>
      </c>
      <c r="E8" s="4" t="n">
        <v>30</v>
      </c>
      <c r="F8" s="4" t="n">
        <v>26</v>
      </c>
      <c r="G8" s="4" t="n">
        <v>25</v>
      </c>
      <c r="H8" s="4" t="n">
        <v>22</v>
      </c>
      <c r="I8" s="4" t="n">
        <v>17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31</v>
      </c>
      <c r="C9" s="4" t="n">
        <v>40</v>
      </c>
      <c r="D9" s="4" t="n">
        <v>24</v>
      </c>
      <c r="E9" s="4" t="n">
        <v>36</v>
      </c>
      <c r="F9" s="4" t="n">
        <v>38</v>
      </c>
      <c r="G9" s="4" t="n">
        <v>32</v>
      </c>
      <c r="H9" s="4" t="n">
        <v>29</v>
      </c>
      <c r="I9" s="4" t="n">
        <v>25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37</v>
      </c>
      <c r="C10" s="4" t="n">
        <v>25</v>
      </c>
      <c r="D10" s="4" t="n">
        <v>29</v>
      </c>
      <c r="E10" s="4" t="n">
        <v>32</v>
      </c>
      <c r="F10" s="4" t="n">
        <v>41</v>
      </c>
      <c r="G10" s="4" t="n">
        <v>30</v>
      </c>
      <c r="H10" s="4" t="n">
        <v>32</v>
      </c>
      <c r="I10" s="4" t="n">
        <v>16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55</v>
      </c>
      <c r="C11" s="4" t="n">
        <v>49</v>
      </c>
      <c r="D11" s="4" t="n">
        <v>37</v>
      </c>
      <c r="E11" s="4" t="n">
        <v>51</v>
      </c>
      <c r="F11" s="4" t="n">
        <v>28</v>
      </c>
      <c r="G11" s="4" t="n">
        <v>34</v>
      </c>
      <c r="H11" s="4" t="n">
        <v>34</v>
      </c>
      <c r="I11" s="4" t="n">
        <v>36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76</v>
      </c>
      <c r="C12" s="4" t="n">
        <v>75</v>
      </c>
      <c r="D12" s="4" t="n">
        <v>43</v>
      </c>
      <c r="E12" s="4" t="n">
        <v>74</v>
      </c>
      <c r="F12" s="4" t="n">
        <v>48</v>
      </c>
      <c r="G12" s="4" t="n">
        <v>33</v>
      </c>
      <c r="H12" s="4" t="n">
        <v>49</v>
      </c>
      <c r="I12" s="4" t="n">
        <v>45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73</v>
      </c>
      <c r="C13" s="4" t="n">
        <v>64</v>
      </c>
      <c r="D13" s="4" t="n">
        <v>56</v>
      </c>
      <c r="E13" s="4" t="n">
        <v>75</v>
      </c>
      <c r="F13" s="4" t="n">
        <v>51</v>
      </c>
      <c r="G13" s="4" t="n">
        <v>43</v>
      </c>
      <c r="H13" s="4" t="n">
        <v>53</v>
      </c>
      <c r="I13" s="4" t="n">
        <v>42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86</v>
      </c>
      <c r="C14" s="4" t="n">
        <v>88</v>
      </c>
      <c r="D14" s="4" t="n">
        <v>52</v>
      </c>
      <c r="E14" s="4" t="n">
        <v>94</v>
      </c>
      <c r="F14" s="4" t="n">
        <v>57</v>
      </c>
      <c r="G14" s="4" t="n">
        <v>72</v>
      </c>
      <c r="H14" s="4" t="n">
        <v>60</v>
      </c>
      <c r="I14" s="4" t="n">
        <v>30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111</v>
      </c>
      <c r="C15" s="4" t="n">
        <v>63</v>
      </c>
      <c r="D15" s="4" t="n">
        <v>70</v>
      </c>
      <c r="E15" s="4" t="n">
        <v>72</v>
      </c>
      <c r="F15" s="4" t="n">
        <v>46</v>
      </c>
      <c r="G15" s="4" t="n">
        <v>59</v>
      </c>
      <c r="H15" s="4" t="n">
        <v>45</v>
      </c>
      <c r="I15" s="4" t="n">
        <v>56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94</v>
      </c>
      <c r="C16" s="4" t="n">
        <v>60</v>
      </c>
      <c r="D16" s="4" t="n">
        <v>81</v>
      </c>
      <c r="E16" s="4" t="n">
        <v>89</v>
      </c>
      <c r="F16" s="4" t="n">
        <v>61</v>
      </c>
      <c r="G16" s="4" t="n">
        <v>52</v>
      </c>
      <c r="H16" s="4" t="n">
        <v>76</v>
      </c>
      <c r="I16" s="4" t="n">
        <v>60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93</v>
      </c>
      <c r="C17" s="4" t="n">
        <v>107</v>
      </c>
      <c r="D17" s="4" t="n">
        <v>65</v>
      </c>
      <c r="E17" s="4" t="n">
        <v>67</v>
      </c>
      <c r="F17" s="4" t="n">
        <v>100</v>
      </c>
      <c r="G17" s="4" t="n">
        <v>92</v>
      </c>
      <c r="H17" s="4" t="n">
        <v>80</v>
      </c>
      <c r="I17" s="4" t="n">
        <v>55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87</v>
      </c>
      <c r="C18" s="4" t="n">
        <v>119</v>
      </c>
      <c r="D18" s="4" t="n">
        <v>96</v>
      </c>
      <c r="E18" s="4" t="n">
        <v>116</v>
      </c>
      <c r="F18" s="4" t="n">
        <v>61</v>
      </c>
      <c r="G18" s="4" t="n">
        <v>105</v>
      </c>
      <c r="H18" s="4" t="n">
        <v>84</v>
      </c>
      <c r="I18" s="4" t="n">
        <v>78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4" t="n">
        <v>2</v>
      </c>
      <c r="G4" s="4" t="n">
        <v>5</v>
      </c>
      <c r="H4" s="4" t="n">
        <v>5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4" t="n">
        <v>13</v>
      </c>
      <c r="G5" s="4" t="n">
        <v>14</v>
      </c>
      <c r="H5" s="4" t="n">
        <v>7</v>
      </c>
      <c r="I5" s="4" t="n">
        <v>9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4" t="n">
        <v>15</v>
      </c>
      <c r="G6" s="4" t="n">
        <v>11</v>
      </c>
      <c r="H6" s="4" t="n">
        <v>15</v>
      </c>
      <c r="I6" s="4" t="n">
        <v>11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4" t="n">
        <v>15</v>
      </c>
      <c r="G7" s="4" t="n">
        <v>14</v>
      </c>
      <c r="H7" s="4" t="n">
        <v>16</v>
      </c>
      <c r="I7" s="4" t="n">
        <v>11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4" t="n">
        <v>20</v>
      </c>
      <c r="G8" s="4" t="n">
        <v>23</v>
      </c>
      <c r="H8" s="4" t="n">
        <v>23</v>
      </c>
      <c r="I8" s="4" t="n">
        <v>20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4" t="n">
        <v>28</v>
      </c>
      <c r="G9" s="4" t="n">
        <v>23</v>
      </c>
      <c r="H9" s="4" t="n">
        <v>28</v>
      </c>
      <c r="I9" s="4" t="n">
        <v>16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4" t="n">
        <v>39</v>
      </c>
      <c r="G10" s="4" t="n">
        <v>24</v>
      </c>
      <c r="H10" s="4" t="n">
        <v>22</v>
      </c>
      <c r="I10" s="4" t="n">
        <v>21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4" t="n">
        <v>38</v>
      </c>
      <c r="G11" s="4" t="n">
        <v>25</v>
      </c>
      <c r="H11" s="4" t="n">
        <v>32</v>
      </c>
      <c r="I11" s="4" t="n">
        <v>26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4" t="n">
        <v>37</v>
      </c>
      <c r="G12" s="4" t="n">
        <v>41</v>
      </c>
      <c r="H12" s="4" t="n">
        <v>33</v>
      </c>
      <c r="I12" s="4" t="n">
        <v>29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4" t="n">
        <v>69</v>
      </c>
      <c r="G13" s="4" t="n">
        <v>35</v>
      </c>
      <c r="H13" s="4" t="n">
        <v>41</v>
      </c>
      <c r="I13" s="4" t="n">
        <v>44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4" t="n">
        <v>53</v>
      </c>
      <c r="G14" s="4" t="n">
        <v>71</v>
      </c>
      <c r="H14" s="4" t="n">
        <v>47</v>
      </c>
      <c r="I14" s="4" t="n">
        <v>51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4" t="n">
        <v>54</v>
      </c>
      <c r="G15" s="4" t="n">
        <v>78</v>
      </c>
      <c r="H15" s="4" t="n">
        <v>50</v>
      </c>
      <c r="I15" s="4" t="n">
        <v>53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4" t="n">
        <v>74</v>
      </c>
      <c r="G16" s="4" t="n">
        <v>54</v>
      </c>
      <c r="H16" s="4" t="n">
        <v>55</v>
      </c>
      <c r="I16" s="4" t="n">
        <v>63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4" t="n">
        <v>75</v>
      </c>
      <c r="G17" s="4" t="n">
        <v>52</v>
      </c>
      <c r="H17" s="4" t="n">
        <v>77</v>
      </c>
      <c r="I17" s="4" t="n">
        <v>68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4" t="n">
        <v>86</v>
      </c>
      <c r="G18" s="4" t="n">
        <v>84</v>
      </c>
      <c r="H18" s="4" t="n">
        <v>57</v>
      </c>
      <c r="I18" s="4" t="n">
        <v>56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2" customFormat="false" ht="15" hidden="false" customHeight="true" outlineLevel="0" collapsed="false">
      <c r="A2" s="64" t="s">
        <v>290</v>
      </c>
      <c r="B2" s="1" t="n">
        <v>4</v>
      </c>
    </row>
    <row r="3" customFormat="false" ht="15" hidden="false" customHeight="true" outlineLevel="0" collapsed="false">
      <c r="A3" s="3" t="s">
        <v>11</v>
      </c>
      <c r="B3" s="3" t="s">
        <v>41</v>
      </c>
      <c r="C3" s="3" t="s">
        <v>48</v>
      </c>
      <c r="D3" s="3" t="s">
        <v>55</v>
      </c>
      <c r="E3" s="3" t="s">
        <v>62</v>
      </c>
      <c r="F3" s="3" t="s">
        <v>93</v>
      </c>
      <c r="G3" s="3" t="s">
        <v>108</v>
      </c>
      <c r="H3" s="3" t="s">
        <v>118</v>
      </c>
      <c r="I3" s="3" t="s">
        <v>129</v>
      </c>
      <c r="J3" s="64" t="s">
        <v>291</v>
      </c>
      <c r="K3" s="6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3</v>
      </c>
      <c r="D4" s="4" t="n">
        <v>7</v>
      </c>
      <c r="E4" s="4" t="n">
        <v>3</v>
      </c>
      <c r="F4" s="4" t="n">
        <v>2</v>
      </c>
      <c r="G4" s="4" t="n">
        <v>5</v>
      </c>
      <c r="H4" s="4" t="n">
        <v>5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19</v>
      </c>
      <c r="C5" s="4" t="n">
        <v>17</v>
      </c>
      <c r="D5" s="4" t="n">
        <v>14</v>
      </c>
      <c r="E5" s="4" t="n">
        <v>11</v>
      </c>
      <c r="F5" s="4" t="n">
        <v>13</v>
      </c>
      <c r="G5" s="4" t="n">
        <v>14</v>
      </c>
      <c r="H5" s="4" t="n">
        <v>7</v>
      </c>
      <c r="I5" s="4" t="n">
        <v>9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13</v>
      </c>
      <c r="C6" s="4" t="n">
        <v>20</v>
      </c>
      <c r="D6" s="4" t="n">
        <v>11</v>
      </c>
      <c r="E6" s="4" t="n">
        <v>22</v>
      </c>
      <c r="F6" s="4" t="n">
        <v>15</v>
      </c>
      <c r="G6" s="4" t="n">
        <v>11</v>
      </c>
      <c r="H6" s="4" t="n">
        <v>15</v>
      </c>
      <c r="I6" s="4" t="n">
        <v>11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16</v>
      </c>
      <c r="C7" s="4" t="n">
        <v>27</v>
      </c>
      <c r="D7" s="4" t="n">
        <v>21</v>
      </c>
      <c r="E7" s="4" t="n">
        <v>16</v>
      </c>
      <c r="F7" s="4" t="n">
        <v>15</v>
      </c>
      <c r="G7" s="4" t="n">
        <v>14</v>
      </c>
      <c r="H7" s="4" t="n">
        <v>16</v>
      </c>
      <c r="I7" s="4" t="n">
        <v>11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27</v>
      </c>
      <c r="C8" s="4" t="n">
        <v>26</v>
      </c>
      <c r="D8" s="4" t="n">
        <v>36</v>
      </c>
      <c r="E8" s="4" t="n">
        <v>30</v>
      </c>
      <c r="F8" s="4" t="n">
        <v>20</v>
      </c>
      <c r="G8" s="4" t="n">
        <v>23</v>
      </c>
      <c r="H8" s="4" t="n">
        <v>23</v>
      </c>
      <c r="I8" s="4" t="n">
        <v>20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33</v>
      </c>
      <c r="C9" s="4" t="n">
        <v>46</v>
      </c>
      <c r="D9" s="4" t="n">
        <v>22</v>
      </c>
      <c r="E9" s="4" t="n">
        <v>32</v>
      </c>
      <c r="F9" s="4" t="n">
        <v>28</v>
      </c>
      <c r="G9" s="4" t="n">
        <v>23</v>
      </c>
      <c r="H9" s="4" t="n">
        <v>28</v>
      </c>
      <c r="I9" s="4" t="n">
        <v>16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49</v>
      </c>
      <c r="C10" s="4" t="n">
        <v>40</v>
      </c>
      <c r="D10" s="4" t="n">
        <v>29</v>
      </c>
      <c r="E10" s="4" t="n">
        <v>35</v>
      </c>
      <c r="F10" s="4" t="n">
        <v>39</v>
      </c>
      <c r="G10" s="4" t="n">
        <v>24</v>
      </c>
      <c r="H10" s="4" t="n">
        <v>22</v>
      </c>
      <c r="I10" s="4" t="n">
        <v>21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65</v>
      </c>
      <c r="C11" s="4" t="n">
        <v>32</v>
      </c>
      <c r="D11" s="4" t="n">
        <v>33</v>
      </c>
      <c r="E11" s="4" t="n">
        <v>61</v>
      </c>
      <c r="F11" s="4" t="n">
        <v>38</v>
      </c>
      <c r="G11" s="4" t="n">
        <v>25</v>
      </c>
      <c r="H11" s="4" t="n">
        <v>32</v>
      </c>
      <c r="I11" s="4" t="n">
        <v>26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54</v>
      </c>
      <c r="C12" s="4" t="n">
        <v>43</v>
      </c>
      <c r="D12" s="4" t="n">
        <v>63</v>
      </c>
      <c r="E12" s="4" t="n">
        <v>41</v>
      </c>
      <c r="F12" s="4" t="n">
        <v>37</v>
      </c>
      <c r="G12" s="4" t="n">
        <v>41</v>
      </c>
      <c r="H12" s="4" t="n">
        <v>33</v>
      </c>
      <c r="I12" s="4" t="n">
        <v>29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65</v>
      </c>
      <c r="C13" s="4" t="n">
        <v>55</v>
      </c>
      <c r="D13" s="4" t="n">
        <v>41</v>
      </c>
      <c r="E13" s="4" t="n">
        <v>84</v>
      </c>
      <c r="F13" s="4" t="n">
        <v>69</v>
      </c>
      <c r="G13" s="4" t="n">
        <v>35</v>
      </c>
      <c r="H13" s="4" t="n">
        <v>41</v>
      </c>
      <c r="I13" s="4" t="n">
        <v>44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99</v>
      </c>
      <c r="C14" s="4" t="n">
        <v>49</v>
      </c>
      <c r="D14" s="4" t="n">
        <v>49</v>
      </c>
      <c r="E14" s="4" t="n">
        <v>66</v>
      </c>
      <c r="F14" s="4" t="n">
        <v>53</v>
      </c>
      <c r="G14" s="4" t="n">
        <v>71</v>
      </c>
      <c r="H14" s="4" t="n">
        <v>47</v>
      </c>
      <c r="I14" s="4" t="n">
        <v>51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84</v>
      </c>
      <c r="C15" s="4" t="n">
        <v>54</v>
      </c>
      <c r="D15" s="4" t="n">
        <v>80</v>
      </c>
      <c r="E15" s="4" t="n">
        <v>87</v>
      </c>
      <c r="F15" s="4" t="n">
        <v>54</v>
      </c>
      <c r="G15" s="4" t="n">
        <v>78</v>
      </c>
      <c r="H15" s="4" t="n">
        <v>50</v>
      </c>
      <c r="I15" s="4" t="n">
        <v>53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99</v>
      </c>
      <c r="C16" s="4" t="n">
        <v>60</v>
      </c>
      <c r="D16" s="4" t="n">
        <v>56</v>
      </c>
      <c r="E16" s="4" t="n">
        <v>89</v>
      </c>
      <c r="F16" s="4" t="n">
        <v>74</v>
      </c>
      <c r="G16" s="4" t="n">
        <v>54</v>
      </c>
      <c r="H16" s="4" t="n">
        <v>55</v>
      </c>
      <c r="I16" s="4" t="n">
        <v>63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115</v>
      </c>
      <c r="C17" s="4" t="n">
        <v>95</v>
      </c>
      <c r="D17" s="4" t="n">
        <v>84</v>
      </c>
      <c r="E17" s="4" t="n">
        <v>120</v>
      </c>
      <c r="F17" s="4" t="n">
        <v>75</v>
      </c>
      <c r="G17" s="4" t="n">
        <v>52</v>
      </c>
      <c r="H17" s="4" t="n">
        <v>77</v>
      </c>
      <c r="I17" s="4" t="n">
        <v>68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133</v>
      </c>
      <c r="C18" s="4" t="n">
        <v>71</v>
      </c>
      <c r="D18" s="4" t="n">
        <v>99</v>
      </c>
      <c r="E18" s="4" t="n">
        <v>111</v>
      </c>
      <c r="F18" s="4" t="n">
        <v>86</v>
      </c>
      <c r="G18" s="4" t="n">
        <v>84</v>
      </c>
      <c r="H18" s="4" t="n">
        <v>57</v>
      </c>
      <c r="I18" s="4" t="n">
        <v>56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20"/>
  </cols>
  <sheetData>
    <row r="1" customFormat="false" ht="27.75" hidden="false" customHeight="true" outlineLevel="0" collapsed="false">
      <c r="A1" s="85" t="s">
        <v>293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customFormat="false" ht="15" hidden="false" customHeight="true" outlineLevel="0" collapsed="false">
      <c r="A2" s="86" t="s">
        <v>294</v>
      </c>
      <c r="B2" s="87" t="n">
        <f aca="true">TODAY()</f>
        <v>46118</v>
      </c>
    </row>
    <row r="3" customFormat="false" ht="15" hidden="false" customHeight="true" outlineLevel="0" collapsed="false">
      <c r="A3" s="88" t="s">
        <v>137</v>
      </c>
      <c r="B3" s="88" t="s">
        <v>11</v>
      </c>
      <c r="C3" s="88" t="s">
        <v>10</v>
      </c>
      <c r="D3" s="88" t="s">
        <v>141</v>
      </c>
      <c r="E3" s="88" t="s">
        <v>36</v>
      </c>
      <c r="F3" s="88" t="s">
        <v>295</v>
      </c>
      <c r="G3" s="88" t="s">
        <v>296</v>
      </c>
      <c r="H3" s="88" t="s">
        <v>297</v>
      </c>
      <c r="I3" s="88" t="s">
        <v>298</v>
      </c>
      <c r="J3" s="88" t="s">
        <v>143</v>
      </c>
      <c r="K3" s="88" t="s">
        <v>299</v>
      </c>
      <c r="L3" s="88" t="s">
        <v>300</v>
      </c>
    </row>
    <row r="4" customFormat="false" ht="15" hidden="false" customHeight="true" outlineLevel="0" collapsed="false">
      <c r="A4" s="1" t="str">
        <f aca="false">Job_Master!A4</f>
        <v>BJ-104</v>
      </c>
      <c r="B4" s="1" t="n">
        <f aca="false">Job_Master!B4</f>
        <v>28</v>
      </c>
      <c r="C4" s="1" t="str">
        <f aca="false">Job_Master!C4</f>
        <v>2P</v>
      </c>
      <c r="D4" s="1" t="str">
        <f aca="false">Job_Master!G4</f>
        <v>Medium</v>
      </c>
      <c r="E4" s="1" t="str">
        <f aca="false">Job_Master!I4</f>
        <v>Released</v>
      </c>
      <c r="F4" s="1" t="str">
        <f aca="false">IF(QC_Plan!J4&lt;&gt;"","QC",IF(FID_Plan!J4&lt;&gt;"","FID",IF(VENT_Plan!J4&lt;&gt;"","VENT",IF(ENG_Plan!J4&lt;&gt;"","ENG",IF(EDM_Plan!J4&lt;&gt;"","EDM",IF(CARVING_Plan!J4&lt;&gt;"","CARVING",IF(SPM_Plan!J4&lt;&gt;"","SPM","VTL")))))))</f>
        <v>QC</v>
      </c>
      <c r="G4" s="89" t="n">
        <f aca="false">VTL_Plan!J4</f>
        <v>46113.2916666667</v>
      </c>
      <c r="H4" s="89" t="n">
        <f aca="false">QC_Plan!M4</f>
        <v>46132.3392857143</v>
      </c>
      <c r="I4" s="90" t="n">
        <f aca="false">(IF(VTL_Plan!M4&lt;&gt;"",1,0)+IF(SPM_Plan!M4&lt;&gt;"",1,0)+IF(CARVING_Plan!M4&lt;&gt;"",1,0)+IF(EDM_Plan!M4&lt;&gt;"",1,0)+IF(ENG_Plan!M4&lt;&gt;"",1,0)+IF(VENT_Plan!M4&lt;&gt;"",1,0)+IF(FID_Plan!M4&lt;&gt;"",1,0)+IF(QC_Plan!M4&lt;&gt;"",1,0))/8</f>
        <v>1</v>
      </c>
      <c r="J4" s="91" t="n">
        <f aca="false">Job_Master!J4</f>
        <v>46162.3392857143</v>
      </c>
      <c r="K4" s="1" t="str">
        <f aca="false">IF(OR(J4="",H4=""),"Pending",IF(H4&lt;=J4,"✅ On Time","⚠ Delayed"))</f>
        <v>✅ On Time</v>
      </c>
    </row>
    <row r="5" customFormat="false" ht="15" hidden="false" customHeight="true" outlineLevel="0" collapsed="false">
      <c r="A5" s="1" t="str">
        <f aca="false">Job_Master!A5</f>
        <v>BJ-101</v>
      </c>
      <c r="B5" s="1" t="n">
        <f aca="false">Job_Master!B5</f>
        <v>42</v>
      </c>
      <c r="C5" s="1" t="str">
        <f aca="false">Job_Master!C5</f>
        <v>SOL</v>
      </c>
      <c r="D5" s="1" t="str">
        <f aca="false">Job_Master!G5</f>
        <v>Medium</v>
      </c>
      <c r="E5" s="1" t="str">
        <f aca="false">Job_Master!I5</f>
        <v>On Hold</v>
      </c>
      <c r="F5" s="1" t="str">
        <f aca="false">IF(QC_Plan!J5&lt;&gt;"","QC",IF(FID_Plan!J5&lt;&gt;"","FID",IF(VENT_Plan!J5&lt;&gt;"","VENT",IF(ENG_Plan!J5&lt;&gt;"","ENG",IF(EDM_Plan!J5&lt;&gt;"","EDM",IF(CARVING_Plan!J5&lt;&gt;"","CARVING",IF(SPM_Plan!J5&lt;&gt;"","SPM","VTL")))))))</f>
        <v>QC</v>
      </c>
      <c r="G5" s="89" t="n">
        <f aca="false">VTL_Plan!J5</f>
        <v>46113.2916666667</v>
      </c>
      <c r="H5" s="89" t="n">
        <f aca="false">QC_Plan!M5</f>
        <v>46170.3683862434</v>
      </c>
      <c r="I5" s="90" t="n">
        <f aca="false">(IF(VTL_Plan!M5&lt;&gt;"",1,0)+IF(SPM_Plan!M5&lt;&gt;"",1,0)+IF(CARVING_Plan!M5&lt;&gt;"",1,0)+IF(EDM_Plan!M5&lt;&gt;"",1,0)+IF(ENG_Plan!M5&lt;&gt;"",1,0)+IF(VENT_Plan!M5&lt;&gt;"",1,0)+IF(FID_Plan!M5&lt;&gt;"",1,0)+IF(QC_Plan!M5&lt;&gt;"",1,0))/8</f>
        <v>1</v>
      </c>
      <c r="J5" s="91" t="n">
        <f aca="false">Job_Master!J5</f>
        <v>46200.3683862434</v>
      </c>
      <c r="K5" s="1" t="str">
        <f aca="false">IF(OR(J5="",H5=""),"Pending",IF(H5&lt;=J5,"✅ On Time","⚠ Delayed"))</f>
        <v>✅ On Time</v>
      </c>
    </row>
    <row r="6" customFormat="false" ht="15" hidden="false" customHeight="true" outlineLevel="0" collapsed="false">
      <c r="A6" s="1" t="str">
        <f aca="false">Job_Master!A6</f>
        <v>BJ-105</v>
      </c>
      <c r="B6" s="1" t="n">
        <f aca="false">Job_Master!B6</f>
        <v>28</v>
      </c>
      <c r="C6" s="1" t="str">
        <f aca="false">Job_Master!C6</f>
        <v>RW</v>
      </c>
      <c r="D6" s="1" t="str">
        <f aca="false">Job_Master!G6</f>
        <v>Medium</v>
      </c>
      <c r="E6" s="1" t="str">
        <f aca="false">Job_Master!I6</f>
        <v>Released</v>
      </c>
      <c r="F6" s="1" t="str">
        <f aca="false">IF(QC_Plan!J6&lt;&gt;"","QC",IF(FID_Plan!J6&lt;&gt;"","FID",IF(VENT_Plan!J6&lt;&gt;"","VENT",IF(ENG_Plan!J6&lt;&gt;"","ENG",IF(EDM_Plan!J6&lt;&gt;"","EDM",IF(CARVING_Plan!J6&lt;&gt;"","CARVING",IF(SPM_Plan!J6&lt;&gt;"","SPM","VTL")))))))</f>
        <v>QC</v>
      </c>
      <c r="G6" s="89" t="n">
        <f aca="false">VTL_Plan!J6</f>
        <v>46115.8842592593</v>
      </c>
      <c r="H6" s="89" t="n">
        <f aca="false">QC_Plan!M6</f>
        <v>46173.5165343915</v>
      </c>
      <c r="I6" s="90" t="n">
        <f aca="false">(IF(VTL_Plan!M6&lt;&gt;"",1,0)+IF(SPM_Plan!M6&lt;&gt;"",1,0)+IF(CARVING_Plan!M6&lt;&gt;"",1,0)+IF(EDM_Plan!M6&lt;&gt;"",1,0)+IF(ENG_Plan!M6&lt;&gt;"",1,0)+IF(VENT_Plan!M6&lt;&gt;"",1,0)+IF(FID_Plan!M6&lt;&gt;"",1,0)+IF(QC_Plan!M6&lt;&gt;"",1,0))/8</f>
        <v>1</v>
      </c>
      <c r="J6" s="91" t="n">
        <f aca="false">Job_Master!J6</f>
        <v>46203.5165343915</v>
      </c>
      <c r="K6" s="1" t="str">
        <f aca="false">IF(OR(J6="",H6=""),"Pending",IF(H6&lt;=J6,"✅ On Time","⚠ Delayed"))</f>
        <v>✅ On Time</v>
      </c>
    </row>
    <row r="7" customFormat="false" ht="15" hidden="false" customHeight="true" outlineLevel="0" collapsed="false">
      <c r="A7" s="1" t="str">
        <f aca="false">Job_Master!A7</f>
        <v>BJ-100</v>
      </c>
      <c r="B7" s="1" t="n">
        <f aca="false">Job_Master!B7</f>
        <v>25</v>
      </c>
      <c r="C7" s="1" t="str">
        <f aca="false">Job_Master!C7</f>
        <v>SEG</v>
      </c>
      <c r="D7" s="1" t="str">
        <f aca="false">Job_Master!G7</f>
        <v>Low</v>
      </c>
      <c r="E7" s="1" t="str">
        <f aca="false">Job_Master!I7</f>
        <v>Released</v>
      </c>
      <c r="F7" s="1" t="str">
        <f aca="false">IF(QC_Plan!J7&lt;&gt;"","QC",IF(FID_Plan!J7&lt;&gt;"","FID",IF(VENT_Plan!J7&lt;&gt;"","VENT",IF(ENG_Plan!J7&lt;&gt;"","ENG",IF(EDM_Plan!J7&lt;&gt;"","EDM",IF(CARVING_Plan!J7&lt;&gt;"","CARVING",IF(SPM_Plan!J7&lt;&gt;"","SPM","VTL")))))))</f>
        <v>QC</v>
      </c>
      <c r="G7" s="89" t="n">
        <f aca="false">VTL_Plan!J7</f>
        <v>46118.4768518519</v>
      </c>
      <c r="H7" s="89" t="n">
        <f aca="false">QC_Plan!M7</f>
        <v>46184.5185185185</v>
      </c>
      <c r="I7" s="90" t="n">
        <f aca="false">(IF(VTL_Plan!M7&lt;&gt;"",1,0)+IF(SPM_Plan!M7&lt;&gt;"",1,0)+IF(CARVING_Plan!M7&lt;&gt;"",1,0)+IF(EDM_Plan!M7&lt;&gt;"",1,0)+IF(ENG_Plan!M7&lt;&gt;"",1,0)+IF(VENT_Plan!M7&lt;&gt;"",1,0)+IF(FID_Plan!M7&lt;&gt;"",1,0)+IF(QC_Plan!M7&lt;&gt;"",1,0))/8</f>
        <v>1</v>
      </c>
      <c r="J7" s="91" t="n">
        <f aca="false">Job_Master!J7</f>
        <v>46214.5185185185</v>
      </c>
      <c r="K7" s="1" t="str">
        <f aca="false">IF(OR(J7="",H7=""),"Pending",IF(H7&lt;=J7,"✅ On Time","⚠ Delayed"))</f>
        <v>✅ On Time</v>
      </c>
    </row>
    <row r="8" customFormat="false" ht="15" hidden="false" customHeight="true" outlineLevel="0" collapsed="false">
      <c r="A8" s="1" t="str">
        <f aca="false">Job_Master!A8</f>
        <v>BJ-102</v>
      </c>
      <c r="B8" s="1" t="n">
        <f aca="false">Job_Master!B8</f>
        <v>34</v>
      </c>
      <c r="C8" s="1" t="str">
        <f aca="false">Job_Master!C8</f>
        <v>SEG</v>
      </c>
      <c r="D8" s="1" t="str">
        <f aca="false">Job_Master!G8</f>
        <v>Medium</v>
      </c>
      <c r="E8" s="1" t="str">
        <f aca="false">Job_Master!I8</f>
        <v>Cancelled</v>
      </c>
      <c r="F8" s="1" t="str">
        <f aca="false">IF(QC_Plan!J8&lt;&gt;"","QC",IF(FID_Plan!J8&lt;&gt;"","FID",IF(VENT_Plan!J8&lt;&gt;"","VENT",IF(ENG_Plan!J8&lt;&gt;"","ENG",IF(EDM_Plan!J8&lt;&gt;"","EDM",IF(CARVING_Plan!J8&lt;&gt;"","CARVING",IF(SPM_Plan!J8&lt;&gt;"","SPM","VTL")))))))</f>
        <v>QC</v>
      </c>
      <c r="G8" s="89" t="n">
        <f aca="false">VTL_Plan!J8</f>
        <v>46121.0694444444</v>
      </c>
      <c r="H8" s="89" t="n">
        <f aca="false">QC_Plan!M8</f>
        <v>46208.9431216931</v>
      </c>
      <c r="I8" s="90" t="n">
        <f aca="false">(IF(VTL_Plan!M8&lt;&gt;"",1,0)+IF(SPM_Plan!M8&lt;&gt;"",1,0)+IF(CARVING_Plan!M8&lt;&gt;"",1,0)+IF(EDM_Plan!M8&lt;&gt;"",1,0)+IF(ENG_Plan!M8&lt;&gt;"",1,0)+IF(VENT_Plan!M8&lt;&gt;"",1,0)+IF(FID_Plan!M8&lt;&gt;"",1,0)+IF(QC_Plan!M8&lt;&gt;"",1,0))/8</f>
        <v>1</v>
      </c>
      <c r="J8" s="91" t="n">
        <f aca="false">Job_Master!J8</f>
        <v>46238.9431216931</v>
      </c>
      <c r="K8" s="1" t="str">
        <f aca="false">IF(OR(J8="",H8=""),"Pending",IF(H8&lt;=J8,"✅ On Time","⚠ Delayed"))</f>
        <v>✅ On Time</v>
      </c>
    </row>
    <row r="9" customFormat="false" ht="15" hidden="false" customHeight="true" outlineLevel="0" collapsed="false">
      <c r="A9" s="1" t="str">
        <f aca="false">Job_Master!A9</f>
        <v>BJ-103</v>
      </c>
      <c r="B9" s="1" t="n">
        <f aca="false">Job_Master!B9</f>
        <v>20</v>
      </c>
      <c r="C9" s="1" t="str">
        <f aca="false">Job_Master!C9</f>
        <v>RW</v>
      </c>
      <c r="D9" s="1" t="str">
        <f aca="false">Job_Master!G9</f>
        <v>Low</v>
      </c>
      <c r="E9" s="1" t="str">
        <f aca="false">Job_Master!I9</f>
        <v>Released</v>
      </c>
      <c r="F9" s="1" t="str">
        <f aca="false">IF(QC_Plan!J9&lt;&gt;"","QC",IF(FID_Plan!J9&lt;&gt;"","FID",IF(VENT_Plan!J9&lt;&gt;"","VENT",IF(ENG_Plan!J9&lt;&gt;"","ENG",IF(EDM_Plan!J9&lt;&gt;"","EDM",IF(CARVING_Plan!J9&lt;&gt;"","CARVING",IF(SPM_Plan!J9&lt;&gt;"","SPM","VTL")))))))</f>
        <v>QC</v>
      </c>
      <c r="G9" s="89" t="n">
        <f aca="false">VTL_Plan!J9</f>
        <v>46125.4212962963</v>
      </c>
      <c r="H9" s="89" t="n">
        <f aca="false">QC_Plan!M9</f>
        <v>46210.7023809524</v>
      </c>
      <c r="I9" s="90" t="n">
        <f aca="false">(IF(VTL_Plan!M9&lt;&gt;"",1,0)+IF(SPM_Plan!M9&lt;&gt;"",1,0)+IF(CARVING_Plan!M9&lt;&gt;"",1,0)+IF(EDM_Plan!M9&lt;&gt;"",1,0)+IF(ENG_Plan!M9&lt;&gt;"",1,0)+IF(VENT_Plan!M9&lt;&gt;"",1,0)+IF(FID_Plan!M9&lt;&gt;"",1,0)+IF(QC_Plan!M9&lt;&gt;"",1,0))/8</f>
        <v>1</v>
      </c>
      <c r="J9" s="91" t="n">
        <f aca="false">Job_Master!J9</f>
        <v>46240.7023809524</v>
      </c>
      <c r="K9" s="1" t="str">
        <f aca="false">IF(OR(J9="",H9=""),"Pending",IF(H9&lt;=J9,"✅ On Time","⚠ Delayed"))</f>
        <v>✅ On Time</v>
      </c>
    </row>
    <row r="10" customFormat="false" ht="15" hidden="false" customHeight="true" outlineLevel="0" collapsed="false">
      <c r="A10" s="1" t="str">
        <f aca="false">Job_Master!A10</f>
        <v>BJ-108</v>
      </c>
      <c r="B10" s="1" t="n">
        <f aca="false">Job_Master!B10</f>
        <v>70</v>
      </c>
      <c r="C10" s="1" t="str">
        <f aca="false">Job_Master!C10</f>
        <v>RW</v>
      </c>
      <c r="D10" s="1" t="str">
        <f aca="false">Job_Master!G10</f>
        <v>High</v>
      </c>
      <c r="E10" s="1" t="str">
        <f aca="false">Job_Master!I10</f>
        <v>Released</v>
      </c>
      <c r="F10" s="1" t="str">
        <f aca="false">IF(QC_Plan!J10&lt;&gt;"","QC",IF(FID_Plan!J10&lt;&gt;"","FID",IF(VENT_Plan!J10&lt;&gt;"","VENT",IF(ENG_Plan!J10&lt;&gt;"","ENG",IF(EDM_Plan!J10&lt;&gt;"","EDM",IF(CARVING_Plan!J10&lt;&gt;"","CARVING",IF(SPM_Plan!J10&lt;&gt;"","SPM","VTL")))))))</f>
        <v>QC</v>
      </c>
      <c r="G10" s="89" t="n">
        <f aca="false">VTL_Plan!J10</f>
        <v>46113.2916666667</v>
      </c>
      <c r="H10" s="89" t="n">
        <f aca="false">QC_Plan!M10</f>
        <v>46219.5912698413</v>
      </c>
      <c r="I10" s="90" t="n">
        <f aca="false">(IF(VTL_Plan!M10&lt;&gt;"",1,0)+IF(SPM_Plan!M10&lt;&gt;"",1,0)+IF(CARVING_Plan!M10&lt;&gt;"",1,0)+IF(EDM_Plan!M10&lt;&gt;"",1,0)+IF(ENG_Plan!M10&lt;&gt;"",1,0)+IF(VENT_Plan!M10&lt;&gt;"",1,0)+IF(FID_Plan!M10&lt;&gt;"",1,0)+IF(QC_Plan!M10&lt;&gt;"",1,0))/8</f>
        <v>1</v>
      </c>
      <c r="J10" s="91" t="n">
        <f aca="false">Job_Master!J10</f>
        <v>46249.5912698413</v>
      </c>
      <c r="K10" s="1" t="str">
        <f aca="false">IF(OR(J10="",H10=""),"Pending",IF(H10&lt;=J10,"✅ On Time","⚠ Delayed"))</f>
        <v>✅ On Time</v>
      </c>
    </row>
    <row r="11" customFormat="false" ht="15" hidden="false" customHeight="true" outlineLevel="0" collapsed="false">
      <c r="A11" s="1" t="str">
        <f aca="false">Job_Master!A11</f>
        <v>BJ-106</v>
      </c>
      <c r="B11" s="1" t="n">
        <f aca="false">Job_Master!B11</f>
        <v>15</v>
      </c>
      <c r="C11" s="1" t="str">
        <f aca="false">Job_Master!C11</f>
        <v>RW</v>
      </c>
      <c r="D11" s="1" t="str">
        <f aca="false">Job_Master!G11</f>
        <v>Low</v>
      </c>
      <c r="E11" s="1" t="str">
        <f aca="false">Job_Master!I11</f>
        <v>On Hold</v>
      </c>
      <c r="F11" s="1" t="str">
        <f aca="false">IF(QC_Plan!J11&lt;&gt;"","QC",IF(FID_Plan!J11&lt;&gt;"","FID",IF(VENT_Plan!J11&lt;&gt;"","VENT",IF(ENG_Plan!J11&lt;&gt;"","ENG",IF(EDM_Plan!J11&lt;&gt;"","EDM",IF(CARVING_Plan!J11&lt;&gt;"","CARVING",IF(SPM_Plan!J11&lt;&gt;"","SPM","VTL")))))))</f>
        <v>QC</v>
      </c>
      <c r="G11" s="89" t="n">
        <f aca="false">VTL_Plan!J11</f>
        <v>46127.2731481481</v>
      </c>
      <c r="H11" s="89" t="n">
        <f aca="false">QC_Plan!M11</f>
        <v>46220.2394179894</v>
      </c>
      <c r="I11" s="90" t="n">
        <f aca="false">(IF(VTL_Plan!M11&lt;&gt;"",1,0)+IF(SPM_Plan!M11&lt;&gt;"",1,0)+IF(CARVING_Plan!M11&lt;&gt;"",1,0)+IF(EDM_Plan!M11&lt;&gt;"",1,0)+IF(ENG_Plan!M11&lt;&gt;"",1,0)+IF(VENT_Plan!M11&lt;&gt;"",1,0)+IF(FID_Plan!M11&lt;&gt;"",1,0)+IF(QC_Plan!M11&lt;&gt;"",1,0))/8</f>
        <v>1</v>
      </c>
      <c r="J11" s="91" t="n">
        <f aca="false">Job_Master!J11</f>
        <v>46250.2394179894</v>
      </c>
      <c r="K11" s="1" t="str">
        <f aca="false">IF(OR(J11="",H11=""),"Pending",IF(H11&lt;=J11,"✅ On Time","⚠ Delayed"))</f>
        <v>✅ On Time</v>
      </c>
    </row>
    <row r="12" customFormat="false" ht="15" hidden="false" customHeight="true" outlineLevel="0" collapsed="false">
      <c r="A12" s="1" t="str">
        <f aca="false">Job_Master!A12</f>
        <v>BJ-109</v>
      </c>
      <c r="B12" s="1" t="n">
        <f aca="false">Job_Master!B12</f>
        <v>30</v>
      </c>
      <c r="C12" s="1" t="str">
        <f aca="false">Job_Master!C12</f>
        <v>RW</v>
      </c>
      <c r="D12" s="1" t="str">
        <f aca="false">Job_Master!G12</f>
        <v>Medium</v>
      </c>
      <c r="E12" s="1" t="str">
        <f aca="false">Job_Master!I12</f>
        <v>Released</v>
      </c>
      <c r="F12" s="1" t="str">
        <f aca="false">IF(QC_Plan!J12&lt;&gt;"","QC",IF(FID_Plan!J12&lt;&gt;"","FID",IF(VENT_Plan!J12&lt;&gt;"","VENT",IF(ENG_Plan!J12&lt;&gt;"","ENG",IF(EDM_Plan!J12&lt;&gt;"","EDM",IF(CARVING_Plan!J12&lt;&gt;"","CARVING",IF(SPM_Plan!J12&lt;&gt;"","SPM","VTL")))))))</f>
        <v>QC</v>
      </c>
      <c r="G12" s="89" t="n">
        <f aca="false">VTL_Plan!J12</f>
        <v>46130.5138888889</v>
      </c>
      <c r="H12" s="89" t="n">
        <f aca="false">QC_Plan!M12</f>
        <v>46223.4801587302</v>
      </c>
      <c r="I12" s="90" t="n">
        <f aca="false">(IF(VTL_Plan!M12&lt;&gt;"",1,0)+IF(SPM_Plan!M12&lt;&gt;"",1,0)+IF(CARVING_Plan!M12&lt;&gt;"",1,0)+IF(EDM_Plan!M12&lt;&gt;"",1,0)+IF(ENG_Plan!M12&lt;&gt;"",1,0)+IF(VENT_Plan!M12&lt;&gt;"",1,0)+IF(FID_Plan!M12&lt;&gt;"",1,0)+IF(QC_Plan!M12&lt;&gt;"",1,0))/8</f>
        <v>1</v>
      </c>
      <c r="J12" s="91" t="n">
        <f aca="false">Job_Master!J12</f>
        <v>46253.4801587302</v>
      </c>
      <c r="K12" s="1" t="str">
        <f aca="false">IF(OR(J12="",H12=""),"Pending",IF(H12&lt;=J12,"✅ On Time","⚠ Delayed"))</f>
        <v>✅ On Time</v>
      </c>
    </row>
    <row r="13" customFormat="false" ht="15" hidden="false" customHeight="true" outlineLevel="0" collapsed="false">
      <c r="A13" s="1" t="str">
        <f aca="false">Job_Master!A13</f>
        <v>BJ-110</v>
      </c>
      <c r="B13" s="1" t="n">
        <f aca="false">Job_Master!B13</f>
        <v>17</v>
      </c>
      <c r="C13" s="1" t="str">
        <f aca="false">Job_Master!C13</f>
        <v>2P</v>
      </c>
      <c r="D13" s="1" t="str">
        <f aca="false">Job_Master!G13</f>
        <v>Low</v>
      </c>
      <c r="E13" s="1" t="str">
        <f aca="false">Job_Master!I13</f>
        <v>Released</v>
      </c>
      <c r="F13" s="1" t="str">
        <f aca="false">IF(QC_Plan!J13&lt;&gt;"","QC",IF(FID_Plan!J13&lt;&gt;"","FID",IF(VENT_Plan!J13&lt;&gt;"","VENT",IF(ENG_Plan!J13&lt;&gt;"","ENG",IF(EDM_Plan!J13&lt;&gt;"","EDM",IF(CARVING_Plan!J13&lt;&gt;"","CARVING",IF(SPM_Plan!J13&lt;&gt;"","SPM","VTL")))))))</f>
        <v>QC</v>
      </c>
      <c r="G13" s="89" t="n">
        <f aca="false">VTL_Plan!J13</f>
        <v>46128.662037037</v>
      </c>
      <c r="H13" s="89" t="n">
        <f aca="false">QC_Plan!M13</f>
        <v>46224.6838624339</v>
      </c>
      <c r="I13" s="90" t="n">
        <f aca="false">(IF(VTL_Plan!M13&lt;&gt;"",1,0)+IF(SPM_Plan!M13&lt;&gt;"",1,0)+IF(CARVING_Plan!M13&lt;&gt;"",1,0)+IF(EDM_Plan!M13&lt;&gt;"",1,0)+IF(ENG_Plan!M13&lt;&gt;"",1,0)+IF(VENT_Plan!M13&lt;&gt;"",1,0)+IF(FID_Plan!M13&lt;&gt;"",1,0)+IF(QC_Plan!M13&lt;&gt;"",1,0))/8</f>
        <v>1</v>
      </c>
      <c r="J13" s="91" t="n">
        <f aca="false">Job_Master!J13</f>
        <v>46254.6838624339</v>
      </c>
      <c r="K13" s="1" t="str">
        <f aca="false">IF(OR(J13="",H13=""),"Pending",IF(H13&lt;=J13,"✅ On Time","⚠ Delayed"))</f>
        <v>✅ On Time</v>
      </c>
    </row>
    <row r="14" customFormat="false" ht="15" hidden="false" customHeight="true" outlineLevel="0" collapsed="false">
      <c r="A14" s="1" t="str">
        <f aca="false">Job_Master!A14</f>
        <v>BJ-111</v>
      </c>
      <c r="B14" s="1" t="n">
        <f aca="false">Job_Master!B14</f>
        <v>25</v>
      </c>
      <c r="C14" s="1" t="str">
        <f aca="false">Job_Master!C14</f>
        <v>RW</v>
      </c>
      <c r="D14" s="1" t="str">
        <f aca="false">Job_Master!G14</f>
        <v>Low</v>
      </c>
      <c r="E14" s="1" t="str">
        <f aca="false">Job_Master!I14</f>
        <v>Released</v>
      </c>
      <c r="F14" s="1" t="str">
        <f aca="false">IF(QC_Plan!J14&lt;&gt;"","QC",IF(FID_Plan!J14&lt;&gt;"","FID",IF(VENT_Plan!J14&lt;&gt;"","VENT",IF(ENG_Plan!J14&lt;&gt;"","ENG",IF(EDM_Plan!J14&lt;&gt;"","EDM",IF(CARVING_Plan!J14&lt;&gt;"","CARVING",IF(SPM_Plan!J14&lt;&gt;"","SPM","VTL")))))))</f>
        <v>QC</v>
      </c>
      <c r="G14" s="89" t="n">
        <f aca="false">VTL_Plan!J14</f>
        <v>46130.2361111111</v>
      </c>
      <c r="H14" s="89" t="n">
        <f aca="false">QC_Plan!M14</f>
        <v>46226.1653439153</v>
      </c>
      <c r="I14" s="90" t="n">
        <f aca="false">(IF(VTL_Plan!M14&lt;&gt;"",1,0)+IF(SPM_Plan!M14&lt;&gt;"",1,0)+IF(CARVING_Plan!M14&lt;&gt;"",1,0)+IF(EDM_Plan!M14&lt;&gt;"",1,0)+IF(ENG_Plan!M14&lt;&gt;"",1,0)+IF(VENT_Plan!M14&lt;&gt;"",1,0)+IF(FID_Plan!M14&lt;&gt;"",1,0)+IF(QC_Plan!M14&lt;&gt;"",1,0))/8</f>
        <v>1</v>
      </c>
      <c r="J14" s="91" t="n">
        <f aca="false">Job_Master!J14</f>
        <v>46256.1653439153</v>
      </c>
      <c r="K14" s="1" t="str">
        <f aca="false">IF(OR(J14="",H14=""),"Pending",IF(H14&lt;=J14,"✅ On Time","⚠ Delayed"))</f>
        <v>✅ On Time</v>
      </c>
    </row>
    <row r="15" customFormat="false" ht="15" hidden="false" customHeight="true" outlineLevel="0" collapsed="false">
      <c r="A15" s="1" t="str">
        <f aca="false">Job_Master!A15</f>
        <v>BJ-107</v>
      </c>
      <c r="B15" s="1" t="n">
        <f aca="false">Job_Master!B15</f>
        <v>20</v>
      </c>
      <c r="C15" s="1" t="str">
        <f aca="false">Job_Master!C15</f>
        <v>SEG</v>
      </c>
      <c r="D15" s="1" t="str">
        <f aca="false">Job_Master!G15</f>
        <v>Low</v>
      </c>
      <c r="E15" s="1" t="str">
        <f aca="false">Job_Master!I15</f>
        <v>On Hold</v>
      </c>
      <c r="F15" s="1" t="str">
        <f aca="false">IF(QC_Plan!J15&lt;&gt;"","QC",IF(FID_Plan!J15&lt;&gt;"","FID",IF(VENT_Plan!J15&lt;&gt;"","VENT",IF(ENG_Plan!J15&lt;&gt;"","ENG",IF(EDM_Plan!J15&lt;&gt;"","EDM",IF(CARVING_Plan!J15&lt;&gt;"","CARVING",IF(SPM_Plan!J15&lt;&gt;"","SPM","VTL")))))))</f>
        <v>QC</v>
      </c>
      <c r="G15" s="89" t="n">
        <f aca="false">VTL_Plan!J15</f>
        <v>46132.5509259259</v>
      </c>
      <c r="H15" s="89" t="n">
        <f aca="false">QC_Plan!M15</f>
        <v>46232.2764550265</v>
      </c>
      <c r="I15" s="90" t="n">
        <f aca="false">(IF(VTL_Plan!M15&lt;&gt;"",1,0)+IF(SPM_Plan!M15&lt;&gt;"",1,0)+IF(CARVING_Plan!M15&lt;&gt;"",1,0)+IF(EDM_Plan!M15&lt;&gt;"",1,0)+IF(ENG_Plan!M15&lt;&gt;"",1,0)+IF(VENT_Plan!M15&lt;&gt;"",1,0)+IF(FID_Plan!M15&lt;&gt;"",1,0)+IF(QC_Plan!M15&lt;&gt;"",1,0))/8</f>
        <v>1</v>
      </c>
      <c r="J15" s="91" t="n">
        <f aca="false">Job_Master!J15</f>
        <v>46262.2764550265</v>
      </c>
      <c r="K15" s="1" t="str">
        <f aca="false">IF(OR(J15="",H15=""),"Pending",IF(H15&lt;=J15,"✅ On Time","⚠ Delayed"))</f>
        <v>✅ On Time</v>
      </c>
    </row>
    <row r="16" customFormat="false" ht="15" hidden="false" customHeight="true" outlineLevel="0" collapsed="false">
      <c r="A16" s="1" t="str">
        <f aca="false">Job_Master!A16</f>
        <v>BJ-112</v>
      </c>
      <c r="B16" s="1" t="n">
        <f aca="false">Job_Master!B16</f>
        <v>17</v>
      </c>
      <c r="C16" s="1" t="str">
        <f aca="false">Job_Master!C16</f>
        <v>2P</v>
      </c>
      <c r="D16" s="1" t="str">
        <f aca="false">Job_Master!G16</f>
        <v>Low</v>
      </c>
      <c r="E16" s="1" t="str">
        <f aca="false">Job_Master!I16</f>
        <v>Released</v>
      </c>
      <c r="F16" s="1" t="str">
        <f aca="false">IF(QC_Plan!J16&lt;&gt;"","QC",IF(FID_Plan!J16&lt;&gt;"","FID",IF(VENT_Plan!J16&lt;&gt;"","VENT",IF(ENG_Plan!J16&lt;&gt;"","ENG",IF(EDM_Plan!J16&lt;&gt;"","EDM",IF(CARVING_Plan!J16&lt;&gt;"","CARVING",IF(SPM_Plan!J16&lt;&gt;"","SPM","VTL")))))))</f>
        <v>QC</v>
      </c>
      <c r="G16" s="89" t="n">
        <f aca="false">VTL_Plan!J16</f>
        <v>46138.3842592593</v>
      </c>
      <c r="H16" s="89" t="n">
        <f aca="false">QC_Plan!M16</f>
        <v>46233.4801587302</v>
      </c>
      <c r="I16" s="90" t="n">
        <f aca="false">(IF(VTL_Plan!M16&lt;&gt;"",1,0)+IF(SPM_Plan!M16&lt;&gt;"",1,0)+IF(CARVING_Plan!M16&lt;&gt;"",1,0)+IF(EDM_Plan!M16&lt;&gt;"",1,0)+IF(ENG_Plan!M16&lt;&gt;"",1,0)+IF(VENT_Plan!M16&lt;&gt;"",1,0)+IF(FID_Plan!M16&lt;&gt;"",1,0)+IF(QC_Plan!M16&lt;&gt;"",1,0))/8</f>
        <v>1</v>
      </c>
      <c r="J16" s="91" t="n">
        <f aca="false">Job_Master!J16</f>
        <v>46263.4801587302</v>
      </c>
      <c r="K16" s="1" t="str">
        <f aca="false">IF(OR(J16="",H16=""),"Pending",IF(H16&lt;=J16,"✅ On Time","⚠ Delayed"))</f>
        <v>✅ On Time</v>
      </c>
    </row>
    <row r="17" customFormat="false" ht="15" hidden="false" customHeight="true" outlineLevel="0" collapsed="false">
      <c r="A17" s="1" t="str">
        <f aca="false">Job_Master!A17</f>
        <v>BJ-114</v>
      </c>
      <c r="B17" s="1" t="n">
        <f aca="false">Job_Master!B17</f>
        <v>50</v>
      </c>
      <c r="C17" s="1" t="str">
        <f aca="false">Job_Master!C17</f>
        <v>SEG</v>
      </c>
      <c r="D17" s="1" t="str">
        <f aca="false">Job_Master!G17</f>
        <v>High</v>
      </c>
      <c r="E17" s="1" t="str">
        <f aca="false">Job_Master!I17</f>
        <v>Released</v>
      </c>
      <c r="F17" s="1" t="str">
        <f aca="false">IF(QC_Plan!J17&lt;&gt;"","QC",IF(FID_Plan!J17&lt;&gt;"","FID",IF(VENT_Plan!J17&lt;&gt;"","VENT",IF(ENG_Plan!J17&lt;&gt;"","ENG",IF(EDM_Plan!J17&lt;&gt;"","EDM",IF(CARVING_Plan!J17&lt;&gt;"","CARVING",IF(SPM_Plan!J17&lt;&gt;"","SPM","VTL")))))))</f>
        <v>QC</v>
      </c>
      <c r="G17" s="89" t="n">
        <f aca="false">VTL_Plan!J17</f>
        <v>46119.7731481481</v>
      </c>
      <c r="H17" s="89" t="n">
        <f aca="false">QC_Plan!M17</f>
        <v>46287.6335978836</v>
      </c>
      <c r="I17" s="90" t="n">
        <f aca="false">(IF(VTL_Plan!M17&lt;&gt;"",1,0)+IF(SPM_Plan!M17&lt;&gt;"",1,0)+IF(CARVING_Plan!M17&lt;&gt;"",1,0)+IF(EDM_Plan!M17&lt;&gt;"",1,0)+IF(ENG_Plan!M17&lt;&gt;"",1,0)+IF(VENT_Plan!M17&lt;&gt;"",1,0)+IF(FID_Plan!M17&lt;&gt;"",1,0)+IF(QC_Plan!M17&lt;&gt;"",1,0))/8</f>
        <v>1</v>
      </c>
      <c r="J17" s="91" t="n">
        <f aca="false">Job_Master!J17</f>
        <v>46317.6335978836</v>
      </c>
      <c r="K17" s="1" t="str">
        <f aca="false">IF(OR(J17="",H17=""),"Pending",IF(H17&lt;=J17,"✅ On Time","⚠ Delayed"))</f>
        <v>✅ On Time</v>
      </c>
    </row>
    <row r="18" customFormat="false" ht="15" hidden="false" customHeight="true" outlineLevel="0" collapsed="false">
      <c r="A18" s="1" t="str">
        <f aca="false">Job_Master!A18</f>
        <v>BJ-115</v>
      </c>
      <c r="B18" s="1" t="n">
        <f aca="false">Job_Master!B18</f>
        <v>46</v>
      </c>
      <c r="C18" s="1" t="str">
        <f aca="false">Job_Master!C18</f>
        <v>2P</v>
      </c>
      <c r="D18" s="1" t="str">
        <f aca="false">Job_Master!G18</f>
        <v>High</v>
      </c>
      <c r="E18" s="1" t="str">
        <f aca="false">Job_Master!I18</f>
        <v>Cancelled</v>
      </c>
      <c r="F18" s="1" t="str">
        <f aca="false">IF(QC_Plan!J18&lt;&gt;"","QC",IF(FID_Plan!J18&lt;&gt;"","FID",IF(VENT_Plan!J18&lt;&gt;"","VENT",IF(ENG_Plan!J18&lt;&gt;"","ENG",IF(EDM_Plan!J18&lt;&gt;"","EDM",IF(CARVING_Plan!J18&lt;&gt;"","CARVING",IF(SPM_Plan!J18&lt;&gt;"","SPM","VTL")))))))</f>
        <v>QC</v>
      </c>
      <c r="G18" s="89" t="n">
        <f aca="false">VTL_Plan!J18</f>
        <v>46133.2916666667</v>
      </c>
      <c r="H18" s="89" t="n">
        <f aca="false">QC_Plan!M18</f>
        <v>46290.8743386243</v>
      </c>
      <c r="I18" s="90" t="n">
        <f aca="false">(IF(VTL_Plan!M18&lt;&gt;"",1,0)+IF(SPM_Plan!M18&lt;&gt;"",1,0)+IF(CARVING_Plan!M18&lt;&gt;"",1,0)+IF(EDM_Plan!M18&lt;&gt;"",1,0)+IF(ENG_Plan!M18&lt;&gt;"",1,0)+IF(VENT_Plan!M18&lt;&gt;"",1,0)+IF(FID_Plan!M18&lt;&gt;"",1,0)+IF(QC_Plan!M18&lt;&gt;"",1,0))/8</f>
        <v>1</v>
      </c>
      <c r="J18" s="91" t="n">
        <f aca="false">Job_Master!J18</f>
        <v>46320.8743386243</v>
      </c>
      <c r="K18" s="1" t="str">
        <f aca="false">IF(OR(J18="",H18=""),"Pending",IF(H18&lt;=J18,"✅ On Time","⚠ Delayed"))</f>
        <v>✅ On Time</v>
      </c>
    </row>
    <row r="19" customFormat="false" ht="15" hidden="false" customHeight="true" outlineLevel="0" collapsed="false">
      <c r="A19" s="1" t="str">
        <f aca="false">Job_Master!A19</f>
        <v>BJ-116</v>
      </c>
      <c r="B19" s="1" t="n">
        <f aca="false">Job_Master!B19</f>
        <v>54</v>
      </c>
      <c r="C19" s="1" t="str">
        <f aca="false">Job_Master!C19</f>
        <v>2P</v>
      </c>
      <c r="D19" s="1" t="str">
        <f aca="false">Job_Master!G19</f>
        <v>High</v>
      </c>
      <c r="E19" s="1" t="str">
        <f aca="false">Job_Master!I19</f>
        <v>Released</v>
      </c>
      <c r="F19" s="1" t="str">
        <f aca="false">IF(QC_Plan!J19&lt;&gt;"","QC",IF(FID_Plan!J19&lt;&gt;"","FID",IF(VENT_Plan!J19&lt;&gt;"","VENT",IF(ENG_Plan!J19&lt;&gt;"","ENG",IF(EDM_Plan!J19&lt;&gt;"","EDM",IF(CARVING_Plan!J19&lt;&gt;"","CARVING",IF(SPM_Plan!J19&lt;&gt;"","SPM","VTL")))))))</f>
        <v>QC</v>
      </c>
      <c r="G19" s="89" t="n">
        <f aca="false">VTL_Plan!J19</f>
        <v>46133.662037037</v>
      </c>
      <c r="H19" s="89" t="n">
        <f aca="false">QC_Plan!M19</f>
        <v>46297.078042328</v>
      </c>
      <c r="I19" s="90" t="n">
        <f aca="false">(IF(VTL_Plan!M19&lt;&gt;"",1,0)+IF(SPM_Plan!M19&lt;&gt;"",1,0)+IF(CARVING_Plan!M19&lt;&gt;"",1,0)+IF(EDM_Plan!M19&lt;&gt;"",1,0)+IF(ENG_Plan!M19&lt;&gt;"",1,0)+IF(VENT_Plan!M19&lt;&gt;"",1,0)+IF(FID_Plan!M19&lt;&gt;"",1,0)+IF(QC_Plan!M19&lt;&gt;"",1,0))/8</f>
        <v>1</v>
      </c>
      <c r="J19" s="91" t="n">
        <f aca="false">Job_Master!J19</f>
        <v>46327.078042328</v>
      </c>
      <c r="K19" s="1" t="str">
        <f aca="false">IF(OR(J19="",H19=""),"Pending",IF(H19&lt;=J19,"✅ On Time","⚠ Delayed"))</f>
        <v>✅ On Time</v>
      </c>
    </row>
    <row r="20" customFormat="false" ht="15" hidden="false" customHeight="true" outlineLevel="0" collapsed="false">
      <c r="A20" s="1" t="str">
        <f aca="false">Job_Master!A20</f>
        <v>BJ-118</v>
      </c>
      <c r="B20" s="1" t="n">
        <f aca="false">Job_Master!B20</f>
        <v>28</v>
      </c>
      <c r="C20" s="1" t="str">
        <f aca="false">Job_Master!C20</f>
        <v>SOL</v>
      </c>
      <c r="D20" s="1" t="str">
        <f aca="false">Job_Master!G20</f>
        <v>Medium</v>
      </c>
      <c r="E20" s="1" t="str">
        <f aca="false">Job_Master!I20</f>
        <v>Released</v>
      </c>
      <c r="F20" s="1" t="str">
        <f aca="false">IF(QC_Plan!J20&lt;&gt;"","QC",IF(FID_Plan!J20&lt;&gt;"","FID",IF(VENT_Plan!J20&lt;&gt;"","VENT",IF(ENG_Plan!J20&lt;&gt;"","ENG",IF(EDM_Plan!J20&lt;&gt;"","EDM",IF(CARVING_Plan!J20&lt;&gt;"","CARVING",IF(SPM_Plan!J20&lt;&gt;"","SPM","VTL")))))))</f>
        <v>QC</v>
      </c>
      <c r="G20" s="89" t="n">
        <f aca="false">VTL_Plan!J20</f>
        <v>46139.9583333333</v>
      </c>
      <c r="H20" s="89" t="n">
        <f aca="false">QC_Plan!M20</f>
        <v>46302.2632275132</v>
      </c>
      <c r="I20" s="90" t="n">
        <f aca="false">(IF(VTL_Plan!M20&lt;&gt;"",1,0)+IF(SPM_Plan!M20&lt;&gt;"",1,0)+IF(CARVING_Plan!M20&lt;&gt;"",1,0)+IF(EDM_Plan!M20&lt;&gt;"",1,0)+IF(ENG_Plan!M20&lt;&gt;"",1,0)+IF(VENT_Plan!M20&lt;&gt;"",1,0)+IF(FID_Plan!M20&lt;&gt;"",1,0)+IF(QC_Plan!M20&lt;&gt;"",1,0))/8</f>
        <v>1</v>
      </c>
      <c r="J20" s="91" t="n">
        <f aca="false">Job_Master!J20</f>
        <v>46332.2632275132</v>
      </c>
      <c r="K20" s="1" t="str">
        <f aca="false">IF(OR(J20="",H20=""),"Pending",IF(H20&lt;=J20,"✅ On Time","⚠ Delayed"))</f>
        <v>✅ On Time</v>
      </c>
    </row>
    <row r="21" customFormat="false" ht="15" hidden="false" customHeight="true" outlineLevel="0" collapsed="false">
      <c r="A21" s="1" t="str">
        <f aca="false">Job_Master!A21</f>
        <v>BJ-119</v>
      </c>
      <c r="B21" s="1" t="n">
        <f aca="false">Job_Master!B21</f>
        <v>63</v>
      </c>
      <c r="C21" s="1" t="str">
        <f aca="false">Job_Master!C21</f>
        <v>SOL</v>
      </c>
      <c r="D21" s="1" t="str">
        <f aca="false">Job_Master!G21</f>
        <v>High</v>
      </c>
      <c r="E21" s="1" t="str">
        <f aca="false">Job_Master!I21</f>
        <v>On Hold</v>
      </c>
      <c r="F21" s="1" t="str">
        <f aca="false">IF(QC_Plan!J21&lt;&gt;"","QC",IF(FID_Plan!J21&lt;&gt;"","FID",IF(VENT_Plan!J21&lt;&gt;"","VENT",IF(ENG_Plan!J21&lt;&gt;"","ENG",IF(EDM_Plan!J21&lt;&gt;"","EDM",IF(CARVING_Plan!J21&lt;&gt;"","CARVING",IF(SPM_Plan!J21&lt;&gt;"","SPM","VTL")))))))</f>
        <v>QC</v>
      </c>
      <c r="G21" s="89" t="n">
        <f aca="false">VTL_Plan!J21</f>
        <v>46138.662037037</v>
      </c>
      <c r="H21" s="89" t="n">
        <f aca="false">QC_Plan!M21</f>
        <v>46329.7665343915</v>
      </c>
      <c r="I21" s="90" t="n">
        <f aca="false">(IF(VTL_Plan!M21&lt;&gt;"",1,0)+IF(SPM_Plan!M21&lt;&gt;"",1,0)+IF(CARVING_Plan!M21&lt;&gt;"",1,0)+IF(EDM_Plan!M21&lt;&gt;"",1,0)+IF(ENG_Plan!M21&lt;&gt;"",1,0)+IF(VENT_Plan!M21&lt;&gt;"",1,0)+IF(FID_Plan!M21&lt;&gt;"",1,0)+IF(QC_Plan!M21&lt;&gt;"",1,0))/8</f>
        <v>1</v>
      </c>
      <c r="J21" s="91" t="n">
        <f aca="false">Job_Master!J21</f>
        <v>46359.7665343915</v>
      </c>
      <c r="K21" s="1" t="str">
        <f aca="false">IF(OR(J21="",H21=""),"Pending",IF(H21&lt;=J21,"✅ On Time","⚠ Delayed"))</f>
        <v>✅ On Time</v>
      </c>
    </row>
    <row r="22" customFormat="false" ht="15" hidden="false" customHeight="true" outlineLevel="0" collapsed="false">
      <c r="A22" s="1" t="str">
        <f aca="false">Job_Master!A22</f>
        <v>BJ-120</v>
      </c>
      <c r="B22" s="1" t="n">
        <f aca="false">Job_Master!B22</f>
        <v>46</v>
      </c>
      <c r="C22" s="1" t="str">
        <f aca="false">Job_Master!C22</f>
        <v>2P</v>
      </c>
      <c r="D22" s="1" t="str">
        <f aca="false">Job_Master!G22</f>
        <v>High</v>
      </c>
      <c r="E22" s="1" t="str">
        <f aca="false">Job_Master!I22</f>
        <v>Released</v>
      </c>
      <c r="F22" s="1" t="str">
        <f aca="false">IF(QC_Plan!J22&lt;&gt;"","QC",IF(FID_Plan!J22&lt;&gt;"","FID",IF(VENT_Plan!J22&lt;&gt;"","VENT",IF(ENG_Plan!J22&lt;&gt;"","ENG",IF(EDM_Plan!J22&lt;&gt;"","EDM",IF(CARVING_Plan!J22&lt;&gt;"","CARVING",IF(SPM_Plan!J22&lt;&gt;"","SPM","VTL")))))))</f>
        <v>QC</v>
      </c>
      <c r="G22" s="89" t="n">
        <f aca="false">VTL_Plan!J22</f>
        <v>46137.5509259259</v>
      </c>
      <c r="H22" s="89" t="n">
        <f aca="false">QC_Plan!M22</f>
        <v>46333.0072751323</v>
      </c>
      <c r="I22" s="90" t="n">
        <f aca="false">(IF(VTL_Plan!M22&lt;&gt;"",1,0)+IF(SPM_Plan!M22&lt;&gt;"",1,0)+IF(CARVING_Plan!M22&lt;&gt;"",1,0)+IF(EDM_Plan!M22&lt;&gt;"",1,0)+IF(ENG_Plan!M22&lt;&gt;"",1,0)+IF(VENT_Plan!M22&lt;&gt;"",1,0)+IF(FID_Plan!M22&lt;&gt;"",1,0)+IF(QC_Plan!M22&lt;&gt;"",1,0))/8</f>
        <v>1</v>
      </c>
      <c r="J22" s="91" t="n">
        <f aca="false">Job_Master!J22</f>
        <v>46363.0072751323</v>
      </c>
      <c r="K22" s="1" t="str">
        <f aca="false">IF(OR(J22="",H22=""),"Pending",IF(H22&lt;=J22,"✅ On Time","⚠ Delayed"))</f>
        <v>✅ On Time</v>
      </c>
    </row>
    <row r="23" customFormat="false" ht="15" hidden="false" customHeight="true" outlineLevel="0" collapsed="false">
      <c r="A23" s="1" t="str">
        <f aca="false">Job_Master!A23</f>
        <v>BJ-113</v>
      </c>
      <c r="B23" s="1" t="n">
        <f aca="false">Job_Master!B23</f>
        <v>9</v>
      </c>
      <c r="C23" s="1" t="str">
        <f aca="false">Job_Master!C23</f>
        <v>SEG</v>
      </c>
      <c r="D23" s="1" t="str">
        <f aca="false">Job_Master!G23</f>
        <v>Low</v>
      </c>
      <c r="E23" s="1" t="str">
        <f aca="false">Job_Master!I23</f>
        <v>Released</v>
      </c>
      <c r="F23" s="1" t="str">
        <f aca="false">IF(QC_Plan!J23&lt;&gt;"","QC",IF(FID_Plan!J23&lt;&gt;"","FID",IF(VENT_Plan!J23&lt;&gt;"","VENT",IF(ENG_Plan!J23&lt;&gt;"","ENG",IF(EDM_Plan!J23&lt;&gt;"","EDM",IF(CARVING_Plan!J23&lt;&gt;"","CARVING",IF(SPM_Plan!J23&lt;&gt;"","SPM","VTL")))))))</f>
        <v>QC</v>
      </c>
      <c r="G23" s="89" t="n">
        <f aca="false">VTL_Plan!J23</f>
        <v>46145.1435185185</v>
      </c>
      <c r="H23" s="89" t="n">
        <f aca="false">QC_Plan!M23</f>
        <v>46333.5628306878</v>
      </c>
      <c r="I23" s="90" t="n">
        <f aca="false">(IF(VTL_Plan!M23&lt;&gt;"",1,0)+IF(SPM_Plan!M23&lt;&gt;"",1,0)+IF(CARVING_Plan!M23&lt;&gt;"",1,0)+IF(EDM_Plan!M23&lt;&gt;"",1,0)+IF(ENG_Plan!M23&lt;&gt;"",1,0)+IF(VENT_Plan!M23&lt;&gt;"",1,0)+IF(FID_Plan!M23&lt;&gt;"",1,0)+IF(QC_Plan!M23&lt;&gt;"",1,0))/8</f>
        <v>1</v>
      </c>
      <c r="J23" s="91" t="n">
        <f aca="false">Job_Master!J23</f>
        <v>46363.5628306878</v>
      </c>
      <c r="K23" s="1" t="str">
        <f aca="false">IF(OR(J23="",H23=""),"Pending",IF(H23&lt;=J23,"✅ On Time","⚠ Delayed"))</f>
        <v>✅ On Time</v>
      </c>
    </row>
    <row r="24" customFormat="false" ht="15" hidden="false" customHeight="true" outlineLevel="0" collapsed="false">
      <c r="A24" s="1" t="str">
        <f aca="false">Job_Master!A24</f>
        <v>BJ-121</v>
      </c>
      <c r="B24" s="1" t="n">
        <f aca="false">Job_Master!B24</f>
        <v>57</v>
      </c>
      <c r="C24" s="1" t="str">
        <f aca="false">Job_Master!C24</f>
        <v>RW</v>
      </c>
      <c r="D24" s="1" t="str">
        <f aca="false">Job_Master!G24</f>
        <v>High</v>
      </c>
      <c r="E24" s="1" t="str">
        <f aca="false">Job_Master!I24</f>
        <v>Released</v>
      </c>
      <c r="F24" s="1" t="str">
        <f aca="false">IF(QC_Plan!J24&lt;&gt;"","QC",IF(FID_Plan!J24&lt;&gt;"","FID",IF(VENT_Plan!J24&lt;&gt;"","VENT",IF(ENG_Plan!J24&lt;&gt;"","ENG",IF(EDM_Plan!J24&lt;&gt;"","EDM",IF(CARVING_Plan!J24&lt;&gt;"","CARVING",IF(SPM_Plan!J24&lt;&gt;"","SPM","VTL")))))))</f>
        <v>QC</v>
      </c>
      <c r="G24" s="89" t="n">
        <f aca="false">VTL_Plan!J24</f>
        <v>46150.3287037037</v>
      </c>
      <c r="H24" s="89" t="n">
        <f aca="false">QC_Plan!M24</f>
        <v>46340.6924603175</v>
      </c>
      <c r="I24" s="90" t="n">
        <f aca="false">(IF(VTL_Plan!M24&lt;&gt;"",1,0)+IF(SPM_Plan!M24&lt;&gt;"",1,0)+IF(CARVING_Plan!M24&lt;&gt;"",1,0)+IF(EDM_Plan!M24&lt;&gt;"",1,0)+IF(ENG_Plan!M24&lt;&gt;"",1,0)+IF(VENT_Plan!M24&lt;&gt;"",1,0)+IF(FID_Plan!M24&lt;&gt;"",1,0)+IF(QC_Plan!M24&lt;&gt;"",1,0))/8</f>
        <v>1</v>
      </c>
      <c r="J24" s="91" t="n">
        <f aca="false">Job_Master!J24</f>
        <v>46370.6924603175</v>
      </c>
      <c r="K24" s="1" t="str">
        <f aca="false">IF(OR(J24="",H24=""),"Pending",IF(H24&lt;=J24,"✅ On Time","⚠ Delayed"))</f>
        <v>✅ On Time</v>
      </c>
    </row>
    <row r="25" customFormat="false" ht="15" hidden="false" customHeight="true" outlineLevel="0" collapsed="false">
      <c r="A25" s="1" t="str">
        <f aca="false">Job_Master!A25</f>
        <v>BJ-123</v>
      </c>
      <c r="B25" s="1" t="n">
        <f aca="false">Job_Master!B25</f>
        <v>46</v>
      </c>
      <c r="C25" s="1" t="str">
        <f aca="false">Job_Master!C25</f>
        <v>RW</v>
      </c>
      <c r="D25" s="1" t="str">
        <f aca="false">Job_Master!G25</f>
        <v>High</v>
      </c>
      <c r="E25" s="1" t="str">
        <f aca="false">Job_Master!I25</f>
        <v>On Hold</v>
      </c>
      <c r="F25" s="1" t="str">
        <f aca="false">IF(QC_Plan!J25&lt;&gt;"","QC",IF(FID_Plan!J25&lt;&gt;"","FID",IF(VENT_Plan!J25&lt;&gt;"","VENT",IF(ENG_Plan!J25&lt;&gt;"","ENG",IF(EDM_Plan!J25&lt;&gt;"","EDM",IF(CARVING_Plan!J25&lt;&gt;"","CARVING",IF(SPM_Plan!J25&lt;&gt;"","SPM","VTL")))))))</f>
        <v>QC</v>
      </c>
      <c r="G25" s="89" t="n">
        <f aca="false">VTL_Plan!J25</f>
        <v>46141.8101851852</v>
      </c>
      <c r="H25" s="89" t="n">
        <f aca="false">QC_Plan!M25</f>
        <v>46345.1369047619</v>
      </c>
      <c r="I25" s="90" t="n">
        <f aca="false">(IF(VTL_Plan!M25&lt;&gt;"",1,0)+IF(SPM_Plan!M25&lt;&gt;"",1,0)+IF(CARVING_Plan!M25&lt;&gt;"",1,0)+IF(EDM_Plan!M25&lt;&gt;"",1,0)+IF(ENG_Plan!M25&lt;&gt;"",1,0)+IF(VENT_Plan!M25&lt;&gt;"",1,0)+IF(FID_Plan!M25&lt;&gt;"",1,0)+IF(QC_Plan!M25&lt;&gt;"",1,0))/8</f>
        <v>1</v>
      </c>
      <c r="J25" s="91" t="n">
        <f aca="false">Job_Master!J25</f>
        <v>46375.1369047619</v>
      </c>
      <c r="K25" s="1" t="str">
        <f aca="false">IF(OR(J25="",H25=""),"Pending",IF(H25&lt;=J25,"✅ On Time","⚠ Delayed"))</f>
        <v>✅ On Time</v>
      </c>
    </row>
    <row r="26" customFormat="false" ht="15" hidden="false" customHeight="true" outlineLevel="0" collapsed="false">
      <c r="A26" s="1" t="str">
        <f aca="false">Job_Master!A26</f>
        <v>BJ-117</v>
      </c>
      <c r="B26" s="1" t="n">
        <f aca="false">Job_Master!B26</f>
        <v>15</v>
      </c>
      <c r="C26" s="1" t="str">
        <f aca="false">Job_Master!C26</f>
        <v>RW</v>
      </c>
      <c r="D26" s="1" t="str">
        <f aca="false">Job_Master!G26</f>
        <v>Low</v>
      </c>
      <c r="E26" s="1" t="str">
        <f aca="false">Job_Master!I26</f>
        <v>Released</v>
      </c>
      <c r="F26" s="1" t="str">
        <f aca="false">IF(QC_Plan!J26&lt;&gt;"","QC",IF(FID_Plan!J26&lt;&gt;"","FID",IF(VENT_Plan!J26&lt;&gt;"","VENT",IF(ENG_Plan!J26&lt;&gt;"","ENG",IF(EDM_Plan!J26&lt;&gt;"","EDM",IF(CARVING_Plan!J26&lt;&gt;"","CARVING",IF(SPM_Plan!J26&lt;&gt;"","SPM","VTL")))))))</f>
        <v>QC</v>
      </c>
      <c r="G26" s="89" t="n">
        <f aca="false">VTL_Plan!J26</f>
        <v>46147.6435185185</v>
      </c>
      <c r="H26" s="89" t="n">
        <f aca="false">QC_Plan!M26</f>
        <v>46345.7850529101</v>
      </c>
      <c r="I26" s="90" t="n">
        <f aca="false">(IF(VTL_Plan!M26&lt;&gt;"",1,0)+IF(SPM_Plan!M26&lt;&gt;"",1,0)+IF(CARVING_Plan!M26&lt;&gt;"",1,0)+IF(EDM_Plan!M26&lt;&gt;"",1,0)+IF(ENG_Plan!M26&lt;&gt;"",1,0)+IF(VENT_Plan!M26&lt;&gt;"",1,0)+IF(FID_Plan!M26&lt;&gt;"",1,0)+IF(QC_Plan!M26&lt;&gt;"",1,0))/8</f>
        <v>1</v>
      </c>
      <c r="J26" s="91" t="n">
        <f aca="false">Job_Master!J26</f>
        <v>46375.7850529101</v>
      </c>
      <c r="K26" s="1" t="str">
        <f aca="false">IF(OR(J26="",H26=""),"Pending",IF(H26&lt;=J26,"✅ On Time","⚠ Delayed"))</f>
        <v>✅ On Time</v>
      </c>
    </row>
    <row r="27" customFormat="false" ht="15" hidden="false" customHeight="true" outlineLevel="0" collapsed="false">
      <c r="A27" s="1" t="str">
        <f aca="false">Job_Master!A27</f>
        <v>BJ-122</v>
      </c>
      <c r="B27" s="1" t="n">
        <f aca="false">Job_Master!B27</f>
        <v>54</v>
      </c>
      <c r="C27" s="1" t="str">
        <f aca="false">Job_Master!C27</f>
        <v>SOL</v>
      </c>
      <c r="D27" s="1" t="str">
        <f aca="false">Job_Master!G27</f>
        <v>High</v>
      </c>
      <c r="E27" s="1" t="str">
        <f aca="false">Job_Master!I27</f>
        <v>Released</v>
      </c>
      <c r="F27" s="1" t="str">
        <f aca="false">IF(QC_Plan!J27&lt;&gt;"","QC",IF(FID_Plan!J27&lt;&gt;"","FID",IF(VENT_Plan!J27&lt;&gt;"","VENT",IF(ENG_Plan!J27&lt;&gt;"","ENG",IF(EDM_Plan!J27&lt;&gt;"","EDM",IF(CARVING_Plan!J27&lt;&gt;"","CARVING",IF(SPM_Plan!J27&lt;&gt;"","SPM","VTL")))))))</f>
        <v>QC</v>
      </c>
      <c r="G27" s="89" t="n">
        <f aca="false">VTL_Plan!J27</f>
        <v>46155.6064814815</v>
      </c>
      <c r="H27" s="89" t="n">
        <f aca="false">QC_Plan!M27</f>
        <v>46360.9371693122</v>
      </c>
      <c r="I27" s="90" t="n">
        <f aca="false">(IF(VTL_Plan!M27&lt;&gt;"",1,0)+IF(SPM_Plan!M27&lt;&gt;"",1,0)+IF(CARVING_Plan!M27&lt;&gt;"",1,0)+IF(EDM_Plan!M27&lt;&gt;"",1,0)+IF(ENG_Plan!M27&lt;&gt;"",1,0)+IF(VENT_Plan!M27&lt;&gt;"",1,0)+IF(FID_Plan!M27&lt;&gt;"",1,0)+IF(QC_Plan!M27&lt;&gt;"",1,0))/8</f>
        <v>1</v>
      </c>
      <c r="J27" s="91" t="n">
        <f aca="false">Job_Master!J27</f>
        <v>46390.9371693122</v>
      </c>
      <c r="K27" s="1" t="str">
        <f aca="false">IF(OR(J27="",H27=""),"Pending",IF(H27&lt;=J27,"✅ On Time","⚠ Delayed"))</f>
        <v>✅ On Time</v>
      </c>
    </row>
    <row r="28" customFormat="false" ht="15" hidden="false" customHeight="true" outlineLevel="0" collapsed="false">
      <c r="A28" s="1" t="str">
        <f aca="false">Job_Master!A28</f>
        <v>BJ-124</v>
      </c>
      <c r="B28" s="1" t="n">
        <f aca="false">Job_Master!B28</f>
        <v>42</v>
      </c>
      <c r="C28" s="1" t="str">
        <f aca="false">Job_Master!C28</f>
        <v>2P</v>
      </c>
      <c r="D28" s="1" t="str">
        <f aca="false">Job_Master!G28</f>
        <v>Medium</v>
      </c>
      <c r="E28" s="1" t="str">
        <f aca="false">Job_Master!I28</f>
        <v>Cancelled</v>
      </c>
      <c r="F28" s="1" t="str">
        <f aca="false">IF(QC_Plan!J28&lt;&gt;"","QC",IF(FID_Plan!J28&lt;&gt;"","FID",IF(VENT_Plan!J28&lt;&gt;"","VENT",IF(ENG_Plan!J28&lt;&gt;"","ENG",IF(EDM_Plan!J28&lt;&gt;"","EDM",IF(CARVING_Plan!J28&lt;&gt;"","CARVING",IF(SPM_Plan!J28&lt;&gt;"","SPM","VTL")))))))</f>
        <v>QC</v>
      </c>
      <c r="G28" s="89" t="n">
        <f aca="false">VTL_Plan!J28</f>
        <v>46146.0694444444</v>
      </c>
      <c r="H28" s="89" t="n">
        <f aca="false">QC_Plan!M28</f>
        <v>46365.289021164</v>
      </c>
      <c r="I28" s="90" t="n">
        <f aca="false">(IF(VTL_Plan!M28&lt;&gt;"",1,0)+IF(SPM_Plan!M28&lt;&gt;"",1,0)+IF(CARVING_Plan!M28&lt;&gt;"",1,0)+IF(EDM_Plan!M28&lt;&gt;"",1,0)+IF(ENG_Plan!M28&lt;&gt;"",1,0)+IF(VENT_Plan!M28&lt;&gt;"",1,0)+IF(FID_Plan!M28&lt;&gt;"",1,0)+IF(QC_Plan!M28&lt;&gt;"",1,0))/8</f>
        <v>1</v>
      </c>
      <c r="J28" s="91" t="n">
        <f aca="false">Job_Master!J28</f>
        <v>46395.289021164</v>
      </c>
      <c r="K28" s="1" t="str">
        <f aca="false">IF(OR(J28="",H28=""),"Pending",IF(H28&lt;=J28,"✅ On Time","⚠ Delayed"))</f>
        <v>✅ On Time</v>
      </c>
    </row>
    <row r="29" customFormat="false" ht="15" hidden="false" customHeight="true" outlineLevel="0" collapsed="false">
      <c r="A29" s="1" t="str">
        <f aca="false">Job_Master!A29</f>
        <v>BJ-126</v>
      </c>
      <c r="B29" s="1" t="n">
        <f aca="false">Job_Master!B29</f>
        <v>42</v>
      </c>
      <c r="C29" s="1" t="str">
        <f aca="false">Job_Master!C29</f>
        <v>2P</v>
      </c>
      <c r="D29" s="1" t="str">
        <f aca="false">Job_Master!G29</f>
        <v>Medium</v>
      </c>
      <c r="E29" s="1" t="str">
        <f aca="false">Job_Master!I29</f>
        <v>Released</v>
      </c>
      <c r="F29" s="1" t="str">
        <f aca="false">IF(QC_Plan!J29&lt;&gt;"","QC",IF(FID_Plan!J29&lt;&gt;"","FID",IF(VENT_Plan!J29&lt;&gt;"","VENT",IF(ENG_Plan!J29&lt;&gt;"","ENG",IF(EDM_Plan!J29&lt;&gt;"","EDM",IF(CARVING_Plan!J29&lt;&gt;"","CARVING",IF(SPM_Plan!J29&lt;&gt;"","SPM","VTL")))))))</f>
        <v>QC</v>
      </c>
      <c r="G29" s="89" t="n">
        <f aca="false">VTL_Plan!J29</f>
        <v>46149.9583333333</v>
      </c>
      <c r="H29" s="89" t="n">
        <f aca="false">QC_Plan!M29</f>
        <v>46369.6408730159</v>
      </c>
      <c r="I29" s="90" t="n">
        <f aca="false">(IF(VTL_Plan!M29&lt;&gt;"",1,0)+IF(SPM_Plan!M29&lt;&gt;"",1,0)+IF(CARVING_Plan!M29&lt;&gt;"",1,0)+IF(EDM_Plan!M29&lt;&gt;"",1,0)+IF(ENG_Plan!M29&lt;&gt;"",1,0)+IF(VENT_Plan!M29&lt;&gt;"",1,0)+IF(FID_Plan!M29&lt;&gt;"",1,0)+IF(QC_Plan!M29&lt;&gt;"",1,0))/8</f>
        <v>1</v>
      </c>
      <c r="J29" s="91" t="n">
        <f aca="false">Job_Master!J29</f>
        <v>46399.6408730159</v>
      </c>
      <c r="K29" s="1" t="str">
        <f aca="false">IF(OR(J29="",H29=""),"Pending",IF(H29&lt;=J29,"✅ On Time","⚠ Delayed"))</f>
        <v>✅ On Time</v>
      </c>
    </row>
    <row r="30" customFormat="false" ht="15" hidden="false" customHeight="true" outlineLevel="0" collapsed="false">
      <c r="A30" s="1" t="str">
        <f aca="false">Job_Master!A30</f>
        <v>BJ-127</v>
      </c>
      <c r="B30" s="1" t="n">
        <f aca="false">Job_Master!B30</f>
        <v>15</v>
      </c>
      <c r="C30" s="1" t="str">
        <f aca="false">Job_Master!C30</f>
        <v>RW</v>
      </c>
      <c r="D30" s="1" t="str">
        <f aca="false">Job_Master!G30</f>
        <v>Low</v>
      </c>
      <c r="E30" s="1" t="str">
        <f aca="false">Job_Master!I30</f>
        <v>Released</v>
      </c>
      <c r="F30" s="1" t="str">
        <f aca="false">IF(QC_Plan!J30&lt;&gt;"","QC",IF(FID_Plan!J30&lt;&gt;"","FID",IF(VENT_Plan!J30&lt;&gt;"","VENT",IF(ENG_Plan!J30&lt;&gt;"","ENG",IF(EDM_Plan!J30&lt;&gt;"","EDM",IF(CARVING_Plan!J30&lt;&gt;"","CARVING",IF(SPM_Plan!J30&lt;&gt;"","SPM","VTL")))))))</f>
        <v>QC</v>
      </c>
      <c r="G30" s="89" t="n">
        <f aca="false">VTL_Plan!J30</f>
        <v>46149.0324074074</v>
      </c>
      <c r="H30" s="89" t="n">
        <f aca="false">QC_Plan!M30</f>
        <v>46370.289021164</v>
      </c>
      <c r="I30" s="90" t="n">
        <f aca="false">(IF(VTL_Plan!M30&lt;&gt;"",1,0)+IF(SPM_Plan!M30&lt;&gt;"",1,0)+IF(CARVING_Plan!M30&lt;&gt;"",1,0)+IF(EDM_Plan!M30&lt;&gt;"",1,0)+IF(ENG_Plan!M30&lt;&gt;"",1,0)+IF(VENT_Plan!M30&lt;&gt;"",1,0)+IF(FID_Plan!M30&lt;&gt;"",1,0)+IF(QC_Plan!M30&lt;&gt;"",1,0))/8</f>
        <v>1</v>
      </c>
      <c r="J30" s="91" t="n">
        <f aca="false">Job_Master!J30</f>
        <v>46400.289021164</v>
      </c>
      <c r="K30" s="1" t="str">
        <f aca="false">IF(OR(J30="",H30=""),"Pending",IF(H30&lt;=J30,"✅ On Time","⚠ Delayed"))</f>
        <v>✅ On Time</v>
      </c>
    </row>
    <row r="31" customFormat="false" ht="15" hidden="false" customHeight="true" outlineLevel="0" collapsed="false">
      <c r="A31" s="1" t="str">
        <f aca="false">Job_Master!A31</f>
        <v>BJ-128</v>
      </c>
      <c r="B31" s="1" t="n">
        <f aca="false">Job_Master!B31</f>
        <v>46</v>
      </c>
      <c r="C31" s="1" t="str">
        <f aca="false">Job_Master!C31</f>
        <v>2P</v>
      </c>
      <c r="D31" s="1" t="str">
        <f aca="false">Job_Master!G31</f>
        <v>High</v>
      </c>
      <c r="E31" s="1" t="str">
        <f aca="false">Job_Master!I31</f>
        <v>On Hold</v>
      </c>
      <c r="F31" s="1" t="str">
        <f aca="false">IF(QC_Plan!J31&lt;&gt;"","QC",IF(FID_Plan!J31&lt;&gt;"","FID",IF(VENT_Plan!J31&lt;&gt;"","VENT",IF(ENG_Plan!J31&lt;&gt;"","ENG",IF(EDM_Plan!J31&lt;&gt;"","EDM",IF(CARVING_Plan!J31&lt;&gt;"","CARVING",IF(SPM_Plan!J31&lt;&gt;"","SPM","VTL")))))))</f>
        <v>QC</v>
      </c>
      <c r="G31" s="89" t="n">
        <f aca="false">VTL_Plan!J31</f>
        <v>46153.8472222222</v>
      </c>
      <c r="H31" s="89" t="n">
        <f aca="false">QC_Plan!M31</f>
        <v>46373.5297619048</v>
      </c>
      <c r="I31" s="90" t="n">
        <f aca="false">(IF(VTL_Plan!M31&lt;&gt;"",1,0)+IF(SPM_Plan!M31&lt;&gt;"",1,0)+IF(CARVING_Plan!M31&lt;&gt;"",1,0)+IF(EDM_Plan!M31&lt;&gt;"",1,0)+IF(ENG_Plan!M31&lt;&gt;"",1,0)+IF(VENT_Plan!M31&lt;&gt;"",1,0)+IF(FID_Plan!M31&lt;&gt;"",1,0)+IF(QC_Plan!M31&lt;&gt;"",1,0))/8</f>
        <v>1</v>
      </c>
      <c r="J31" s="91" t="n">
        <f aca="false">Job_Master!J31</f>
        <v>46403.5297619048</v>
      </c>
      <c r="K31" s="1" t="str">
        <f aca="false">IF(OR(J31="",H31=""),"Pending",IF(H31&lt;=J31,"✅ On Time","⚠ Delayed"))</f>
        <v>✅ On Time</v>
      </c>
    </row>
    <row r="32" customFormat="false" ht="15" hidden="false" customHeight="true" outlineLevel="0" collapsed="false">
      <c r="A32" s="1" t="str">
        <f aca="false">Job_Master!A32</f>
        <v>BJ-125</v>
      </c>
      <c r="B32" s="1" t="n">
        <f aca="false">Job_Master!B32</f>
        <v>25</v>
      </c>
      <c r="C32" s="1" t="str">
        <f aca="false">Job_Master!C32</f>
        <v>SEG</v>
      </c>
      <c r="D32" s="1" t="str">
        <f aca="false">Job_Master!G32</f>
        <v>Low</v>
      </c>
      <c r="E32" s="1" t="str">
        <f aca="false">Job_Master!I32</f>
        <v>Released</v>
      </c>
      <c r="F32" s="1" t="str">
        <f aca="false">IF(QC_Plan!J32&lt;&gt;"","QC",IF(FID_Plan!J32&lt;&gt;"","FID",IF(VENT_Plan!J32&lt;&gt;"","VENT",IF(ENG_Plan!J32&lt;&gt;"","ENG",IF(EDM_Plan!J32&lt;&gt;"","EDM",IF(CARVING_Plan!J32&lt;&gt;"","CARVING",IF(SPM_Plan!J32&lt;&gt;"","SPM","VTL")))))))</f>
        <v>QC</v>
      </c>
      <c r="G32" s="89" t="n">
        <f aca="false">VTL_Plan!J32</f>
        <v>46150.4212962963</v>
      </c>
      <c r="H32" s="89" t="n">
        <f aca="false">QC_Plan!M32</f>
        <v>46379.9186507937</v>
      </c>
      <c r="I32" s="90" t="n">
        <f aca="false">(IF(VTL_Plan!M32&lt;&gt;"",1,0)+IF(SPM_Plan!M32&lt;&gt;"",1,0)+IF(CARVING_Plan!M32&lt;&gt;"",1,0)+IF(EDM_Plan!M32&lt;&gt;"",1,0)+IF(ENG_Plan!M32&lt;&gt;"",1,0)+IF(VENT_Plan!M32&lt;&gt;"",1,0)+IF(FID_Plan!M32&lt;&gt;"",1,0)+IF(QC_Plan!M32&lt;&gt;"",1,0))/8</f>
        <v>1</v>
      </c>
      <c r="J32" s="91" t="n">
        <f aca="false">Job_Master!J32</f>
        <v>46409.9186507937</v>
      </c>
      <c r="K32" s="1" t="str">
        <f aca="false">IF(OR(J32="",H32=""),"Pending",IF(H32&lt;=J32,"✅ On Time","⚠ Delayed"))</f>
        <v>✅ On Time</v>
      </c>
    </row>
    <row r="33" customFormat="false" ht="15" hidden="false" customHeight="true" outlineLevel="0" collapsed="false">
      <c r="A33" s="1" t="str">
        <f aca="false">Job_Master!A33</f>
        <v>BJ-129</v>
      </c>
      <c r="B33" s="1" t="n">
        <f aca="false">Job_Master!B33</f>
        <v>9</v>
      </c>
      <c r="C33" s="1" t="str">
        <f aca="false">Job_Master!C33</f>
        <v>RW</v>
      </c>
      <c r="D33" s="1" t="str">
        <f aca="false">Job_Master!G33</f>
        <v>Low</v>
      </c>
      <c r="E33" s="1" t="str">
        <f aca="false">Job_Master!I33</f>
        <v>Released</v>
      </c>
      <c r="F33" s="1" t="str">
        <f aca="false">IF(QC_Plan!J33&lt;&gt;"","QC",IF(FID_Plan!J33&lt;&gt;"","FID",IF(VENT_Plan!J33&lt;&gt;"","VENT",IF(ENG_Plan!J33&lt;&gt;"","ENG",IF(EDM_Plan!J33&lt;&gt;"","EDM",IF(CARVING_Plan!J33&lt;&gt;"","CARVING",IF(SPM_Plan!J33&lt;&gt;"","SPM","VTL")))))))</f>
        <v>QC</v>
      </c>
      <c r="G33" s="89" t="n">
        <f aca="false">VTL_Plan!J33</f>
        <v>46157.3657407407</v>
      </c>
      <c r="H33" s="89" t="n">
        <f aca="false">QC_Plan!M33</f>
        <v>46380.3816137566</v>
      </c>
      <c r="I33" s="90" t="n">
        <f aca="false">(IF(VTL_Plan!M33&lt;&gt;"",1,0)+IF(SPM_Plan!M33&lt;&gt;"",1,0)+IF(CARVING_Plan!M33&lt;&gt;"",1,0)+IF(EDM_Plan!M33&lt;&gt;"",1,0)+IF(ENG_Plan!M33&lt;&gt;"",1,0)+IF(VENT_Plan!M33&lt;&gt;"",1,0)+IF(FID_Plan!M33&lt;&gt;"",1,0)+IF(QC_Plan!M33&lt;&gt;"",1,0))/8</f>
        <v>1</v>
      </c>
      <c r="J33" s="91" t="n">
        <f aca="false">Job_Master!J33</f>
        <v>46410.3816137566</v>
      </c>
      <c r="K33" s="1" t="str">
        <f aca="false">IF(OR(J33="",H33=""),"Pending",IF(H33&lt;=J33,"✅ On Time","⚠ Delayed"))</f>
        <v>✅ On Time</v>
      </c>
    </row>
    <row r="34" customFormat="false" ht="15" hidden="false" customHeight="true" outlineLevel="0" collapsed="false">
      <c r="A34" s="1" t="str">
        <f aca="false">Job_Master!A34</f>
        <v>BJ-130</v>
      </c>
      <c r="B34" s="1" t="n">
        <f aca="false">Job_Master!B34</f>
        <v>57</v>
      </c>
      <c r="C34" s="1" t="str">
        <f aca="false">Job_Master!C34</f>
        <v>RW</v>
      </c>
      <c r="D34" s="1" t="str">
        <f aca="false">Job_Master!G34</f>
        <v>High</v>
      </c>
      <c r="E34" s="1" t="str">
        <f aca="false">Job_Master!I34</f>
        <v>Released</v>
      </c>
      <c r="F34" s="1" t="str">
        <f aca="false">IF(QC_Plan!J34&lt;&gt;"","QC",IF(FID_Plan!J34&lt;&gt;"","FID",IF(VENT_Plan!J34&lt;&gt;"","VENT",IF(ENG_Plan!J34&lt;&gt;"","ENG",IF(EDM_Plan!J34&lt;&gt;"","EDM",IF(CARVING_Plan!J34&lt;&gt;"","CARVING",IF(SPM_Plan!J34&lt;&gt;"","SPM","VTL")))))))</f>
        <v>QC</v>
      </c>
      <c r="G34" s="89" t="n">
        <f aca="false">VTL_Plan!J34</f>
        <v>46165.6064814815</v>
      </c>
      <c r="H34" s="89" t="n">
        <f aca="false">QC_Plan!M34</f>
        <v>46388.628968254</v>
      </c>
      <c r="I34" s="90" t="n">
        <f aca="false">(IF(VTL_Plan!M34&lt;&gt;"",1,0)+IF(SPM_Plan!M34&lt;&gt;"",1,0)+IF(CARVING_Plan!M34&lt;&gt;"",1,0)+IF(EDM_Plan!M34&lt;&gt;"",1,0)+IF(ENG_Plan!M34&lt;&gt;"",1,0)+IF(VENT_Plan!M34&lt;&gt;"",1,0)+IF(FID_Plan!M34&lt;&gt;"",1,0)+IF(QC_Plan!M34&lt;&gt;"",1,0))/8</f>
        <v>1</v>
      </c>
      <c r="J34" s="91" t="n">
        <f aca="false">Job_Master!J34</f>
        <v>46418.628968254</v>
      </c>
      <c r="K34" s="1" t="str">
        <f aca="false">IF(OR(J34="",H34=""),"Pending",IF(H34&lt;=J34,"✅ On Time","⚠ Delayed"))</f>
        <v>✅ On Time</v>
      </c>
    </row>
    <row r="35" customFormat="false" ht="15" hidden="false" customHeight="true" outlineLevel="0" collapsed="false">
      <c r="A35" s="1" t="str">
        <f aca="false">Job_Master!A35</f>
        <v>BJ-133</v>
      </c>
      <c r="B35" s="1" t="n">
        <f aca="false">Job_Master!B35</f>
        <v>25</v>
      </c>
      <c r="C35" s="1" t="str">
        <f aca="false">Job_Master!C35</f>
        <v>RW</v>
      </c>
      <c r="D35" s="1" t="str">
        <f aca="false">Job_Master!G35</f>
        <v>Low</v>
      </c>
      <c r="E35" s="1" t="str">
        <f aca="false">Job_Master!I35</f>
        <v>On Hold</v>
      </c>
      <c r="F35" s="1" t="str">
        <f aca="false">IF(QC_Plan!J35&lt;&gt;"","QC",IF(FID_Plan!J35&lt;&gt;"","FID",IF(VENT_Plan!J35&lt;&gt;"","VENT",IF(ENG_Plan!J35&lt;&gt;"","ENG",IF(EDM_Plan!J35&lt;&gt;"","EDM",IF(CARVING_Plan!J35&lt;&gt;"","CARVING",IF(SPM_Plan!J35&lt;&gt;"","SPM","VTL")))))))</f>
        <v>QC</v>
      </c>
      <c r="G35" s="89" t="n">
        <f aca="false">VTL_Plan!J35</f>
        <v>46158.1990740741</v>
      </c>
      <c r="H35" s="89" t="n">
        <f aca="false">QC_Plan!M35</f>
        <v>46390.1104497355</v>
      </c>
      <c r="I35" s="90" t="n">
        <f aca="false">(IF(VTL_Plan!M35&lt;&gt;"",1,0)+IF(SPM_Plan!M35&lt;&gt;"",1,0)+IF(CARVING_Plan!M35&lt;&gt;"",1,0)+IF(EDM_Plan!M35&lt;&gt;"",1,0)+IF(ENG_Plan!M35&lt;&gt;"",1,0)+IF(VENT_Plan!M35&lt;&gt;"",1,0)+IF(FID_Plan!M35&lt;&gt;"",1,0)+IF(QC_Plan!M35&lt;&gt;"",1,0))/8</f>
        <v>1</v>
      </c>
      <c r="J35" s="91" t="n">
        <f aca="false">Job_Master!J35</f>
        <v>46420.1104497355</v>
      </c>
      <c r="K35" s="1" t="str">
        <f aca="false">IF(OR(J35="",H35=""),"Pending",IF(H35&lt;=J35,"✅ On Time","⚠ Delayed"))</f>
        <v>✅ On Time</v>
      </c>
    </row>
    <row r="36" customFormat="false" ht="15" hidden="false" customHeight="true" outlineLevel="0" collapsed="false">
      <c r="A36" s="1" t="str">
        <f aca="false">Job_Master!A36</f>
        <v>BJ-131</v>
      </c>
      <c r="B36" s="1" t="n">
        <f aca="false">Job_Master!B36</f>
        <v>70</v>
      </c>
      <c r="C36" s="1" t="str">
        <f aca="false">Job_Master!C36</f>
        <v>2P</v>
      </c>
      <c r="D36" s="1" t="str">
        <f aca="false">Job_Master!G36</f>
        <v>High</v>
      </c>
      <c r="E36" s="1" t="str">
        <f aca="false">Job_Master!I36</f>
        <v>Released</v>
      </c>
      <c r="F36" s="1" t="str">
        <f aca="false">IF(QC_Plan!J36&lt;&gt;"","QC",IF(FID_Plan!J36&lt;&gt;"","FID",IF(VENT_Plan!J36&lt;&gt;"","VENT",IF(ENG_Plan!J36&lt;&gt;"","ENG",IF(EDM_Plan!J36&lt;&gt;"","EDM",IF(CARVING_Plan!J36&lt;&gt;"","CARVING",IF(SPM_Plan!J36&lt;&gt;"","SPM","VTL")))))))</f>
        <v>QC</v>
      </c>
      <c r="G36" s="89" t="n">
        <f aca="false">VTL_Plan!J36</f>
        <v>46170.8842592593</v>
      </c>
      <c r="H36" s="89" t="n">
        <f aca="false">QC_Plan!M36</f>
        <v>46397.5178571429</v>
      </c>
      <c r="I36" s="90" t="n">
        <f aca="false">(IF(VTL_Plan!M36&lt;&gt;"",1,0)+IF(SPM_Plan!M36&lt;&gt;"",1,0)+IF(CARVING_Plan!M36&lt;&gt;"",1,0)+IF(EDM_Plan!M36&lt;&gt;"",1,0)+IF(ENG_Plan!M36&lt;&gt;"",1,0)+IF(VENT_Plan!M36&lt;&gt;"",1,0)+IF(FID_Plan!M36&lt;&gt;"",1,0)+IF(QC_Plan!M36&lt;&gt;"",1,0))/8</f>
        <v>1</v>
      </c>
      <c r="J36" s="91" t="n">
        <f aca="false">Job_Master!J36</f>
        <v>46427.5178571429</v>
      </c>
      <c r="K36" s="1" t="str">
        <f aca="false">IF(OR(J36="",H36=""),"Pending",IF(H36&lt;=J36,"✅ On Time","⚠ Delayed"))</f>
        <v>✅ On Time</v>
      </c>
    </row>
    <row r="37" customFormat="false" ht="15" hidden="false" customHeight="true" outlineLevel="0" collapsed="false">
      <c r="A37" s="1" t="str">
        <f aca="false">Job_Master!A37</f>
        <v>BJ-134</v>
      </c>
      <c r="B37" s="1" t="n">
        <f aca="false">Job_Master!B37</f>
        <v>15</v>
      </c>
      <c r="C37" s="1" t="str">
        <f aca="false">Job_Master!C37</f>
        <v>RW</v>
      </c>
      <c r="D37" s="1" t="str">
        <f aca="false">Job_Master!G37</f>
        <v>Low</v>
      </c>
      <c r="E37" s="1" t="str">
        <f aca="false">Job_Master!I37</f>
        <v>Released</v>
      </c>
      <c r="F37" s="1" t="str">
        <f aca="false">IF(QC_Plan!J37&lt;&gt;"","QC",IF(FID_Plan!J37&lt;&gt;"","FID",IF(VENT_Plan!J37&lt;&gt;"","VENT",IF(ENG_Plan!J37&lt;&gt;"","ENG",IF(EDM_Plan!J37&lt;&gt;"","EDM",IF(CARVING_Plan!J37&lt;&gt;"","CARVING",IF(SPM_Plan!J37&lt;&gt;"","SPM","VTL")))))))</f>
        <v>QC</v>
      </c>
      <c r="G37" s="89" t="n">
        <f aca="false">VTL_Plan!J37</f>
        <v>46160.5138888889</v>
      </c>
      <c r="H37" s="89" t="n">
        <f aca="false">QC_Plan!M37</f>
        <v>46398.166005291</v>
      </c>
      <c r="I37" s="90" t="n">
        <f aca="false">(IF(VTL_Plan!M37&lt;&gt;"",1,0)+IF(SPM_Plan!M37&lt;&gt;"",1,0)+IF(CARVING_Plan!M37&lt;&gt;"",1,0)+IF(EDM_Plan!M37&lt;&gt;"",1,0)+IF(ENG_Plan!M37&lt;&gt;"",1,0)+IF(VENT_Plan!M37&lt;&gt;"",1,0)+IF(FID_Plan!M37&lt;&gt;"",1,0)+IF(QC_Plan!M37&lt;&gt;"",1,0))/8</f>
        <v>1</v>
      </c>
      <c r="J37" s="91" t="n">
        <f aca="false">Job_Master!J37</f>
        <v>46428.166005291</v>
      </c>
      <c r="K37" s="1" t="str">
        <f aca="false">IF(OR(J37="",H37=""),"Pending",IF(H37&lt;=J37,"✅ On Time","⚠ Delayed"))</f>
        <v>✅ On Time</v>
      </c>
    </row>
    <row r="38" customFormat="false" ht="15" hidden="false" customHeight="true" outlineLevel="0" collapsed="false">
      <c r="A38" s="1" t="str">
        <f aca="false">Job_Master!A38</f>
        <v>BJ-135</v>
      </c>
      <c r="B38" s="1" t="n">
        <f aca="false">Job_Master!B38</f>
        <v>28</v>
      </c>
      <c r="C38" s="1" t="str">
        <f aca="false">Job_Master!C38</f>
        <v>2P</v>
      </c>
      <c r="D38" s="1" t="str">
        <f aca="false">Job_Master!G38</f>
        <v>Medium</v>
      </c>
      <c r="E38" s="1" t="str">
        <f aca="false">Job_Master!I38</f>
        <v>Cancelled</v>
      </c>
      <c r="F38" s="1" t="str">
        <f aca="false">IF(QC_Plan!J38&lt;&gt;"","QC",IF(FID_Plan!J38&lt;&gt;"","FID",IF(VENT_Plan!J38&lt;&gt;"","VENT",IF(ENG_Plan!J38&lt;&gt;"","ENG",IF(EDM_Plan!J38&lt;&gt;"","EDM",IF(CARVING_Plan!J38&lt;&gt;"","CARVING",IF(SPM_Plan!J38&lt;&gt;"","SPM","VTL")))))))</f>
        <v>QC</v>
      </c>
      <c r="G38" s="89" t="n">
        <f aca="false">VTL_Plan!J38</f>
        <v>46161.9027777778</v>
      </c>
      <c r="H38" s="89" t="n">
        <f aca="false">QC_Plan!M38</f>
        <v>46399.7400793651</v>
      </c>
      <c r="I38" s="90" t="n">
        <f aca="false">(IF(VTL_Plan!M38&lt;&gt;"",1,0)+IF(SPM_Plan!M38&lt;&gt;"",1,0)+IF(CARVING_Plan!M38&lt;&gt;"",1,0)+IF(EDM_Plan!M38&lt;&gt;"",1,0)+IF(ENG_Plan!M38&lt;&gt;"",1,0)+IF(VENT_Plan!M38&lt;&gt;"",1,0)+IF(FID_Plan!M38&lt;&gt;"",1,0)+IF(QC_Plan!M38&lt;&gt;"",1,0))/8</f>
        <v>1</v>
      </c>
      <c r="J38" s="91" t="n">
        <f aca="false">Job_Master!J38</f>
        <v>46429.7400793651</v>
      </c>
      <c r="K38" s="1" t="str">
        <f aca="false">IF(OR(J38="",H38=""),"Pending",IF(H38&lt;=J38,"✅ On Time","⚠ Delayed"))</f>
        <v>✅ On Time</v>
      </c>
    </row>
    <row r="39" customFormat="false" ht="15" hidden="false" customHeight="true" outlineLevel="0" collapsed="false">
      <c r="A39" s="1" t="str">
        <f aca="false">Job_Master!A39</f>
        <v>BJ-132</v>
      </c>
      <c r="B39" s="1" t="n">
        <f aca="false">Job_Master!B39</f>
        <v>57</v>
      </c>
      <c r="C39" s="1" t="str">
        <f aca="false">Job_Master!C39</f>
        <v>SOL</v>
      </c>
      <c r="D39" s="1" t="str">
        <f aca="false">Job_Master!G39</f>
        <v>High</v>
      </c>
      <c r="E39" s="1" t="str">
        <f aca="false">Job_Master!I39</f>
        <v>Released</v>
      </c>
      <c r="F39" s="1" t="str">
        <f aca="false">IF(QC_Plan!J39&lt;&gt;"","QC",IF(FID_Plan!J39&lt;&gt;"","FID",IF(VENT_Plan!J39&lt;&gt;"","VENT",IF(ENG_Plan!J39&lt;&gt;"","ENG",IF(EDM_Plan!J39&lt;&gt;"","EDM",IF(CARVING_Plan!J39&lt;&gt;"","CARVING",IF(SPM_Plan!J39&lt;&gt;"","SPM","VTL")))))))</f>
        <v>QC</v>
      </c>
      <c r="G39" s="89" t="n">
        <f aca="false">VTL_Plan!J39</f>
        <v>46177.6435185185</v>
      </c>
      <c r="H39" s="89" t="n">
        <f aca="false">QC_Plan!M39</f>
        <v>46427.7228835979</v>
      </c>
      <c r="I39" s="90" t="n">
        <f aca="false">(IF(VTL_Plan!M39&lt;&gt;"",1,0)+IF(SPM_Plan!M39&lt;&gt;"",1,0)+IF(CARVING_Plan!M39&lt;&gt;"",1,0)+IF(EDM_Plan!M39&lt;&gt;"",1,0)+IF(ENG_Plan!M39&lt;&gt;"",1,0)+IF(VENT_Plan!M39&lt;&gt;"",1,0)+IF(FID_Plan!M39&lt;&gt;"",1,0)+IF(QC_Plan!M39&lt;&gt;"",1,0))/8</f>
        <v>1</v>
      </c>
      <c r="J39" s="91" t="n">
        <f aca="false">Job_Master!J39</f>
        <v>46457.7228835979</v>
      </c>
      <c r="K39" s="1" t="str">
        <f aca="false">IF(OR(J39="",H39=""),"Pending",IF(H39&lt;=J39,"✅ On Time","⚠ Delayed"))</f>
        <v>✅ On Time</v>
      </c>
    </row>
    <row r="40" customFormat="false" ht="15" hidden="false" customHeight="true" outlineLevel="0" collapsed="false">
      <c r="A40" s="1" t="str">
        <f aca="false">Job_Master!A40</f>
        <v>BJ-136</v>
      </c>
      <c r="B40" s="1" t="n">
        <f aca="false">Job_Master!B40</f>
        <v>20</v>
      </c>
      <c r="C40" s="1" t="str">
        <f aca="false">Job_Master!C40</f>
        <v>RW</v>
      </c>
      <c r="D40" s="1" t="str">
        <f aca="false">Job_Master!G40</f>
        <v>Low</v>
      </c>
      <c r="E40" s="1" t="str">
        <f aca="false">Job_Master!I40</f>
        <v>Released</v>
      </c>
      <c r="F40" s="1" t="str">
        <f aca="false">IF(QC_Plan!J40&lt;&gt;"","QC",IF(FID_Plan!J40&lt;&gt;"","FID",IF(VENT_Plan!J40&lt;&gt;"","VENT",IF(ENG_Plan!J40&lt;&gt;"","ENG",IF(EDM_Plan!J40&lt;&gt;"","EDM",IF(CARVING_Plan!J40&lt;&gt;"","CARVING",IF(SPM_Plan!J40&lt;&gt;"","SPM","VTL")))))))</f>
        <v>QC</v>
      </c>
      <c r="G40" s="89" t="n">
        <f aca="false">VTL_Plan!J40</f>
        <v>46164.4953703704</v>
      </c>
      <c r="H40" s="89" t="n">
        <f aca="false">QC_Plan!M40</f>
        <v>46429.4821428571</v>
      </c>
      <c r="I40" s="90" t="n">
        <f aca="false">(IF(VTL_Plan!M40&lt;&gt;"",1,0)+IF(SPM_Plan!M40&lt;&gt;"",1,0)+IF(CARVING_Plan!M40&lt;&gt;"",1,0)+IF(EDM_Plan!M40&lt;&gt;"",1,0)+IF(ENG_Plan!M40&lt;&gt;"",1,0)+IF(VENT_Plan!M40&lt;&gt;"",1,0)+IF(FID_Plan!M40&lt;&gt;"",1,0)+IF(QC_Plan!M40&lt;&gt;"",1,0))/8</f>
        <v>1</v>
      </c>
      <c r="J40" s="91" t="n">
        <f aca="false">Job_Master!J40</f>
        <v>46459.4821428571</v>
      </c>
      <c r="K40" s="1" t="str">
        <f aca="false">IF(OR(J40="",H40=""),"Pending",IF(H40&lt;=J40,"✅ On Time","⚠ Delayed"))</f>
        <v>✅ On Time</v>
      </c>
    </row>
    <row r="41" customFormat="false" ht="15" hidden="false" customHeight="true" outlineLevel="0" collapsed="false">
      <c r="A41" s="1" t="str">
        <f aca="false">Job_Master!A41</f>
        <v>BJ-137</v>
      </c>
      <c r="B41" s="1" t="n">
        <f aca="false">Job_Master!B41</f>
        <v>34</v>
      </c>
      <c r="C41" s="1" t="str">
        <f aca="false">Job_Master!C41</f>
        <v>RW</v>
      </c>
      <c r="D41" s="1" t="str">
        <f aca="false">Job_Master!G41</f>
        <v>Medium</v>
      </c>
      <c r="E41" s="1" t="str">
        <f aca="false">Job_Master!I41</f>
        <v>On Hold</v>
      </c>
      <c r="F41" s="1" t="str">
        <f aca="false">IF(QC_Plan!J41&lt;&gt;"","QC",IF(FID_Plan!J41&lt;&gt;"","FID",IF(VENT_Plan!J41&lt;&gt;"","VENT",IF(ENG_Plan!J41&lt;&gt;"","ENG",IF(EDM_Plan!J41&lt;&gt;"","EDM",IF(CARVING_Plan!J41&lt;&gt;"","CARVING",IF(SPM_Plan!J41&lt;&gt;"","SPM","VTL")))))))</f>
        <v>QC</v>
      </c>
      <c r="G41" s="89" t="n">
        <f aca="false">VTL_Plan!J41</f>
        <v>46158.1064814815</v>
      </c>
      <c r="H41" s="89" t="n">
        <f aca="false">QC_Plan!M41</f>
        <v>46432.0747354497</v>
      </c>
      <c r="I41" s="90" t="n">
        <f aca="false">(IF(VTL_Plan!M41&lt;&gt;"",1,0)+IF(SPM_Plan!M41&lt;&gt;"",1,0)+IF(CARVING_Plan!M41&lt;&gt;"",1,0)+IF(EDM_Plan!M41&lt;&gt;"",1,0)+IF(ENG_Plan!M41&lt;&gt;"",1,0)+IF(VENT_Plan!M41&lt;&gt;"",1,0)+IF(FID_Plan!M41&lt;&gt;"",1,0)+IF(QC_Plan!M41&lt;&gt;"",1,0))/8</f>
        <v>1</v>
      </c>
      <c r="J41" s="91" t="n">
        <f aca="false">Job_Master!J41</f>
        <v>46462.0747354497</v>
      </c>
      <c r="K41" s="1" t="str">
        <f aca="false">IF(OR(J41="",H41=""),"Pending",IF(H41&lt;=J41,"✅ On Time","⚠ Delayed"))</f>
        <v>✅ On Time</v>
      </c>
    </row>
    <row r="42" customFormat="false" ht="15" hidden="false" customHeight="true" outlineLevel="0" collapsed="false">
      <c r="A42" s="1" t="str">
        <f aca="false">Job_Master!A42</f>
        <v>BJ-140</v>
      </c>
      <c r="B42" s="1" t="n">
        <f aca="false">Job_Master!B42</f>
        <v>54</v>
      </c>
      <c r="C42" s="1" t="str">
        <f aca="false">Job_Master!C42</f>
        <v>RW</v>
      </c>
      <c r="D42" s="1" t="str">
        <f aca="false">Job_Master!G42</f>
        <v>High</v>
      </c>
      <c r="E42" s="1" t="str">
        <f aca="false">Job_Master!I42</f>
        <v>Released</v>
      </c>
      <c r="F42" s="1" t="str">
        <f aca="false">IF(QC_Plan!J42&lt;&gt;"","QC",IF(FID_Plan!J42&lt;&gt;"","FID",IF(VENT_Plan!J42&lt;&gt;"","VENT",IF(ENG_Plan!J42&lt;&gt;"","ENG",IF(EDM_Plan!J42&lt;&gt;"","EDM",IF(CARVING_Plan!J42&lt;&gt;"","CARVING",IF(SPM_Plan!J42&lt;&gt;"","SPM","VTL")))))))</f>
        <v>QC</v>
      </c>
      <c r="G42" s="89" t="n">
        <f aca="false">VTL_Plan!J42</f>
        <v>46188.1990740741</v>
      </c>
      <c r="H42" s="89" t="n">
        <f aca="false">QC_Plan!M42</f>
        <v>46438.371031746</v>
      </c>
      <c r="I42" s="90" t="n">
        <f aca="false">(IF(VTL_Plan!M42&lt;&gt;"",1,0)+IF(SPM_Plan!M42&lt;&gt;"",1,0)+IF(CARVING_Plan!M42&lt;&gt;"",1,0)+IF(EDM_Plan!M42&lt;&gt;"",1,0)+IF(ENG_Plan!M42&lt;&gt;"",1,0)+IF(VENT_Plan!M42&lt;&gt;"",1,0)+IF(FID_Plan!M42&lt;&gt;"",1,0)+IF(QC_Plan!M42&lt;&gt;"",1,0))/8</f>
        <v>1</v>
      </c>
      <c r="J42" s="91" t="n">
        <f aca="false">Job_Master!J42</f>
        <v>46468.371031746</v>
      </c>
      <c r="K42" s="1" t="str">
        <f aca="false">IF(OR(J42="",H42=""),"Pending",IF(H42&lt;=J42,"✅ On Time","⚠ Delayed"))</f>
        <v>✅ On Time</v>
      </c>
    </row>
    <row r="43" customFormat="false" ht="15" hidden="false" customHeight="true" outlineLevel="0" collapsed="false">
      <c r="A43" s="1" t="str">
        <f aca="false">Job_Master!A43</f>
        <v>BJ-138</v>
      </c>
      <c r="B43" s="1" t="n">
        <f aca="false">Job_Master!B43</f>
        <v>9</v>
      </c>
      <c r="C43" s="1" t="str">
        <f aca="false">Job_Master!C43</f>
        <v>RW</v>
      </c>
      <c r="D43" s="1" t="str">
        <f aca="false">Job_Master!G43</f>
        <v>Low</v>
      </c>
      <c r="E43" s="1" t="str">
        <f aca="false">Job_Master!I43</f>
        <v>Released</v>
      </c>
      <c r="F43" s="1" t="str">
        <f aca="false">IF(QC_Plan!J43&lt;&gt;"","QC",IF(FID_Plan!J43&lt;&gt;"","FID",IF(VENT_Plan!J43&lt;&gt;"","VENT",IF(ENG_Plan!J43&lt;&gt;"","ENG",IF(EDM_Plan!J43&lt;&gt;"","EDM",IF(CARVING_Plan!J43&lt;&gt;"","CARVING",IF(SPM_Plan!J43&lt;&gt;"","SPM","VTL")))))))</f>
        <v>QC</v>
      </c>
      <c r="G43" s="89" t="n">
        <f aca="false">VTL_Plan!J43</f>
        <v>46166.3472222222</v>
      </c>
      <c r="H43" s="89" t="n">
        <f aca="false">QC_Plan!M43</f>
        <v>46438.833994709</v>
      </c>
      <c r="I43" s="90" t="n">
        <f aca="false">(IF(VTL_Plan!M43&lt;&gt;"",1,0)+IF(SPM_Plan!M43&lt;&gt;"",1,0)+IF(CARVING_Plan!M43&lt;&gt;"",1,0)+IF(EDM_Plan!M43&lt;&gt;"",1,0)+IF(ENG_Plan!M43&lt;&gt;"",1,0)+IF(VENT_Plan!M43&lt;&gt;"",1,0)+IF(FID_Plan!M43&lt;&gt;"",1,0)+IF(QC_Plan!M43&lt;&gt;"",1,0))/8</f>
        <v>1</v>
      </c>
      <c r="J43" s="91" t="n">
        <f aca="false">Job_Master!J43</f>
        <v>46468.833994709</v>
      </c>
      <c r="K43" s="1" t="str">
        <f aca="false">IF(OR(J43="",H43=""),"Pending",IF(H43&lt;=J43,"✅ On Time","⚠ Delayed"))</f>
        <v>✅ On Time</v>
      </c>
    </row>
    <row r="44" customFormat="false" ht="15" hidden="false" customHeight="true" outlineLevel="0" collapsed="false">
      <c r="A44" s="1" t="str">
        <f aca="false">Job_Master!A44</f>
        <v>BJ-144</v>
      </c>
      <c r="B44" s="1" t="n">
        <f aca="false">Job_Master!B44</f>
        <v>63</v>
      </c>
      <c r="C44" s="1" t="str">
        <f aca="false">Job_Master!C44</f>
        <v>RW</v>
      </c>
      <c r="D44" s="1" t="str">
        <f aca="false">Job_Master!G44</f>
        <v>High</v>
      </c>
      <c r="E44" s="1" t="str">
        <f aca="false">Job_Master!I44</f>
        <v>Released</v>
      </c>
      <c r="F44" s="1" t="str">
        <f aca="false">IF(QC_Plan!J44&lt;&gt;"","QC",IF(FID_Plan!J44&lt;&gt;"","FID",IF(VENT_Plan!J44&lt;&gt;"","VENT",IF(ENG_Plan!J44&lt;&gt;"","ENG",IF(EDM_Plan!J44&lt;&gt;"","EDM",IF(CARVING_Plan!J44&lt;&gt;"","CARVING",IF(SPM_Plan!J44&lt;&gt;"","SPM","VTL")))))))</f>
        <v>QC</v>
      </c>
      <c r="G44" s="89" t="n">
        <f aca="false">VTL_Plan!J44</f>
        <v>46193.1990740741</v>
      </c>
      <c r="H44" s="89" t="n">
        <f aca="false">QC_Plan!M44</f>
        <v>46443.9265873016</v>
      </c>
      <c r="I44" s="90" t="n">
        <f aca="false">(IF(VTL_Plan!M44&lt;&gt;"",1,0)+IF(SPM_Plan!M44&lt;&gt;"",1,0)+IF(CARVING_Plan!M44&lt;&gt;"",1,0)+IF(EDM_Plan!M44&lt;&gt;"",1,0)+IF(ENG_Plan!M44&lt;&gt;"",1,0)+IF(VENT_Plan!M44&lt;&gt;"",1,0)+IF(FID_Plan!M44&lt;&gt;"",1,0)+IF(QC_Plan!M44&lt;&gt;"",1,0))/8</f>
        <v>1</v>
      </c>
      <c r="J44" s="91" t="n">
        <f aca="false">Job_Master!J44</f>
        <v>46473.9265873016</v>
      </c>
      <c r="K44" s="1" t="str">
        <f aca="false">IF(OR(J44="",H44=""),"Pending",IF(H44&lt;=J44,"✅ On Time","⚠ Delayed"))</f>
        <v>✅ On Time</v>
      </c>
    </row>
    <row r="45" customFormat="false" ht="15" hidden="false" customHeight="true" outlineLevel="0" collapsed="false">
      <c r="A45" s="1" t="str">
        <f aca="false">Job_Master!A45</f>
        <v>BJ-146</v>
      </c>
      <c r="B45" s="1" t="n">
        <f aca="false">Job_Master!B45</f>
        <v>20</v>
      </c>
      <c r="C45" s="1" t="str">
        <f aca="false">Job_Master!C45</f>
        <v>RW</v>
      </c>
      <c r="D45" s="1" t="str">
        <f aca="false">Job_Master!G45</f>
        <v>Low</v>
      </c>
      <c r="E45" s="1" t="str">
        <f aca="false">Job_Master!I45</f>
        <v>On Hold</v>
      </c>
      <c r="F45" s="1" t="str">
        <f aca="false">IF(QC_Plan!J45&lt;&gt;"","QC",IF(FID_Plan!J45&lt;&gt;"","FID",IF(VENT_Plan!J45&lt;&gt;"","VENT",IF(ENG_Plan!J45&lt;&gt;"","ENG",IF(EDM_Plan!J45&lt;&gt;"","EDM",IF(CARVING_Plan!J45&lt;&gt;"","CARVING",IF(SPM_Plan!J45&lt;&gt;"","SPM","VTL")))))))</f>
        <v>QC</v>
      </c>
      <c r="G45" s="89" t="n">
        <f aca="false">VTL_Plan!J45</f>
        <v>46167.1805555556</v>
      </c>
      <c r="H45" s="89" t="n">
        <f aca="false">QC_Plan!M45</f>
        <v>46445.6858465608</v>
      </c>
      <c r="I45" s="90" t="n">
        <f aca="false">(IF(VTL_Plan!M45&lt;&gt;"",1,0)+IF(SPM_Plan!M45&lt;&gt;"",1,0)+IF(CARVING_Plan!M45&lt;&gt;"",1,0)+IF(EDM_Plan!M45&lt;&gt;"",1,0)+IF(ENG_Plan!M45&lt;&gt;"",1,0)+IF(VENT_Plan!M45&lt;&gt;"",1,0)+IF(FID_Plan!M45&lt;&gt;"",1,0)+IF(QC_Plan!M45&lt;&gt;"",1,0))/8</f>
        <v>1</v>
      </c>
      <c r="J45" s="91" t="n">
        <f aca="false">Job_Master!J45</f>
        <v>46475.6858465608</v>
      </c>
      <c r="K45" s="1" t="str">
        <f aca="false">IF(OR(J45="",H45=""),"Pending",IF(H45&lt;=J45,"✅ On Time","⚠ Delayed"))</f>
        <v>✅ On Time</v>
      </c>
    </row>
    <row r="46" customFormat="false" ht="15" hidden="false" customHeight="true" outlineLevel="0" collapsed="false">
      <c r="A46" s="1" t="str">
        <f aca="false">Job_Master!A46</f>
        <v>BJ-139</v>
      </c>
      <c r="B46" s="1" t="n">
        <f aca="false">Job_Master!B46</f>
        <v>15</v>
      </c>
      <c r="C46" s="1" t="str">
        <f aca="false">Job_Master!C46</f>
        <v>RW</v>
      </c>
      <c r="D46" s="1" t="str">
        <f aca="false">Job_Master!G46</f>
        <v>Low</v>
      </c>
      <c r="E46" s="1" t="str">
        <f aca="false">Job_Master!I46</f>
        <v>Released</v>
      </c>
      <c r="F46" s="1" t="str">
        <f aca="false">IF(QC_Plan!J46&lt;&gt;"","QC",IF(FID_Plan!J46&lt;&gt;"","FID",IF(VENT_Plan!J46&lt;&gt;"","VENT",IF(ENG_Plan!J46&lt;&gt;"","ENG",IF(EDM_Plan!J46&lt;&gt;"","EDM",IF(CARVING_Plan!J46&lt;&gt;"","CARVING",IF(SPM_Plan!J46&lt;&gt;"","SPM","VTL")))))))</f>
        <v>QC</v>
      </c>
      <c r="G46" s="89" t="n">
        <f aca="false">VTL_Plan!J46</f>
        <v>46169.0324074074</v>
      </c>
      <c r="H46" s="89" t="n">
        <f aca="false">QC_Plan!M46</f>
        <v>46446.333994709</v>
      </c>
      <c r="I46" s="90" t="n">
        <f aca="false">(IF(VTL_Plan!M46&lt;&gt;"",1,0)+IF(SPM_Plan!M46&lt;&gt;"",1,0)+IF(CARVING_Plan!M46&lt;&gt;"",1,0)+IF(EDM_Plan!M46&lt;&gt;"",1,0)+IF(ENG_Plan!M46&lt;&gt;"",1,0)+IF(VENT_Plan!M46&lt;&gt;"",1,0)+IF(FID_Plan!M46&lt;&gt;"",1,0)+IF(QC_Plan!M46&lt;&gt;"",1,0))/8</f>
        <v>1</v>
      </c>
      <c r="J46" s="91" t="n">
        <f aca="false">Job_Master!J46</f>
        <v>46476.333994709</v>
      </c>
      <c r="K46" s="1" t="str">
        <f aca="false">IF(OR(J46="",H46=""),"Pending",IF(H46&lt;=J46,"✅ On Time","⚠ Delayed"))</f>
        <v>✅ On Time</v>
      </c>
    </row>
    <row r="47" customFormat="false" ht="15" hidden="false" customHeight="true" outlineLevel="0" collapsed="false">
      <c r="A47" s="1" t="str">
        <f aca="false">Job_Master!A47</f>
        <v>BJ-141</v>
      </c>
      <c r="B47" s="1" t="n">
        <f aca="false">Job_Master!B47</f>
        <v>50</v>
      </c>
      <c r="C47" s="1" t="str">
        <f aca="false">Job_Master!C47</f>
        <v>SOL</v>
      </c>
      <c r="D47" s="1" t="str">
        <f aca="false">Job_Master!G47</f>
        <v>High</v>
      </c>
      <c r="E47" s="1" t="str">
        <f aca="false">Job_Master!I47</f>
        <v>Released</v>
      </c>
      <c r="F47" s="1" t="str">
        <f aca="false">IF(QC_Plan!J47&lt;&gt;"","QC",IF(FID_Plan!J47&lt;&gt;"","FID",IF(VENT_Plan!J47&lt;&gt;"","VENT",IF(ENG_Plan!J47&lt;&gt;"","ENG",IF(EDM_Plan!J47&lt;&gt;"","EDM",IF(CARVING_Plan!J47&lt;&gt;"","CARVING",IF(SPM_Plan!J47&lt;&gt;"","SPM","VTL")))))))</f>
        <v>QC</v>
      </c>
      <c r="G47" s="89" t="n">
        <f aca="false">VTL_Plan!J47</f>
        <v>46199.0324074074</v>
      </c>
      <c r="H47" s="89" t="n">
        <f aca="false">QC_Plan!M47</f>
        <v>46467.8419312169</v>
      </c>
      <c r="I47" s="90" t="n">
        <f aca="false">(IF(VTL_Plan!M47&lt;&gt;"",1,0)+IF(SPM_Plan!M47&lt;&gt;"",1,0)+IF(CARVING_Plan!M47&lt;&gt;"",1,0)+IF(EDM_Plan!M47&lt;&gt;"",1,0)+IF(ENG_Plan!M47&lt;&gt;"",1,0)+IF(VENT_Plan!M47&lt;&gt;"",1,0)+IF(FID_Plan!M47&lt;&gt;"",1,0)+IF(QC_Plan!M47&lt;&gt;"",1,0))/8</f>
        <v>1</v>
      </c>
      <c r="J47" s="91" t="n">
        <f aca="false">Job_Master!J47</f>
        <v>46497.8419312169</v>
      </c>
      <c r="K47" s="1" t="str">
        <f aca="false">IF(OR(J47="",H47=""),"Pending",IF(H47&lt;=J47,"✅ On Time","⚠ Delayed"))</f>
        <v>✅ On Time</v>
      </c>
    </row>
    <row r="48" customFormat="false" ht="15" hidden="false" customHeight="true" outlineLevel="0" collapsed="false">
      <c r="A48" s="1" t="str">
        <f aca="false">Job_Master!A48</f>
        <v>BJ-142</v>
      </c>
      <c r="B48" s="1" t="n">
        <f aca="false">Job_Master!B48</f>
        <v>9</v>
      </c>
      <c r="C48" s="1" t="str">
        <f aca="false">Job_Master!C48</f>
        <v>RW</v>
      </c>
      <c r="D48" s="1" t="str">
        <f aca="false">Job_Master!G48</f>
        <v>Low</v>
      </c>
      <c r="E48" s="1" t="str">
        <f aca="false">Job_Master!I48</f>
        <v>Cancelled</v>
      </c>
      <c r="F48" s="1" t="str">
        <f aca="false">IF(QC_Plan!J48&lt;&gt;"","QC",IF(FID_Plan!J48&lt;&gt;"","FID",IF(VENT_Plan!J48&lt;&gt;"","VENT",IF(ENG_Plan!J48&lt;&gt;"","ENG",IF(EDM_Plan!J48&lt;&gt;"","EDM",IF(CARVING_Plan!J48&lt;&gt;"","CARVING",IF(SPM_Plan!J48&lt;&gt;"","SPM","VTL")))))))</f>
        <v>QC</v>
      </c>
      <c r="G48" s="89" t="n">
        <f aca="false">VTL_Plan!J48</f>
        <v>46170.4212962963</v>
      </c>
      <c r="H48" s="89" t="n">
        <f aca="false">QC_Plan!M48</f>
        <v>46468.3048941799</v>
      </c>
      <c r="I48" s="90" t="n">
        <f aca="false">(IF(VTL_Plan!M48&lt;&gt;"",1,0)+IF(SPM_Plan!M48&lt;&gt;"",1,0)+IF(CARVING_Plan!M48&lt;&gt;"",1,0)+IF(EDM_Plan!M48&lt;&gt;"",1,0)+IF(ENG_Plan!M48&lt;&gt;"",1,0)+IF(VENT_Plan!M48&lt;&gt;"",1,0)+IF(FID_Plan!M48&lt;&gt;"",1,0)+IF(QC_Plan!M48&lt;&gt;"",1,0))/8</f>
        <v>1</v>
      </c>
      <c r="J48" s="91" t="n">
        <f aca="false">Job_Master!J48</f>
        <v>46498.3048941799</v>
      </c>
      <c r="K48" s="1" t="str">
        <f aca="false">IF(OR(J48="",H48=""),"Pending",IF(H48&lt;=J48,"✅ On Time","⚠ Delayed"))</f>
        <v>✅ On Time</v>
      </c>
    </row>
    <row r="49" customFormat="false" ht="15" hidden="false" customHeight="true" outlineLevel="0" collapsed="false">
      <c r="A49" s="1" t="str">
        <f aca="false">Job_Master!A49</f>
        <v>BJ-147</v>
      </c>
      <c r="B49" s="1" t="n">
        <f aca="false">Job_Master!B49</f>
        <v>34</v>
      </c>
      <c r="C49" s="1" t="str">
        <f aca="false">Job_Master!C49</f>
        <v>SOL</v>
      </c>
      <c r="D49" s="1" t="str">
        <f aca="false">Job_Master!G49</f>
        <v>Medium</v>
      </c>
      <c r="E49" s="1" t="str">
        <f aca="false">Job_Master!I49</f>
        <v>Released</v>
      </c>
      <c r="F49" s="1" t="str">
        <f aca="false">IF(QC_Plan!J49&lt;&gt;"","QC",IF(FID_Plan!J49&lt;&gt;"","FID",IF(VENT_Plan!J49&lt;&gt;"","VENT",IF(ENG_Plan!J49&lt;&gt;"","ENG",IF(EDM_Plan!J49&lt;&gt;"","EDM",IF(CARVING_Plan!J49&lt;&gt;"","CARVING",IF(SPM_Plan!J49&lt;&gt;"","SPM","VTL")))))))</f>
        <v>QC</v>
      </c>
      <c r="G49" s="89" t="n">
        <f aca="false">VTL_Plan!J49</f>
        <v>46161.2546296296</v>
      </c>
      <c r="H49" s="89" t="n">
        <f aca="false">QC_Plan!M49</f>
        <v>46474.2308201058</v>
      </c>
      <c r="I49" s="90" t="n">
        <f aca="false">(IF(VTL_Plan!M49&lt;&gt;"",1,0)+IF(SPM_Plan!M49&lt;&gt;"",1,0)+IF(CARVING_Plan!M49&lt;&gt;"",1,0)+IF(EDM_Plan!M49&lt;&gt;"",1,0)+IF(ENG_Plan!M49&lt;&gt;"",1,0)+IF(VENT_Plan!M49&lt;&gt;"",1,0)+IF(FID_Plan!M49&lt;&gt;"",1,0)+IF(QC_Plan!M49&lt;&gt;"",1,0))/8</f>
        <v>1</v>
      </c>
      <c r="J49" s="91" t="n">
        <f aca="false">Job_Master!J49</f>
        <v>46504.2308201058</v>
      </c>
      <c r="K49" s="1" t="str">
        <f aca="false">IF(OR(J49="",H49=""),"Pending",IF(H49&lt;=J49,"✅ On Time","⚠ Delayed"))</f>
        <v>✅ On Time</v>
      </c>
    </row>
    <row r="50" customFormat="false" ht="15" hidden="false" customHeight="true" outlineLevel="0" collapsed="false">
      <c r="A50" s="1" t="str">
        <f aca="false">Job_Master!A50</f>
        <v>BJ-150</v>
      </c>
      <c r="B50" s="1" t="n">
        <f aca="false">Job_Master!B50</f>
        <v>34</v>
      </c>
      <c r="C50" s="1" t="str">
        <f aca="false">Job_Master!C50</f>
        <v>SOL</v>
      </c>
      <c r="D50" s="1" t="str">
        <f aca="false">Job_Master!G50</f>
        <v>Medium</v>
      </c>
      <c r="E50" s="1" t="str">
        <f aca="false">Job_Master!I50</f>
        <v>Released</v>
      </c>
      <c r="F50" s="1" t="str">
        <f aca="false">IF(QC_Plan!J50&lt;&gt;"","QC",IF(FID_Plan!J50&lt;&gt;"","FID",IF(VENT_Plan!J50&lt;&gt;"","VENT",IF(ENG_Plan!J50&lt;&gt;"","ENG",IF(EDM_Plan!J50&lt;&gt;"","EDM",IF(CARVING_Plan!J50&lt;&gt;"","CARVING",IF(SPM_Plan!J50&lt;&gt;"","SPM","VTL")))))))</f>
        <v>QC</v>
      </c>
      <c r="G50" s="89" t="n">
        <f aca="false">VTL_Plan!J50</f>
        <v>46167.5509259259</v>
      </c>
      <c r="H50" s="89" t="n">
        <f aca="false">QC_Plan!M50</f>
        <v>46480.1567460317</v>
      </c>
      <c r="I50" s="90" t="n">
        <f aca="false">(IF(VTL_Plan!M50&lt;&gt;"",1,0)+IF(SPM_Plan!M50&lt;&gt;"",1,0)+IF(CARVING_Plan!M50&lt;&gt;"",1,0)+IF(EDM_Plan!M50&lt;&gt;"",1,0)+IF(ENG_Plan!M50&lt;&gt;"",1,0)+IF(VENT_Plan!M50&lt;&gt;"",1,0)+IF(FID_Plan!M50&lt;&gt;"",1,0)+IF(QC_Plan!M50&lt;&gt;"",1,0))/8</f>
        <v>1</v>
      </c>
      <c r="J50" s="91" t="n">
        <f aca="false">Job_Master!J50</f>
        <v>46510.1567460317</v>
      </c>
      <c r="K50" s="1" t="str">
        <f aca="false">IF(OR(J50="",H50=""),"Pending",IF(H50&lt;=J50,"✅ On Time","⚠ Delayed"))</f>
        <v>✅ On Time</v>
      </c>
    </row>
    <row r="51" customFormat="false" ht="15" hidden="false" customHeight="true" outlineLevel="0" collapsed="false">
      <c r="A51" s="1" t="str">
        <f aca="false">Job_Master!A51</f>
        <v>BJ-151</v>
      </c>
      <c r="B51" s="1" t="n">
        <f aca="false">Job_Master!B51</f>
        <v>25</v>
      </c>
      <c r="C51" s="1" t="str">
        <f aca="false">Job_Master!C51</f>
        <v>SOL</v>
      </c>
      <c r="D51" s="1" t="str">
        <f aca="false">Job_Master!G51</f>
        <v>Low</v>
      </c>
      <c r="E51" s="1" t="str">
        <f aca="false">Job_Master!I51</f>
        <v>On Hold</v>
      </c>
      <c r="F51" s="1" t="str">
        <f aca="false">IF(QC_Plan!J51&lt;&gt;"","QC",IF(FID_Plan!J51&lt;&gt;"","FID",IF(VENT_Plan!J51&lt;&gt;"","VENT",IF(ENG_Plan!J51&lt;&gt;"","ENG",IF(EDM_Plan!J51&lt;&gt;"","EDM",IF(CARVING_Plan!J51&lt;&gt;"","CARVING",IF(SPM_Plan!J51&lt;&gt;"","SPM","VTL")))))))</f>
        <v>QC</v>
      </c>
      <c r="G51" s="89" t="n">
        <f aca="false">VTL_Plan!J51</f>
        <v>46171.2546296296</v>
      </c>
      <c r="H51" s="89" t="n">
        <f aca="false">QC_Plan!M51</f>
        <v>46484.416005291</v>
      </c>
      <c r="I51" s="90" t="n">
        <f aca="false">(IF(VTL_Plan!M51&lt;&gt;"",1,0)+IF(SPM_Plan!M51&lt;&gt;"",1,0)+IF(CARVING_Plan!M51&lt;&gt;"",1,0)+IF(EDM_Plan!M51&lt;&gt;"",1,0)+IF(ENG_Plan!M51&lt;&gt;"",1,0)+IF(VENT_Plan!M51&lt;&gt;"",1,0)+IF(FID_Plan!M51&lt;&gt;"",1,0)+IF(QC_Plan!M51&lt;&gt;"",1,0))/8</f>
        <v>1</v>
      </c>
      <c r="J51" s="91" t="n">
        <f aca="false">Job_Master!J51</f>
        <v>46514.416005291</v>
      </c>
      <c r="K51" s="1" t="str">
        <f aca="false">IF(OR(J51="",H51=""),"Pending",IF(H51&lt;=J51,"✅ On Time","⚠ Delayed"))</f>
        <v>✅ On Time</v>
      </c>
    </row>
    <row r="52" customFormat="false" ht="15" hidden="false" customHeight="true" outlineLevel="0" collapsed="false">
      <c r="A52" s="1" t="str">
        <f aca="false">Job_Master!A52</f>
        <v>BJ-152</v>
      </c>
      <c r="B52" s="1" t="n">
        <f aca="false">Job_Master!B52</f>
        <v>34</v>
      </c>
      <c r="C52" s="1" t="str">
        <f aca="false">Job_Master!C52</f>
        <v>2P</v>
      </c>
      <c r="D52" s="1" t="str">
        <f aca="false">Job_Master!G52</f>
        <v>Medium</v>
      </c>
      <c r="E52" s="1" t="str">
        <f aca="false">Job_Master!I52</f>
        <v>Released</v>
      </c>
      <c r="F52" s="1" t="str">
        <f aca="false">IF(QC_Plan!J52&lt;&gt;"","QC",IF(FID_Plan!J52&lt;&gt;"","FID",IF(VENT_Plan!J52&lt;&gt;"","VENT",IF(ENG_Plan!J52&lt;&gt;"","ENG",IF(EDM_Plan!J52&lt;&gt;"","EDM",IF(CARVING_Plan!J52&lt;&gt;"","CARVING",IF(SPM_Plan!J52&lt;&gt;"","SPM","VTL")))))))</f>
        <v>QC</v>
      </c>
      <c r="G52" s="89" t="n">
        <f aca="false">VTL_Plan!J52</f>
        <v>46173.8472222222</v>
      </c>
      <c r="H52" s="89" t="n">
        <f aca="false">QC_Plan!M52</f>
        <v>46486.916005291</v>
      </c>
      <c r="I52" s="90" t="n">
        <f aca="false">(IF(VTL_Plan!M52&lt;&gt;"",1,0)+IF(SPM_Plan!M52&lt;&gt;"",1,0)+IF(CARVING_Plan!M52&lt;&gt;"",1,0)+IF(EDM_Plan!M52&lt;&gt;"",1,0)+IF(ENG_Plan!M52&lt;&gt;"",1,0)+IF(VENT_Plan!M52&lt;&gt;"",1,0)+IF(FID_Plan!M52&lt;&gt;"",1,0)+IF(QC_Plan!M52&lt;&gt;"",1,0))/8</f>
        <v>1</v>
      </c>
      <c r="J52" s="91" t="n">
        <f aca="false">Job_Master!J52</f>
        <v>46516.916005291</v>
      </c>
      <c r="K52" s="1" t="str">
        <f aca="false">IF(OR(J52="",H52=""),"Pending",IF(H52&lt;=J52,"✅ On Time","⚠ Delayed"))</f>
        <v>✅ On Time</v>
      </c>
    </row>
    <row r="53" customFormat="false" ht="15" hidden="false" customHeight="true" outlineLevel="0" collapsed="false">
      <c r="A53" s="1" t="str">
        <f aca="false">Job_Master!A53</f>
        <v>BJ-143</v>
      </c>
      <c r="B53" s="1" t="n">
        <f aca="false">Job_Master!B53</f>
        <v>17</v>
      </c>
      <c r="C53" s="1" t="str">
        <f aca="false">Job_Master!C53</f>
        <v>SOL</v>
      </c>
      <c r="D53" s="1" t="str">
        <f aca="false">Job_Master!G53</f>
        <v>Low</v>
      </c>
      <c r="E53" s="1" t="str">
        <f aca="false">Job_Master!I53</f>
        <v>Released</v>
      </c>
      <c r="F53" s="1" t="str">
        <f aca="false">IF(QC_Plan!J53&lt;&gt;"","QC",IF(FID_Plan!J53&lt;&gt;"","FID",IF(VENT_Plan!J53&lt;&gt;"","VENT",IF(ENG_Plan!J53&lt;&gt;"","ENG",IF(EDM_Plan!J53&lt;&gt;"","EDM",IF(CARVING_Plan!J53&lt;&gt;"","CARVING",IF(SPM_Plan!J53&lt;&gt;"","SPM","VTL")))))))</f>
        <v>QC</v>
      </c>
      <c r="G53" s="89" t="n">
        <f aca="false">VTL_Plan!J53</f>
        <v>46175.8842592593</v>
      </c>
      <c r="H53" s="89" t="n">
        <f aca="false">QC_Plan!M53</f>
        <v>46489.6937830688</v>
      </c>
      <c r="I53" s="90" t="n">
        <f aca="false">(IF(VTL_Plan!M53&lt;&gt;"",1,0)+IF(SPM_Plan!M53&lt;&gt;"",1,0)+IF(CARVING_Plan!M53&lt;&gt;"",1,0)+IF(EDM_Plan!M53&lt;&gt;"",1,0)+IF(ENG_Plan!M53&lt;&gt;"",1,0)+IF(VENT_Plan!M53&lt;&gt;"",1,0)+IF(FID_Plan!M53&lt;&gt;"",1,0)+IF(QC_Plan!M53&lt;&gt;"",1,0))/8</f>
        <v>1</v>
      </c>
      <c r="J53" s="91" t="n">
        <f aca="false">Job_Master!J53</f>
        <v>46519.6937830688</v>
      </c>
      <c r="K53" s="1" t="str">
        <f aca="false">IF(OR(J53="",H53=""),"Pending",IF(H53&lt;=J53,"✅ On Time","⚠ Delayed"))</f>
        <v>✅ On Time</v>
      </c>
    </row>
    <row r="54" customFormat="false" ht="15" hidden="false" customHeight="true" outlineLevel="0" collapsed="false">
      <c r="A54" s="1" t="str">
        <f aca="false">Job_Master!A54</f>
        <v>BJ-154</v>
      </c>
      <c r="B54" s="1" t="n">
        <f aca="false">Job_Master!B54</f>
        <v>25</v>
      </c>
      <c r="C54" s="1" t="str">
        <f aca="false">Job_Master!C54</f>
        <v>RW</v>
      </c>
      <c r="D54" s="1" t="str">
        <f aca="false">Job_Master!G54</f>
        <v>Low</v>
      </c>
      <c r="E54" s="1" t="str">
        <f aca="false">Job_Master!I54</f>
        <v>Released</v>
      </c>
      <c r="F54" s="1" t="str">
        <f aca="false">IF(QC_Plan!J54&lt;&gt;"","QC",IF(FID_Plan!J54&lt;&gt;"","FID",IF(VENT_Plan!J54&lt;&gt;"","VENT",IF(ENG_Plan!J54&lt;&gt;"","ENG",IF(EDM_Plan!J54&lt;&gt;"","EDM",IF(CARVING_Plan!J54&lt;&gt;"","CARVING",IF(SPM_Plan!J54&lt;&gt;"","SPM","VTL")))))))</f>
        <v>QC</v>
      </c>
      <c r="G54" s="89" t="n">
        <f aca="false">VTL_Plan!J54</f>
        <v>46179.0324074074</v>
      </c>
      <c r="H54" s="89" t="n">
        <f aca="false">QC_Plan!M54</f>
        <v>46491.1752645503</v>
      </c>
      <c r="I54" s="90" t="n">
        <f aca="false">(IF(VTL_Plan!M54&lt;&gt;"",1,0)+IF(SPM_Plan!M54&lt;&gt;"",1,0)+IF(CARVING_Plan!M54&lt;&gt;"",1,0)+IF(EDM_Plan!M54&lt;&gt;"",1,0)+IF(ENG_Plan!M54&lt;&gt;"",1,0)+IF(VENT_Plan!M54&lt;&gt;"",1,0)+IF(FID_Plan!M54&lt;&gt;"",1,0)+IF(QC_Plan!M54&lt;&gt;"",1,0))/8</f>
        <v>1</v>
      </c>
      <c r="J54" s="91" t="n">
        <f aca="false">Job_Master!J54</f>
        <v>46521.1752645503</v>
      </c>
      <c r="K54" s="1" t="str">
        <f aca="false">IF(OR(J54="",H54=""),"Pending",IF(H54&lt;=J54,"✅ On Time","⚠ Delayed"))</f>
        <v>✅ On Time</v>
      </c>
    </row>
    <row r="55" customFormat="false" ht="15" hidden="false" customHeight="true" outlineLevel="0" collapsed="false">
      <c r="A55" s="1" t="str">
        <f aca="false">Job_Master!A55</f>
        <v>BJ-156</v>
      </c>
      <c r="B55" s="1" t="n">
        <f aca="false">Job_Master!B55</f>
        <v>25</v>
      </c>
      <c r="C55" s="1" t="str">
        <f aca="false">Job_Master!C55</f>
        <v>2P</v>
      </c>
      <c r="D55" s="1" t="str">
        <f aca="false">Job_Master!G55</f>
        <v>Low</v>
      </c>
      <c r="E55" s="1" t="str">
        <f aca="false">Job_Master!I55</f>
        <v>On Hold</v>
      </c>
      <c r="F55" s="1" t="str">
        <f aca="false">IF(QC_Plan!J55&lt;&gt;"","QC",IF(FID_Plan!J55&lt;&gt;"","FID",IF(VENT_Plan!J55&lt;&gt;"","VENT",IF(ENG_Plan!J55&lt;&gt;"","ENG",IF(EDM_Plan!J55&lt;&gt;"","EDM",IF(CARVING_Plan!J55&lt;&gt;"","CARVING",IF(SPM_Plan!J55&lt;&gt;"","SPM","VTL")))))))</f>
        <v>QC</v>
      </c>
      <c r="G55" s="89" t="n">
        <f aca="false">VTL_Plan!J55</f>
        <v>46181.3472222222</v>
      </c>
      <c r="H55" s="89" t="n">
        <f aca="false">QC_Plan!M55</f>
        <v>46493.6752645503</v>
      </c>
      <c r="I55" s="90" t="n">
        <f aca="false">(IF(VTL_Plan!M55&lt;&gt;"",1,0)+IF(SPM_Plan!M55&lt;&gt;"",1,0)+IF(CARVING_Plan!M55&lt;&gt;"",1,0)+IF(EDM_Plan!M55&lt;&gt;"",1,0)+IF(ENG_Plan!M55&lt;&gt;"",1,0)+IF(VENT_Plan!M55&lt;&gt;"",1,0)+IF(FID_Plan!M55&lt;&gt;"",1,0)+IF(QC_Plan!M55&lt;&gt;"",1,0))/8</f>
        <v>1</v>
      </c>
      <c r="J55" s="91" t="n">
        <f aca="false">Job_Master!J55</f>
        <v>46523.6752645503</v>
      </c>
      <c r="K55" s="1" t="str">
        <f aca="false">IF(OR(J55="",H55=""),"Pending",IF(H55&lt;=J55,"✅ On Time","⚠ Delayed"))</f>
        <v>✅ On Time</v>
      </c>
    </row>
    <row r="56" customFormat="false" ht="15" hidden="false" customHeight="true" outlineLevel="0" collapsed="false">
      <c r="A56" s="1" t="str">
        <f aca="false">Job_Master!A56</f>
        <v>BJ-145</v>
      </c>
      <c r="B56" s="1" t="n">
        <f aca="false">Job_Master!B56</f>
        <v>15</v>
      </c>
      <c r="C56" s="1" t="str">
        <f aca="false">Job_Master!C56</f>
        <v>2P</v>
      </c>
      <c r="D56" s="1" t="str">
        <f aca="false">Job_Master!G56</f>
        <v>Low</v>
      </c>
      <c r="E56" s="1" t="str">
        <f aca="false">Job_Master!I56</f>
        <v>Released</v>
      </c>
      <c r="F56" s="1" t="str">
        <f aca="false">IF(QC_Plan!J56&lt;&gt;"","QC",IF(FID_Plan!J56&lt;&gt;"","FID",IF(VENT_Plan!J56&lt;&gt;"","VENT",IF(ENG_Plan!J56&lt;&gt;"","ENG",IF(EDM_Plan!J56&lt;&gt;"","EDM",IF(CARVING_Plan!J56&lt;&gt;"","CARVING",IF(SPM_Plan!J56&lt;&gt;"","SPM","VTL")))))))</f>
        <v>QC</v>
      </c>
      <c r="G56" s="89" t="n">
        <f aca="false">VTL_Plan!J56</f>
        <v>46183.662037037</v>
      </c>
      <c r="H56" s="89" t="n">
        <f aca="false">QC_Plan!M56</f>
        <v>46494.878968254</v>
      </c>
      <c r="I56" s="90" t="n">
        <f aca="false">(IF(VTL_Plan!M56&lt;&gt;"",1,0)+IF(SPM_Plan!M56&lt;&gt;"",1,0)+IF(CARVING_Plan!M56&lt;&gt;"",1,0)+IF(EDM_Plan!M56&lt;&gt;"",1,0)+IF(ENG_Plan!M56&lt;&gt;"",1,0)+IF(VENT_Plan!M56&lt;&gt;"",1,0)+IF(FID_Plan!M56&lt;&gt;"",1,0)+IF(QC_Plan!M56&lt;&gt;"",1,0))/8</f>
        <v>1</v>
      </c>
      <c r="J56" s="91" t="n">
        <f aca="false">Job_Master!J56</f>
        <v>46524.878968254</v>
      </c>
      <c r="K56" s="1" t="str">
        <f aca="false">IF(OR(J56="",H56=""),"Pending",IF(H56&lt;=J56,"✅ On Time","⚠ Delayed"))</f>
        <v>✅ On Time</v>
      </c>
    </row>
    <row r="57" customFormat="false" ht="15" hidden="false" customHeight="true" outlineLevel="0" collapsed="false">
      <c r="A57" s="1" t="str">
        <f aca="false">Job_Master!A57</f>
        <v>BJ-153</v>
      </c>
      <c r="B57" s="1" t="n">
        <f aca="false">Job_Master!B57</f>
        <v>34</v>
      </c>
      <c r="C57" s="1" t="str">
        <f aca="false">Job_Master!C57</f>
        <v>SEG</v>
      </c>
      <c r="D57" s="1" t="str">
        <f aca="false">Job_Master!G57</f>
        <v>Medium</v>
      </c>
      <c r="E57" s="1" t="str">
        <f aca="false">Job_Master!I57</f>
        <v>Released</v>
      </c>
      <c r="F57" s="1" t="str">
        <f aca="false">IF(QC_Plan!J57&lt;&gt;"","QC",IF(FID_Plan!J57&lt;&gt;"","FID",IF(VENT_Plan!J57&lt;&gt;"","VENT",IF(ENG_Plan!J57&lt;&gt;"","ENG",IF(EDM_Plan!J57&lt;&gt;"","EDM",IF(CARVING_Plan!J57&lt;&gt;"","CARVING",IF(SPM_Plan!J57&lt;&gt;"","SPM","VTL")))))))</f>
        <v>QC</v>
      </c>
      <c r="G57" s="89" t="n">
        <f aca="false">VTL_Plan!J57</f>
        <v>46176.9953703704</v>
      </c>
      <c r="H57" s="89" t="n">
        <f aca="false">QC_Plan!M57</f>
        <v>46524.4986772487</v>
      </c>
      <c r="I57" s="90" t="n">
        <f aca="false">(IF(VTL_Plan!M57&lt;&gt;"",1,0)+IF(SPM_Plan!M57&lt;&gt;"",1,0)+IF(CARVING_Plan!M57&lt;&gt;"",1,0)+IF(EDM_Plan!M57&lt;&gt;"",1,0)+IF(ENG_Plan!M57&lt;&gt;"",1,0)+IF(VENT_Plan!M57&lt;&gt;"",1,0)+IF(FID_Plan!M57&lt;&gt;"",1,0)+IF(QC_Plan!M57&lt;&gt;"",1,0))/8</f>
        <v>1</v>
      </c>
      <c r="J57" s="91" t="n">
        <f aca="false">Job_Master!J57</f>
        <v>46554.4986772487</v>
      </c>
      <c r="K57" s="1" t="str">
        <f aca="false">IF(OR(J57="",H57=""),"Pending",IF(H57&lt;=J57,"✅ On Time","⚠ Delayed"))</f>
        <v>✅ On Time</v>
      </c>
    </row>
    <row r="58" customFormat="false" ht="15" hidden="false" customHeight="true" outlineLevel="0" collapsed="false">
      <c r="A58" s="1" t="str">
        <f aca="false">Job_Master!A58</f>
        <v>BJ-160</v>
      </c>
      <c r="B58" s="1" t="n">
        <f aca="false">Job_Master!B58</f>
        <v>34</v>
      </c>
      <c r="C58" s="1" t="str">
        <f aca="false">Job_Master!C58</f>
        <v>2P</v>
      </c>
      <c r="D58" s="1" t="str">
        <f aca="false">Job_Master!G58</f>
        <v>Medium</v>
      </c>
      <c r="E58" s="1" t="str">
        <f aca="false">Job_Master!I58</f>
        <v>Cancelled</v>
      </c>
      <c r="F58" s="1" t="str">
        <f aca="false">IF(QC_Plan!J58&lt;&gt;"","QC",IF(FID_Plan!J58&lt;&gt;"","FID",IF(VENT_Plan!J58&lt;&gt;"","VENT",IF(ENG_Plan!J58&lt;&gt;"","ENG",IF(EDM_Plan!J58&lt;&gt;"","EDM",IF(CARVING_Plan!J58&lt;&gt;"","CARVING",IF(SPM_Plan!J58&lt;&gt;"","SPM","VTL")))))))</f>
        <v>QC</v>
      </c>
      <c r="G58" s="89" t="n">
        <f aca="false">VTL_Plan!J58</f>
        <v>46186.4398148148</v>
      </c>
      <c r="H58" s="89" t="n">
        <f aca="false">QC_Plan!M58</f>
        <v>46526.9986772487</v>
      </c>
      <c r="I58" s="90" t="n">
        <f aca="false">(IF(VTL_Plan!M58&lt;&gt;"",1,0)+IF(SPM_Plan!M58&lt;&gt;"",1,0)+IF(CARVING_Plan!M58&lt;&gt;"",1,0)+IF(EDM_Plan!M58&lt;&gt;"",1,0)+IF(ENG_Plan!M58&lt;&gt;"",1,0)+IF(VENT_Plan!M58&lt;&gt;"",1,0)+IF(FID_Plan!M58&lt;&gt;"",1,0)+IF(QC_Plan!M58&lt;&gt;"",1,0))/8</f>
        <v>1</v>
      </c>
      <c r="J58" s="91" t="n">
        <f aca="false">Job_Master!J58</f>
        <v>46556.9986772487</v>
      </c>
      <c r="K58" s="1" t="str">
        <f aca="false">IF(OR(J58="",H58=""),"Pending",IF(H58&lt;=J58,"✅ On Time","⚠ Delayed"))</f>
        <v>✅ On Time</v>
      </c>
    </row>
    <row r="59" customFormat="false" ht="15" hidden="false" customHeight="true" outlineLevel="0" collapsed="false">
      <c r="A59" s="1" t="str">
        <f aca="false">Job_Master!A59</f>
        <v>BJ-158</v>
      </c>
      <c r="B59" s="1" t="n">
        <f aca="false">Job_Master!B59</f>
        <v>54</v>
      </c>
      <c r="C59" s="1" t="str">
        <f aca="false">Job_Master!C59</f>
        <v>2P</v>
      </c>
      <c r="D59" s="1" t="str">
        <f aca="false">Job_Master!G59</f>
        <v>High</v>
      </c>
      <c r="E59" s="1" t="str">
        <f aca="false">Job_Master!I59</f>
        <v>Released</v>
      </c>
      <c r="F59" s="1" t="str">
        <f aca="false">IF(QC_Plan!J59&lt;&gt;"","QC",IF(FID_Plan!J59&lt;&gt;"","FID",IF(VENT_Plan!J59&lt;&gt;"","VENT",IF(ENG_Plan!J59&lt;&gt;"","ENG",IF(EDM_Plan!J59&lt;&gt;"","EDM",IF(CARVING_Plan!J59&lt;&gt;"","CARVING",IF(SPM_Plan!J59&lt;&gt;"","SPM","VTL")))))))</f>
        <v>QC</v>
      </c>
      <c r="G59" s="89" t="n">
        <f aca="false">VTL_Plan!J59</f>
        <v>46208.2916666667</v>
      </c>
      <c r="H59" s="89" t="n">
        <f aca="false">QC_Plan!M59</f>
        <v>46533.2023809524</v>
      </c>
      <c r="I59" s="90" t="n">
        <f aca="false">(IF(VTL_Plan!M59&lt;&gt;"",1,0)+IF(SPM_Plan!M59&lt;&gt;"",1,0)+IF(CARVING_Plan!M59&lt;&gt;"",1,0)+IF(EDM_Plan!M59&lt;&gt;"",1,0)+IF(ENG_Plan!M59&lt;&gt;"",1,0)+IF(VENT_Plan!M59&lt;&gt;"",1,0)+IF(FID_Plan!M59&lt;&gt;"",1,0)+IF(QC_Plan!M59&lt;&gt;"",1,0))/8</f>
        <v>1</v>
      </c>
      <c r="J59" s="91" t="n">
        <f aca="false">Job_Master!J59</f>
        <v>46563.2023809524</v>
      </c>
      <c r="K59" s="1" t="str">
        <f aca="false">IF(OR(J59="",H59=""),"Pending",IF(H59&lt;=J59,"✅ On Time","⚠ Delayed"))</f>
        <v>✅ On Time</v>
      </c>
    </row>
    <row r="60" customFormat="false" ht="15" hidden="false" customHeight="true" outlineLevel="0" collapsed="false">
      <c r="A60" s="1" t="str">
        <f aca="false">Job_Master!A60</f>
        <v>BJ-157</v>
      </c>
      <c r="B60" s="1" t="n">
        <f aca="false">Job_Master!B60</f>
        <v>50</v>
      </c>
      <c r="C60" s="1" t="str">
        <f aca="false">Job_Master!C60</f>
        <v>SEG</v>
      </c>
      <c r="D60" s="1" t="str">
        <f aca="false">Job_Master!G60</f>
        <v>High</v>
      </c>
      <c r="E60" s="1" t="str">
        <f aca="false">Job_Master!I60</f>
        <v>Released</v>
      </c>
      <c r="F60" s="1" t="str">
        <f aca="false">IF(QC_Plan!J60&lt;&gt;"","QC",IF(FID_Plan!J60&lt;&gt;"","FID",IF(VENT_Plan!J60&lt;&gt;"","VENT",IF(ENG_Plan!J60&lt;&gt;"","ENG",IF(EDM_Plan!J60&lt;&gt;"","EDM",IF(CARVING_Plan!J60&lt;&gt;"","CARVING",IF(SPM_Plan!J60&lt;&gt;"","SPM","VTL")))))))</f>
        <v>QC</v>
      </c>
      <c r="G60" s="89" t="n">
        <f aca="false">VTL_Plan!J60</f>
        <v>46213.2916666667</v>
      </c>
      <c r="H60" s="89" t="n">
        <f aca="false">QC_Plan!M60</f>
        <v>46586.5324074074</v>
      </c>
      <c r="I60" s="90" t="n">
        <f aca="false">(IF(VTL_Plan!M60&lt;&gt;"",1,0)+IF(SPM_Plan!M60&lt;&gt;"",1,0)+IF(CARVING_Plan!M60&lt;&gt;"",1,0)+IF(EDM_Plan!M60&lt;&gt;"",1,0)+IF(ENG_Plan!M60&lt;&gt;"",1,0)+IF(VENT_Plan!M60&lt;&gt;"",1,0)+IF(FID_Plan!M60&lt;&gt;"",1,0)+IF(QC_Plan!M60&lt;&gt;"",1,0))/8</f>
        <v>1</v>
      </c>
      <c r="J60" s="91" t="n">
        <f aca="false">Job_Master!J60</f>
        <v>46616.5324074074</v>
      </c>
      <c r="K60" s="1" t="str">
        <f aca="false">IF(OR(J60="",H60=""),"Pending",IF(H60&lt;=J60,"✅ On Time","⚠ Delayed"))</f>
        <v>✅ On Time</v>
      </c>
    </row>
    <row r="61" customFormat="false" ht="15" hidden="false" customHeight="true" outlineLevel="0" collapsed="false">
      <c r="A61" s="1" t="str">
        <f aca="false">Job_Master!A61</f>
        <v>BJ-159</v>
      </c>
      <c r="B61" s="1" t="n">
        <f aca="false">Job_Master!B61</f>
        <v>54</v>
      </c>
      <c r="C61" s="1" t="str">
        <f aca="false">Job_Master!C61</f>
        <v>RW</v>
      </c>
      <c r="D61" s="1" t="str">
        <f aca="false">Job_Master!G61</f>
        <v>High</v>
      </c>
      <c r="E61" s="1" t="str">
        <f aca="false">Job_Master!I61</f>
        <v>On Hold</v>
      </c>
      <c r="F61" s="1" t="str">
        <f aca="false">IF(QC_Plan!J61&lt;&gt;"","QC",IF(FID_Plan!J61&lt;&gt;"","FID",IF(VENT_Plan!J61&lt;&gt;"","VENT",IF(ENG_Plan!J61&lt;&gt;"","ENG",IF(EDM_Plan!J61&lt;&gt;"","EDM",IF(CARVING_Plan!J61&lt;&gt;"","CARVING",IF(SPM_Plan!J61&lt;&gt;"","SPM","VTL")))))))</f>
        <v>QC</v>
      </c>
      <c r="G61" s="89" t="n">
        <f aca="false">VTL_Plan!J61</f>
        <v>46227.1805555556</v>
      </c>
      <c r="H61" s="89" t="n">
        <f aca="false">QC_Plan!M61</f>
        <v>46592.8287037037</v>
      </c>
      <c r="I61" s="90" t="n">
        <f aca="false">(IF(VTL_Plan!M61&lt;&gt;"",1,0)+IF(SPM_Plan!M61&lt;&gt;"",1,0)+IF(CARVING_Plan!M61&lt;&gt;"",1,0)+IF(EDM_Plan!M61&lt;&gt;"",1,0)+IF(ENG_Plan!M61&lt;&gt;"",1,0)+IF(VENT_Plan!M61&lt;&gt;"",1,0)+IF(FID_Plan!M61&lt;&gt;"",1,0)+IF(QC_Plan!M61&lt;&gt;"",1,0))/8</f>
        <v>1</v>
      </c>
      <c r="J61" s="91" t="n">
        <f aca="false">Job_Master!J61</f>
        <v>46622.8287037037</v>
      </c>
      <c r="K61" s="1" t="str">
        <f aca="false">IF(OR(J61="",H61=""),"Pending",IF(H61&lt;=J61,"✅ On Time","⚠ Delayed"))</f>
        <v>✅ On Time</v>
      </c>
    </row>
    <row r="62" customFormat="false" ht="15" hidden="false" customHeight="true" outlineLevel="0" collapsed="false">
      <c r="A62" s="1" t="str">
        <f aca="false">Job_Master!A62</f>
        <v>BJ-148</v>
      </c>
      <c r="B62" s="1" t="n">
        <f aca="false">Job_Master!B62</f>
        <v>9</v>
      </c>
      <c r="C62" s="1" t="str">
        <f aca="false">Job_Master!C62</f>
        <v>SEG</v>
      </c>
      <c r="D62" s="1" t="str">
        <f aca="false">Job_Master!G62</f>
        <v>Low</v>
      </c>
      <c r="E62" s="1" t="str">
        <f aca="false">Job_Master!I62</f>
        <v>Released</v>
      </c>
      <c r="F62" s="1" t="str">
        <f aca="false">IF(QC_Plan!J62&lt;&gt;"","QC",IF(FID_Plan!J62&lt;&gt;"","FID",IF(VENT_Plan!J62&lt;&gt;"","VENT",IF(ENG_Plan!J62&lt;&gt;"","ENG",IF(EDM_Plan!J62&lt;&gt;"","EDM",IF(CARVING_Plan!J62&lt;&gt;"","CARVING",IF(SPM_Plan!J62&lt;&gt;"","SPM","VTL")))))))</f>
        <v>QC</v>
      </c>
      <c r="G62" s="89" t="n">
        <f aca="false">VTL_Plan!J62</f>
        <v>46185.0509259259</v>
      </c>
      <c r="H62" s="89" t="n">
        <f aca="false">QC_Plan!M62</f>
        <v>46593.3842592593</v>
      </c>
      <c r="I62" s="90" t="n">
        <f aca="false">(IF(VTL_Plan!M62&lt;&gt;"",1,0)+IF(SPM_Plan!M62&lt;&gt;"",1,0)+IF(CARVING_Plan!M62&lt;&gt;"",1,0)+IF(EDM_Plan!M62&lt;&gt;"",1,0)+IF(ENG_Plan!M62&lt;&gt;"",1,0)+IF(VENT_Plan!M62&lt;&gt;"",1,0)+IF(FID_Plan!M62&lt;&gt;"",1,0)+IF(QC_Plan!M62&lt;&gt;"",1,0))/8</f>
        <v>1</v>
      </c>
      <c r="J62" s="91" t="n">
        <f aca="false">Job_Master!J62</f>
        <v>46623.3842592593</v>
      </c>
      <c r="K62" s="1" t="str">
        <f aca="false">IF(OR(J62="",H62=""),"Pending",IF(H62&lt;=J62,"✅ On Time","⚠ Delayed"))</f>
        <v>✅ On Time</v>
      </c>
    </row>
    <row r="63" customFormat="false" ht="15" hidden="false" customHeight="true" outlineLevel="0" collapsed="false">
      <c r="A63" s="1" t="str">
        <f aca="false">Job_Master!A63</f>
        <v>BJ-161</v>
      </c>
      <c r="B63" s="1" t="n">
        <f aca="false">Job_Master!B63</f>
        <v>30</v>
      </c>
      <c r="C63" s="1" t="str">
        <f aca="false">Job_Master!C63</f>
        <v>SEG</v>
      </c>
      <c r="D63" s="1" t="str">
        <f aca="false">Job_Master!G63</f>
        <v>Medium</v>
      </c>
      <c r="E63" s="1" t="str">
        <f aca="false">Job_Master!I63</f>
        <v>Released</v>
      </c>
      <c r="F63" s="1" t="str">
        <f aca="false">IF(QC_Plan!J63&lt;&gt;"","QC",IF(FID_Plan!J63&lt;&gt;"","FID",IF(VENT_Plan!J63&lt;&gt;"","VENT",IF(ENG_Plan!J63&lt;&gt;"","ENG",IF(EDM_Plan!J63&lt;&gt;"","EDM",IF(CARVING_Plan!J63&lt;&gt;"","CARVING",IF(SPM_Plan!J63&lt;&gt;"","SPM","VTL")))))))</f>
        <v>QC</v>
      </c>
      <c r="G63" s="89" t="n">
        <f aca="false">VTL_Plan!J63</f>
        <v>46189.587962963</v>
      </c>
      <c r="H63" s="89" t="n">
        <f aca="false">QC_Plan!M63</f>
        <v>46600.3287037037</v>
      </c>
      <c r="I63" s="90" t="n">
        <f aca="false">(IF(VTL_Plan!M63&lt;&gt;"",1,0)+IF(SPM_Plan!M63&lt;&gt;"",1,0)+IF(CARVING_Plan!M63&lt;&gt;"",1,0)+IF(EDM_Plan!M63&lt;&gt;"",1,0)+IF(ENG_Plan!M63&lt;&gt;"",1,0)+IF(VENT_Plan!M63&lt;&gt;"",1,0)+IF(FID_Plan!M63&lt;&gt;"",1,0)+IF(QC_Plan!M63&lt;&gt;"",1,0))/8</f>
        <v>1</v>
      </c>
      <c r="J63" s="91" t="n">
        <f aca="false">Job_Master!J63</f>
        <v>46630.3287037037</v>
      </c>
      <c r="K63" s="1" t="str">
        <f aca="false">IF(OR(J63="",H63=""),"Pending",IF(H63&lt;=J63,"✅ On Time","⚠ Delayed"))</f>
        <v>✅ On Time</v>
      </c>
    </row>
    <row r="64" customFormat="false" ht="15" hidden="false" customHeight="true" outlineLevel="0" collapsed="false">
      <c r="A64" s="1" t="str">
        <f aca="false">Job_Master!A64</f>
        <v>BJ-149</v>
      </c>
      <c r="B64" s="1" t="n">
        <f aca="false">Job_Master!B64</f>
        <v>9</v>
      </c>
      <c r="C64" s="1" t="str">
        <f aca="false">Job_Master!C64</f>
        <v>2P</v>
      </c>
      <c r="D64" s="1" t="str">
        <f aca="false">Job_Master!G64</f>
        <v>Low</v>
      </c>
      <c r="E64" s="1" t="str">
        <f aca="false">Job_Master!I64</f>
        <v>Released</v>
      </c>
      <c r="F64" s="1" t="str">
        <f aca="false">IF(QC_Plan!J64&lt;&gt;"","QC",IF(FID_Plan!J64&lt;&gt;"","FID",IF(VENT_Plan!J64&lt;&gt;"","VENT",IF(ENG_Plan!J64&lt;&gt;"","ENG",IF(EDM_Plan!J64&lt;&gt;"","EDM",IF(CARVING_Plan!J64&lt;&gt;"","CARVING",IF(SPM_Plan!J64&lt;&gt;"","SPM","VTL")))))))</f>
        <v>QC</v>
      </c>
      <c r="G64" s="89" t="n">
        <f aca="false">VTL_Plan!J64</f>
        <v>46187.5509259259</v>
      </c>
      <c r="H64" s="89" t="n">
        <f aca="false">QC_Plan!M64</f>
        <v>46600.7916666667</v>
      </c>
      <c r="I64" s="90" t="n">
        <f aca="false">(IF(VTL_Plan!M64&lt;&gt;"",1,0)+IF(SPM_Plan!M64&lt;&gt;"",1,0)+IF(CARVING_Plan!M64&lt;&gt;"",1,0)+IF(EDM_Plan!M64&lt;&gt;"",1,0)+IF(ENG_Plan!M64&lt;&gt;"",1,0)+IF(VENT_Plan!M64&lt;&gt;"",1,0)+IF(FID_Plan!M64&lt;&gt;"",1,0)+IF(QC_Plan!M64&lt;&gt;"",1,0))/8</f>
        <v>1</v>
      </c>
      <c r="J64" s="91" t="n">
        <f aca="false">Job_Master!J64</f>
        <v>46630.7916666667</v>
      </c>
      <c r="K64" s="1" t="str">
        <f aca="false">IF(OR(J64="",H64=""),"Pending",IF(H64&lt;=J64,"✅ On Time","⚠ Delayed"))</f>
        <v>✅ On Time</v>
      </c>
    </row>
    <row r="65" customFormat="false" ht="15" hidden="false" customHeight="true" outlineLevel="0" collapsed="false">
      <c r="A65" s="1" t="str">
        <f aca="false">Job_Master!A65</f>
        <v>BJ-163</v>
      </c>
      <c r="B65" s="1" t="n">
        <f aca="false">Job_Master!B65</f>
        <v>70</v>
      </c>
      <c r="C65" s="1" t="str">
        <f aca="false">Job_Master!C65</f>
        <v>SOL</v>
      </c>
      <c r="D65" s="1" t="str">
        <f aca="false">Job_Master!G65</f>
        <v>High</v>
      </c>
      <c r="E65" s="1" t="str">
        <f aca="false">Job_Master!I65</f>
        <v>On Hold</v>
      </c>
      <c r="F65" s="1" t="str">
        <f aca="false">IF(QC_Plan!J65&lt;&gt;"","QC",IF(FID_Plan!J65&lt;&gt;"","FID",IF(VENT_Plan!J65&lt;&gt;"","VENT",IF(ENG_Plan!J65&lt;&gt;"","ENG",IF(EDM_Plan!J65&lt;&gt;"","EDM",IF(CARVING_Plan!J65&lt;&gt;"","CARVING",IF(SPM_Plan!J65&lt;&gt;"","SPM","VTL")))))))</f>
        <v>QC</v>
      </c>
      <c r="G65" s="89" t="n">
        <f aca="false">VTL_Plan!J65</f>
        <v>46232.1805555556</v>
      </c>
      <c r="H65" s="89" t="n">
        <f aca="false">QC_Plan!M65</f>
        <v>46636.2414021164</v>
      </c>
      <c r="I65" s="90" t="n">
        <f aca="false">(IF(VTL_Plan!M65&lt;&gt;"",1,0)+IF(SPM_Plan!M65&lt;&gt;"",1,0)+IF(CARVING_Plan!M65&lt;&gt;"",1,0)+IF(EDM_Plan!M65&lt;&gt;"",1,0)+IF(ENG_Plan!M65&lt;&gt;"",1,0)+IF(VENT_Plan!M65&lt;&gt;"",1,0)+IF(FID_Plan!M65&lt;&gt;"",1,0)+IF(QC_Plan!M65&lt;&gt;"",1,0))/8</f>
        <v>1</v>
      </c>
      <c r="J65" s="91" t="n">
        <f aca="false">Job_Master!J65</f>
        <v>46666.2414021164</v>
      </c>
      <c r="K65" s="1" t="str">
        <f aca="false">IF(OR(J65="",H65=""),"Pending",IF(H65&lt;=J65,"✅ On Time","⚠ Delayed"))</f>
        <v>✅ On Time</v>
      </c>
    </row>
    <row r="66" customFormat="false" ht="15" hidden="false" customHeight="true" outlineLevel="0" collapsed="false">
      <c r="A66" s="1" t="str">
        <f aca="false">Job_Master!A66</f>
        <v>BJ-164</v>
      </c>
      <c r="B66" s="1" t="n">
        <f aca="false">Job_Master!B66</f>
        <v>42</v>
      </c>
      <c r="C66" s="1" t="str">
        <f aca="false">Job_Master!C66</f>
        <v>SOL</v>
      </c>
      <c r="D66" s="1" t="str">
        <f aca="false">Job_Master!G66</f>
        <v>Medium</v>
      </c>
      <c r="E66" s="1" t="str">
        <f aca="false">Job_Master!I66</f>
        <v>Released</v>
      </c>
      <c r="F66" s="1" t="str">
        <f aca="false">IF(QC_Plan!J66&lt;&gt;"","QC",IF(FID_Plan!J66&lt;&gt;"","FID",IF(VENT_Plan!J66&lt;&gt;"","VENT",IF(ENG_Plan!J66&lt;&gt;"","ENG",IF(EDM_Plan!J66&lt;&gt;"","EDM",IF(CARVING_Plan!J66&lt;&gt;"","CARVING",IF(SPM_Plan!J66&lt;&gt;"","SPM","VTL")))))))</f>
        <v>QC</v>
      </c>
      <c r="G66" s="89" t="n">
        <f aca="false">VTL_Plan!J66</f>
        <v>46197.9212962963</v>
      </c>
      <c r="H66" s="89" t="n">
        <f aca="false">QC_Plan!M66</f>
        <v>46642.3525132275</v>
      </c>
      <c r="I66" s="90" t="n">
        <f aca="false">(IF(VTL_Plan!M66&lt;&gt;"",1,0)+IF(SPM_Plan!M66&lt;&gt;"",1,0)+IF(CARVING_Plan!M66&lt;&gt;"",1,0)+IF(EDM_Plan!M66&lt;&gt;"",1,0)+IF(ENG_Plan!M66&lt;&gt;"",1,0)+IF(VENT_Plan!M66&lt;&gt;"",1,0)+IF(FID_Plan!M66&lt;&gt;"",1,0)+IF(QC_Plan!M66&lt;&gt;"",1,0))/8</f>
        <v>1</v>
      </c>
      <c r="J66" s="91" t="n">
        <f aca="false">Job_Master!J66</f>
        <v>46672.3525132275</v>
      </c>
      <c r="K66" s="1" t="str">
        <f aca="false">IF(OR(J66="",H66=""),"Pending",IF(H66&lt;=J66,"✅ On Time","⚠ Delayed"))</f>
        <v>✅ On Time</v>
      </c>
    </row>
    <row r="67" customFormat="false" ht="15" hidden="false" customHeight="true" outlineLevel="0" collapsed="false">
      <c r="A67" s="1" t="str">
        <f aca="false">Job_Master!A67</f>
        <v>BJ-168</v>
      </c>
      <c r="B67" s="1" t="n">
        <f aca="false">Job_Master!B67</f>
        <v>20</v>
      </c>
      <c r="C67" s="1" t="str">
        <f aca="false">Job_Master!C67</f>
        <v>2P</v>
      </c>
      <c r="D67" s="1" t="str">
        <f aca="false">Job_Master!G67</f>
        <v>Low</v>
      </c>
      <c r="E67" s="1" t="str">
        <f aca="false">Job_Master!I67</f>
        <v>Released</v>
      </c>
      <c r="F67" s="1" t="str">
        <f aca="false">IF(QC_Plan!J67&lt;&gt;"","QC",IF(FID_Plan!J67&lt;&gt;"","FID",IF(VENT_Plan!J67&lt;&gt;"","VENT",IF(ENG_Plan!J67&lt;&gt;"","ENG",IF(EDM_Plan!J67&lt;&gt;"","EDM",IF(CARVING_Plan!J67&lt;&gt;"","CARVING",IF(SPM_Plan!J67&lt;&gt;"","SPM","VTL")))))))</f>
        <v>QC</v>
      </c>
      <c r="G67" s="89" t="n">
        <f aca="false">VTL_Plan!J67</f>
        <v>46188.3842592593</v>
      </c>
      <c r="H67" s="89" t="n">
        <f aca="false">QC_Plan!M67</f>
        <v>46643.4636243386</v>
      </c>
      <c r="I67" s="90" t="n">
        <f aca="false">(IF(VTL_Plan!M67&lt;&gt;"",1,0)+IF(SPM_Plan!M67&lt;&gt;"",1,0)+IF(CARVING_Plan!M67&lt;&gt;"",1,0)+IF(EDM_Plan!M67&lt;&gt;"",1,0)+IF(ENG_Plan!M67&lt;&gt;"",1,0)+IF(VENT_Plan!M67&lt;&gt;"",1,0)+IF(FID_Plan!M67&lt;&gt;"",1,0)+IF(QC_Plan!M67&lt;&gt;"",1,0))/8</f>
        <v>1</v>
      </c>
      <c r="J67" s="91" t="n">
        <f aca="false">Job_Master!J67</f>
        <v>46673.4636243386</v>
      </c>
      <c r="K67" s="1" t="str">
        <f aca="false">IF(OR(J67="",H67=""),"Pending",IF(H67&lt;=J67,"✅ On Time","⚠ Delayed"))</f>
        <v>✅ On Time</v>
      </c>
    </row>
    <row r="68" customFormat="false" ht="15" hidden="false" customHeight="true" outlineLevel="0" collapsed="false">
      <c r="A68" s="1" t="str">
        <f aca="false">Job_Master!A68</f>
        <v>BJ-155</v>
      </c>
      <c r="B68" s="1" t="n">
        <f aca="false">Job_Master!B68</f>
        <v>17</v>
      </c>
      <c r="C68" s="1" t="str">
        <f aca="false">Job_Master!C68</f>
        <v>RW</v>
      </c>
      <c r="D68" s="1" t="str">
        <f aca="false">Job_Master!G68</f>
        <v>Low</v>
      </c>
      <c r="E68" s="1" t="str">
        <f aca="false">Job_Master!I68</f>
        <v>Cancelled</v>
      </c>
      <c r="F68" s="1" t="str">
        <f aca="false">IF(QC_Plan!J68&lt;&gt;"","QC",IF(FID_Plan!J68&lt;&gt;"","FID",IF(VENT_Plan!J68&lt;&gt;"","VENT",IF(ENG_Plan!J68&lt;&gt;"","ENG",IF(EDM_Plan!J68&lt;&gt;"","EDM",IF(CARVING_Plan!J68&lt;&gt;"","CARVING",IF(SPM_Plan!J68&lt;&gt;"","SPM","VTL")))))))</f>
        <v>QC</v>
      </c>
      <c r="G68" s="89" t="n">
        <f aca="false">VTL_Plan!J68</f>
        <v>46190.2361111111</v>
      </c>
      <c r="H68" s="89" t="n">
        <f aca="false">QC_Plan!M68</f>
        <v>46644.4821428571</v>
      </c>
      <c r="I68" s="90" t="n">
        <f aca="false">(IF(VTL_Plan!M68&lt;&gt;"",1,0)+IF(SPM_Plan!M68&lt;&gt;"",1,0)+IF(CARVING_Plan!M68&lt;&gt;"",1,0)+IF(EDM_Plan!M68&lt;&gt;"",1,0)+IF(ENG_Plan!M68&lt;&gt;"",1,0)+IF(VENT_Plan!M68&lt;&gt;"",1,0)+IF(FID_Plan!M68&lt;&gt;"",1,0)+IF(QC_Plan!M68&lt;&gt;"",1,0))/8</f>
        <v>1</v>
      </c>
      <c r="J68" s="91" t="n">
        <f aca="false">Job_Master!J68</f>
        <v>46674.4821428571</v>
      </c>
      <c r="K68" s="1" t="str">
        <f aca="false">IF(OR(J68="",H68=""),"Pending",IF(H68&lt;=J68,"✅ On Time","⚠ Delayed"))</f>
        <v>✅ On Time</v>
      </c>
    </row>
    <row r="69" customFormat="false" ht="15" hidden="false" customHeight="true" outlineLevel="0" collapsed="false">
      <c r="A69" s="1" t="str">
        <f aca="false">Job_Master!A69</f>
        <v>BJ-167</v>
      </c>
      <c r="B69" s="1" t="n">
        <f aca="false">Job_Master!B69</f>
        <v>54</v>
      </c>
      <c r="C69" s="1" t="str">
        <f aca="false">Job_Master!C69</f>
        <v>2P</v>
      </c>
      <c r="D69" s="1" t="str">
        <f aca="false">Job_Master!G69</f>
        <v>High</v>
      </c>
      <c r="E69" s="1" t="str">
        <f aca="false">Job_Master!I69</f>
        <v>Released</v>
      </c>
      <c r="F69" s="1" t="str">
        <f aca="false">IF(QC_Plan!J69&lt;&gt;"","QC",IF(FID_Plan!J69&lt;&gt;"","FID",IF(VENT_Plan!J69&lt;&gt;"","VENT",IF(ENG_Plan!J69&lt;&gt;"","ENG",IF(EDM_Plan!J69&lt;&gt;"","EDM",IF(CARVING_Plan!J69&lt;&gt;"","CARVING",IF(SPM_Plan!J69&lt;&gt;"","SPM","VTL")))))))</f>
        <v>QC</v>
      </c>
      <c r="G69" s="89" t="n">
        <f aca="false">VTL_Plan!J69</f>
        <v>46245.1435185185</v>
      </c>
      <c r="H69" s="89" t="n">
        <f aca="false">QC_Plan!M69</f>
        <v>46650.6858465608</v>
      </c>
      <c r="I69" s="90" t="n">
        <f aca="false">(IF(VTL_Plan!M69&lt;&gt;"",1,0)+IF(SPM_Plan!M69&lt;&gt;"",1,0)+IF(CARVING_Plan!M69&lt;&gt;"",1,0)+IF(EDM_Plan!M69&lt;&gt;"",1,0)+IF(ENG_Plan!M69&lt;&gt;"",1,0)+IF(VENT_Plan!M69&lt;&gt;"",1,0)+IF(FID_Plan!M69&lt;&gt;"",1,0)+IF(QC_Plan!M69&lt;&gt;"",1,0))/8</f>
        <v>1</v>
      </c>
      <c r="J69" s="91" t="n">
        <f aca="false">Job_Master!J69</f>
        <v>46680.6858465608</v>
      </c>
      <c r="K69" s="1" t="str">
        <f aca="false">IF(OR(J69="",H69=""),"Pending",IF(H69&lt;=J69,"✅ On Time","⚠ Delayed"))</f>
        <v>✅ On Time</v>
      </c>
    </row>
    <row r="70" customFormat="false" ht="15" hidden="false" customHeight="true" outlineLevel="0" collapsed="false">
      <c r="A70" s="1" t="str">
        <f aca="false">Job_Master!A70</f>
        <v>BJ-166</v>
      </c>
      <c r="B70" s="1" t="n">
        <f aca="false">Job_Master!B70</f>
        <v>50</v>
      </c>
      <c r="C70" s="1" t="str">
        <f aca="false">Job_Master!C70</f>
        <v>SOL</v>
      </c>
      <c r="D70" s="1" t="str">
        <f aca="false">Job_Master!G70</f>
        <v>High</v>
      </c>
      <c r="E70" s="1" t="str">
        <f aca="false">Job_Master!I70</f>
        <v>Released</v>
      </c>
      <c r="F70" s="1" t="str">
        <f aca="false">IF(QC_Plan!J70&lt;&gt;"","QC",IF(FID_Plan!J70&lt;&gt;"","FID",IF(VENT_Plan!J70&lt;&gt;"","VENT",IF(ENG_Plan!J70&lt;&gt;"","ENG",IF(EDM_Plan!J70&lt;&gt;"","EDM",IF(CARVING_Plan!J70&lt;&gt;"","CARVING",IF(SPM_Plan!J70&lt;&gt;"","SPM","VTL")))))))</f>
        <v>QC</v>
      </c>
      <c r="G70" s="89" t="n">
        <f aca="false">VTL_Plan!J70</f>
        <v>46250.1435185185</v>
      </c>
      <c r="H70" s="89" t="n">
        <f aca="false">QC_Plan!M70</f>
        <v>46663.4966931217</v>
      </c>
      <c r="I70" s="90" t="n">
        <f aca="false">(IF(VTL_Plan!M70&lt;&gt;"",1,0)+IF(SPM_Plan!M70&lt;&gt;"",1,0)+IF(CARVING_Plan!M70&lt;&gt;"",1,0)+IF(EDM_Plan!M70&lt;&gt;"",1,0)+IF(ENG_Plan!M70&lt;&gt;"",1,0)+IF(VENT_Plan!M70&lt;&gt;"",1,0)+IF(FID_Plan!M70&lt;&gt;"",1,0)+IF(QC_Plan!M70&lt;&gt;"",1,0))/8</f>
        <v>1</v>
      </c>
      <c r="J70" s="91" t="n">
        <f aca="false">Job_Master!J70</f>
        <v>46693.4966931217</v>
      </c>
      <c r="K70" s="1" t="str">
        <f aca="false">IF(OR(J70="",H70=""),"Pending",IF(H70&lt;=J70,"✅ On Time","⚠ Delayed"))</f>
        <v>✅ On Time</v>
      </c>
    </row>
    <row r="71" customFormat="false" ht="15" hidden="false" customHeight="true" outlineLevel="0" collapsed="false">
      <c r="A71" s="1" t="str">
        <f aca="false">Job_Master!A71</f>
        <v>BJ-162</v>
      </c>
      <c r="B71" s="1" t="n">
        <f aca="false">Job_Master!B71</f>
        <v>17</v>
      </c>
      <c r="C71" s="1" t="str">
        <f aca="false">Job_Master!C71</f>
        <v>SOL</v>
      </c>
      <c r="D71" s="1" t="str">
        <f aca="false">Job_Master!G71</f>
        <v>Low</v>
      </c>
      <c r="E71" s="1" t="str">
        <f aca="false">Job_Master!I71</f>
        <v>On Hold</v>
      </c>
      <c r="F71" s="1" t="str">
        <f aca="false">IF(QC_Plan!J71&lt;&gt;"","QC",IF(FID_Plan!J71&lt;&gt;"","FID",IF(VENT_Plan!J71&lt;&gt;"","VENT",IF(ENG_Plan!J71&lt;&gt;"","ENG",IF(EDM_Plan!J71&lt;&gt;"","EDM",IF(CARVING_Plan!J71&lt;&gt;"","CARVING",IF(SPM_Plan!J71&lt;&gt;"","SPM","VTL")))))))</f>
        <v>QC</v>
      </c>
      <c r="G71" s="89" t="n">
        <f aca="false">VTL_Plan!J71</f>
        <v>46191.8101851852</v>
      </c>
      <c r="H71" s="89" t="n">
        <f aca="false">QC_Plan!M71</f>
        <v>46666.2744708995</v>
      </c>
      <c r="I71" s="90" t="n">
        <f aca="false">(IF(VTL_Plan!M71&lt;&gt;"",1,0)+IF(SPM_Plan!M71&lt;&gt;"",1,0)+IF(CARVING_Plan!M71&lt;&gt;"",1,0)+IF(EDM_Plan!M71&lt;&gt;"",1,0)+IF(ENG_Plan!M71&lt;&gt;"",1,0)+IF(VENT_Plan!M71&lt;&gt;"",1,0)+IF(FID_Plan!M71&lt;&gt;"",1,0)+IF(QC_Plan!M71&lt;&gt;"",1,0))/8</f>
        <v>1</v>
      </c>
      <c r="J71" s="91" t="n">
        <f aca="false">Job_Master!J71</f>
        <v>46696.2744708995</v>
      </c>
      <c r="K71" s="1" t="str">
        <f aca="false">IF(OR(J71="",H71=""),"Pending",IF(H71&lt;=J71,"✅ On Time","⚠ Delayed"))</f>
        <v>✅ On Time</v>
      </c>
    </row>
    <row r="72" customFormat="false" ht="15" hidden="false" customHeight="true" outlineLevel="0" collapsed="false">
      <c r="A72" s="1" t="str">
        <f aca="false">Job_Master!A72</f>
        <v>BJ-165</v>
      </c>
      <c r="B72" s="1" t="n">
        <f aca="false">Job_Master!B72</f>
        <v>17</v>
      </c>
      <c r="C72" s="1" t="str">
        <f aca="false">Job_Master!C72</f>
        <v>2P</v>
      </c>
      <c r="D72" s="1" t="str">
        <f aca="false">Job_Master!G72</f>
        <v>Low</v>
      </c>
      <c r="E72" s="1" t="str">
        <f aca="false">Job_Master!I72</f>
        <v>Released</v>
      </c>
      <c r="F72" s="1" t="str">
        <f aca="false">IF(QC_Plan!J72&lt;&gt;"","QC",IF(FID_Plan!J72&lt;&gt;"","FID",IF(VENT_Plan!J72&lt;&gt;"","VENT",IF(ENG_Plan!J72&lt;&gt;"","ENG",IF(EDM_Plan!J72&lt;&gt;"","EDM",IF(CARVING_Plan!J72&lt;&gt;"","CARVING",IF(SPM_Plan!J72&lt;&gt;"","SPM","VTL")))))))</f>
        <v>QC</v>
      </c>
      <c r="G72" s="89" t="n">
        <f aca="false">VTL_Plan!J72</f>
        <v>46194.9583333333</v>
      </c>
      <c r="H72" s="89" t="n">
        <f aca="false">QC_Plan!M72</f>
        <v>46667.4781746032</v>
      </c>
      <c r="I72" s="90" t="n">
        <f aca="false">(IF(VTL_Plan!M72&lt;&gt;"",1,0)+IF(SPM_Plan!M72&lt;&gt;"",1,0)+IF(CARVING_Plan!M72&lt;&gt;"",1,0)+IF(EDM_Plan!M72&lt;&gt;"",1,0)+IF(ENG_Plan!M72&lt;&gt;"",1,0)+IF(VENT_Plan!M72&lt;&gt;"",1,0)+IF(FID_Plan!M72&lt;&gt;"",1,0)+IF(QC_Plan!M72&lt;&gt;"",1,0))/8</f>
        <v>1</v>
      </c>
      <c r="J72" s="91" t="n">
        <f aca="false">Job_Master!J72</f>
        <v>46697.4781746032</v>
      </c>
      <c r="K72" s="1" t="str">
        <f aca="false">IF(OR(J72="",H72=""),"Pending",IF(H72&lt;=J72,"✅ On Time","⚠ Delayed"))</f>
        <v>✅ On Time</v>
      </c>
    </row>
    <row r="73" customFormat="false" ht="15" hidden="false" customHeight="true" outlineLevel="0" collapsed="false">
      <c r="A73" s="1" t="str">
        <f aca="false">Job_Master!A73</f>
        <v>BJ-169</v>
      </c>
      <c r="B73" s="1" t="n">
        <f aca="false">Job_Master!B73</f>
        <v>17</v>
      </c>
      <c r="C73" s="1" t="str">
        <f aca="false">Job_Master!C73</f>
        <v>SEG</v>
      </c>
      <c r="D73" s="1" t="str">
        <f aca="false">Job_Master!G73</f>
        <v>Low</v>
      </c>
      <c r="E73" s="1" t="str">
        <f aca="false">Job_Master!I73</f>
        <v>Released</v>
      </c>
      <c r="F73" s="1" t="str">
        <f aca="false">IF(QC_Plan!J73&lt;&gt;"","QC",IF(FID_Plan!J73&lt;&gt;"","FID",IF(VENT_Plan!J73&lt;&gt;"","VENT",IF(ENG_Plan!J73&lt;&gt;"","ENG",IF(EDM_Plan!J73&lt;&gt;"","EDM",IF(CARVING_Plan!J73&lt;&gt;"","CARVING",IF(SPM_Plan!J73&lt;&gt;"","SPM","VTL")))))))</f>
        <v>QC</v>
      </c>
      <c r="G73" s="89" t="n">
        <f aca="false">VTL_Plan!J73</f>
        <v>46196.5324074074</v>
      </c>
      <c r="H73" s="89" t="n">
        <f aca="false">QC_Plan!M73</f>
        <v>46670.5337301587</v>
      </c>
      <c r="I73" s="90" t="n">
        <f aca="false">(IF(VTL_Plan!M73&lt;&gt;"",1,0)+IF(SPM_Plan!M73&lt;&gt;"",1,0)+IF(CARVING_Plan!M73&lt;&gt;"",1,0)+IF(EDM_Plan!M73&lt;&gt;"",1,0)+IF(ENG_Plan!M73&lt;&gt;"",1,0)+IF(VENT_Plan!M73&lt;&gt;"",1,0)+IF(FID_Plan!M73&lt;&gt;"",1,0)+IF(QC_Plan!M73&lt;&gt;"",1,0))/8</f>
        <v>1</v>
      </c>
      <c r="J73" s="91" t="n">
        <f aca="false">Job_Master!J73</f>
        <v>46700.5337301587</v>
      </c>
      <c r="K73" s="1" t="str">
        <f aca="false">IF(OR(J73="",H73=""),"Pending",IF(H73&lt;=J73,"✅ On Time","⚠ Delayed"))</f>
        <v>✅ On Time</v>
      </c>
    </row>
  </sheetData>
  <mergeCells count="1">
    <mergeCell ref="A1:L1"/>
  </mergeCells>
  <conditionalFormatting sqref="K4:K74">
    <cfRule type="containsText" priority="2" operator="containsText" aboveAverage="0" equalAverage="0" bottom="0" percent="0" rank="0" text="On Time" dxfId="5">
      <formula>NOT(ISERROR(SEARCH("On Time",K4)))</formula>
    </cfRule>
    <cfRule type="containsText" priority="3" operator="containsText" aboveAverage="0" equalAverage="0" bottom="0" percent="0" rank="0" text="Delayed" dxfId="7">
      <formula>NOT(ISERROR(SEARCH("Delayed",K4)))</formula>
    </cfRule>
    <cfRule type="containsText" priority="4" operator="containsText" aboveAverage="0" equalAverage="0" bottom="0" percent="0" rank="0" text="Pending" dxfId="6">
      <formula>NOT(ISERROR(SEARCH("Pending",K4)))</formula>
    </cfRule>
  </conditionalFormatting>
  <conditionalFormatting sqref="D4:D74">
    <cfRule type="expression" priority="5" aboveAverage="0" equalAverage="0" bottom="0" percent="0" rank="0" text="" dxfId="0">
      <formula>$D4="High"</formula>
    </cfRule>
    <cfRule type="expression" priority="6" aboveAverage="0" equalAverage="0" bottom="0" percent="0" rank="0" text="" dxfId="1">
      <formula>$D4="Medium"</formula>
    </cfRule>
    <cfRule type="expression" priority="7" aboveAverage="0" equalAverage="0" bottom="0" percent="0" rank="0" text="" dxfId="2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7" min="5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0"/>
  </cols>
  <sheetData>
    <row r="1" customFormat="false" ht="25.5" hidden="false" customHeight="true" outlineLevel="0" collapsed="false">
      <c r="A1" s="92" t="s">
        <v>301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customFormat="false" ht="27.75" hidden="false" customHeight="true" outlineLevel="0" collapsed="false">
      <c r="A2" s="93" t="s">
        <v>137</v>
      </c>
      <c r="B2" s="93" t="s">
        <v>11</v>
      </c>
      <c r="C2" s="93" t="s">
        <v>10</v>
      </c>
      <c r="D2" s="93" t="s">
        <v>141</v>
      </c>
      <c r="E2" s="93" t="s">
        <v>144</v>
      </c>
      <c r="F2" s="93" t="s">
        <v>302</v>
      </c>
      <c r="G2" s="93" t="s">
        <v>143</v>
      </c>
      <c r="H2" s="93" t="s">
        <v>303</v>
      </c>
      <c r="I2" s="93" t="s">
        <v>304</v>
      </c>
      <c r="J2" s="93" t="s">
        <v>305</v>
      </c>
      <c r="K2" s="93" t="s">
        <v>306</v>
      </c>
      <c r="L2" s="93" t="s">
        <v>300</v>
      </c>
    </row>
    <row r="3" customFormat="false" ht="15" hidden="false" customHeight="true" outlineLevel="0" collapsed="false">
      <c r="A3" s="1" t="str">
        <f aca="false">Job_Master!A4</f>
        <v>BJ-104</v>
      </c>
      <c r="B3" s="1" t="n">
        <f aca="false">Job_Master!B4</f>
        <v>28</v>
      </c>
      <c r="C3" s="1" t="str">
        <f aca="false">Job_Master!C4</f>
        <v>2P</v>
      </c>
      <c r="D3" s="1" t="str">
        <f aca="false">Job_Master!G4</f>
        <v>Medium</v>
      </c>
      <c r="E3" s="1" t="str">
        <f aca="false">Job_Master!K4</f>
        <v>Alpha Corp</v>
      </c>
      <c r="F3" s="91" t="n">
        <f aca="false">Job_Master!F4</f>
        <v>46132.3392857143</v>
      </c>
      <c r="G3" s="91" t="n">
        <f aca="false">Job_Master!J4</f>
        <v>46162.3392857143</v>
      </c>
      <c r="H3" s="94" t="n">
        <f aca="false">IF(OR(F3="",G3=""),"",(G3-F3))</f>
        <v>30</v>
      </c>
      <c r="I3" s="1" t="str">
        <f aca="false">IF(OR(F3="",G3=""),"⚪ Pending",IF(H3&lt;0,"🔴 OVERDUE",IF(H3&lt;7,"🟡 AT RISK","🟢 ON TRACK")))</f>
        <v>🟢 ON TRACK</v>
      </c>
      <c r="J3" s="95" t="s">
        <v>307</v>
      </c>
      <c r="K3" s="96"/>
    </row>
    <row r="4" customFormat="false" ht="15" hidden="false" customHeight="true" outlineLevel="0" collapsed="false">
      <c r="A4" s="1" t="str">
        <f aca="false">Job_Master!A5</f>
        <v>BJ-101</v>
      </c>
      <c r="B4" s="1" t="n">
        <f aca="false">Job_Master!B5</f>
        <v>42</v>
      </c>
      <c r="C4" s="1" t="str">
        <f aca="false">Job_Master!C5</f>
        <v>SOL</v>
      </c>
      <c r="D4" s="1" t="str">
        <f aca="false">Job_Master!G5</f>
        <v>Medium</v>
      </c>
      <c r="E4" s="1" t="str">
        <f aca="false">Job_Master!K5</f>
        <v>Beta Ltd</v>
      </c>
      <c r="F4" s="91" t="n">
        <f aca="false">Job_Master!F5</f>
        <v>46170.3683862434</v>
      </c>
      <c r="G4" s="91" t="n">
        <f aca="false">Job_Master!J5</f>
        <v>46200.3683862434</v>
      </c>
      <c r="H4" s="94" t="n">
        <f aca="false">IF(OR(F4="",G4=""),"",(G4-F4))</f>
        <v>30</v>
      </c>
      <c r="I4" s="1" t="str">
        <f aca="false">IF(OR(F4="",G4=""),"⚪ Pending",IF(H4&lt;0,"🔴 OVERDUE",IF(H4&lt;7,"🟡 AT RISK","🟢 ON TRACK")))</f>
        <v>🟢 ON TRACK</v>
      </c>
      <c r="J4" s="95" t="s">
        <v>307</v>
      </c>
      <c r="K4" s="96"/>
    </row>
    <row r="5" customFormat="false" ht="15" hidden="false" customHeight="true" outlineLevel="0" collapsed="false">
      <c r="A5" s="1" t="str">
        <f aca="false">Job_Master!A6</f>
        <v>BJ-105</v>
      </c>
      <c r="B5" s="1" t="n">
        <f aca="false">Job_Master!B6</f>
        <v>28</v>
      </c>
      <c r="C5" s="1" t="str">
        <f aca="false">Job_Master!C6</f>
        <v>RW</v>
      </c>
      <c r="D5" s="1" t="str">
        <f aca="false">Job_Master!G6</f>
        <v>Medium</v>
      </c>
      <c r="E5" s="1" t="str">
        <f aca="false">Job_Master!K6</f>
        <v>Alpha Corp</v>
      </c>
      <c r="F5" s="91" t="n">
        <f aca="false">Job_Master!F6</f>
        <v>46173.5165343915</v>
      </c>
      <c r="G5" s="91" t="n">
        <f aca="false">Job_Master!J6</f>
        <v>46203.5165343915</v>
      </c>
      <c r="H5" s="94" t="n">
        <f aca="false">IF(OR(F5="",G5=""),"",(G5-F5))</f>
        <v>30</v>
      </c>
      <c r="I5" s="1" t="str">
        <f aca="false">IF(OR(F5="",G5=""),"⚪ Pending",IF(H5&lt;0,"🔴 OVERDUE",IF(H5&lt;7,"🟡 AT RISK","🟢 ON TRACK")))</f>
        <v>🟢 ON TRACK</v>
      </c>
      <c r="J5" s="95" t="s">
        <v>307</v>
      </c>
      <c r="K5" s="96"/>
    </row>
    <row r="6" customFormat="false" ht="15" hidden="false" customHeight="true" outlineLevel="0" collapsed="false">
      <c r="A6" s="1" t="str">
        <f aca="false">Job_Master!A7</f>
        <v>BJ-100</v>
      </c>
      <c r="B6" s="1" t="n">
        <f aca="false">Job_Master!B7</f>
        <v>25</v>
      </c>
      <c r="C6" s="1" t="str">
        <f aca="false">Job_Master!C7</f>
        <v>SEG</v>
      </c>
      <c r="D6" s="1" t="str">
        <f aca="false">Job_Master!G7</f>
        <v>Low</v>
      </c>
      <c r="E6" s="1" t="str">
        <f aca="false">Job_Master!K7</f>
        <v>Gamma Inc</v>
      </c>
      <c r="F6" s="91" t="n">
        <f aca="false">Job_Master!F7</f>
        <v>46184.5185185185</v>
      </c>
      <c r="G6" s="91" t="n">
        <f aca="false">Job_Master!J7</f>
        <v>46214.5185185185</v>
      </c>
      <c r="H6" s="94" t="n">
        <f aca="false">IF(OR(F6="",G6=""),"",(G6-F6))</f>
        <v>30</v>
      </c>
      <c r="I6" s="1" t="str">
        <f aca="false">IF(OR(F6="",G6=""),"⚪ Pending",IF(H6&lt;0,"🔴 OVERDUE",IF(H6&lt;7,"🟡 AT RISK","🟢 ON TRACK")))</f>
        <v>🟢 ON TRACK</v>
      </c>
      <c r="J6" s="95" t="s">
        <v>307</v>
      </c>
      <c r="K6" s="96"/>
    </row>
    <row r="7" customFormat="false" ht="15" hidden="false" customHeight="true" outlineLevel="0" collapsed="false">
      <c r="A7" s="1" t="str">
        <f aca="false">Job_Master!A8</f>
        <v>BJ-102</v>
      </c>
      <c r="B7" s="1" t="n">
        <f aca="false">Job_Master!B8</f>
        <v>34</v>
      </c>
      <c r="C7" s="1" t="str">
        <f aca="false">Job_Master!C8</f>
        <v>SEG</v>
      </c>
      <c r="D7" s="1" t="str">
        <f aca="false">Job_Master!G8</f>
        <v>Medium</v>
      </c>
      <c r="E7" s="1" t="str">
        <f aca="false">Job_Master!K8</f>
        <v>Beta Ltd</v>
      </c>
      <c r="F7" s="91" t="n">
        <f aca="false">Job_Master!F8</f>
        <v>46208.9431216931</v>
      </c>
      <c r="G7" s="91" t="n">
        <f aca="false">Job_Master!J8</f>
        <v>46238.9431216931</v>
      </c>
      <c r="H7" s="94" t="n">
        <f aca="false">IF(OR(F7="",G7=""),"",(G7-F7))</f>
        <v>30</v>
      </c>
      <c r="I7" s="1" t="str">
        <f aca="false">IF(OR(F7="",G7=""),"⚪ Pending",IF(H7&lt;0,"🔴 OVERDUE",IF(H7&lt;7,"🟡 AT RISK","🟢 ON TRACK")))</f>
        <v>🟢 ON TRACK</v>
      </c>
      <c r="J7" s="95" t="s">
        <v>307</v>
      </c>
      <c r="K7" s="96"/>
    </row>
    <row r="8" customFormat="false" ht="15" hidden="false" customHeight="true" outlineLevel="0" collapsed="false">
      <c r="A8" s="1" t="str">
        <f aca="false">Job_Master!A9</f>
        <v>BJ-103</v>
      </c>
      <c r="B8" s="1" t="n">
        <f aca="false">Job_Master!B9</f>
        <v>20</v>
      </c>
      <c r="C8" s="1" t="str">
        <f aca="false">Job_Master!C9</f>
        <v>RW</v>
      </c>
      <c r="D8" s="1" t="str">
        <f aca="false">Job_Master!G9</f>
        <v>Low</v>
      </c>
      <c r="E8" s="1" t="str">
        <f aca="false">Job_Master!K9</f>
        <v>Delta Co</v>
      </c>
      <c r="F8" s="91" t="n">
        <f aca="false">Job_Master!F9</f>
        <v>46210.7023809524</v>
      </c>
      <c r="G8" s="91" t="n">
        <f aca="false">Job_Master!J9</f>
        <v>46240.7023809524</v>
      </c>
      <c r="H8" s="94" t="n">
        <f aca="false">IF(OR(F8="",G8=""),"",(G8-F8))</f>
        <v>30</v>
      </c>
      <c r="I8" s="1" t="str">
        <f aca="false">IF(OR(F8="",G8=""),"⚪ Pending",IF(H8&lt;0,"🔴 OVERDUE",IF(H8&lt;7,"🟡 AT RISK","🟢 ON TRACK")))</f>
        <v>🟢 ON TRACK</v>
      </c>
      <c r="J8" s="95" t="s">
        <v>307</v>
      </c>
      <c r="K8" s="96"/>
    </row>
    <row r="9" customFormat="false" ht="15" hidden="false" customHeight="true" outlineLevel="0" collapsed="false">
      <c r="A9" s="1" t="str">
        <f aca="false">Job_Master!A10</f>
        <v>BJ-108</v>
      </c>
      <c r="B9" s="1" t="n">
        <f aca="false">Job_Master!B10</f>
        <v>70</v>
      </c>
      <c r="C9" s="1" t="str">
        <f aca="false">Job_Master!C10</f>
        <v>RW</v>
      </c>
      <c r="D9" s="1" t="str">
        <f aca="false">Job_Master!G10</f>
        <v>High</v>
      </c>
      <c r="E9" s="1" t="str">
        <f aca="false">Job_Master!K10</f>
        <v>Alpha Corp</v>
      </c>
      <c r="F9" s="91" t="n">
        <f aca="false">Job_Master!F10</f>
        <v>46219.5912698413</v>
      </c>
      <c r="G9" s="91" t="n">
        <f aca="false">Job_Master!J10</f>
        <v>46249.5912698413</v>
      </c>
      <c r="H9" s="94" t="n">
        <f aca="false">IF(OR(F9="",G9=""),"",(G9-F9))</f>
        <v>30</v>
      </c>
      <c r="I9" s="1" t="str">
        <f aca="false">IF(OR(F9="",G9=""),"⚪ Pending",IF(H9&lt;0,"🔴 OVERDUE",IF(H9&lt;7,"🟡 AT RISK","🟢 ON TRACK")))</f>
        <v>🟢 ON TRACK</v>
      </c>
      <c r="J9" s="95" t="s">
        <v>307</v>
      </c>
      <c r="K9" s="96"/>
    </row>
    <row r="10" customFormat="false" ht="15" hidden="false" customHeight="true" outlineLevel="0" collapsed="false">
      <c r="A10" s="1" t="str">
        <f aca="false">Job_Master!A11</f>
        <v>BJ-106</v>
      </c>
      <c r="B10" s="1" t="n">
        <f aca="false">Job_Master!B11</f>
        <v>15</v>
      </c>
      <c r="C10" s="1" t="str">
        <f aca="false">Job_Master!C11</f>
        <v>RW</v>
      </c>
      <c r="D10" s="1" t="str">
        <f aca="false">Job_Master!G11</f>
        <v>Low</v>
      </c>
      <c r="E10" s="1" t="str">
        <f aca="false">Job_Master!K11</f>
        <v>Gamma Inc</v>
      </c>
      <c r="F10" s="91" t="n">
        <f aca="false">Job_Master!F11</f>
        <v>46220.2394179894</v>
      </c>
      <c r="G10" s="91" t="n">
        <f aca="false">Job_Master!J11</f>
        <v>46250.2394179894</v>
      </c>
      <c r="H10" s="94" t="n">
        <f aca="false">IF(OR(F10="",G10=""),"",(G10-F10))</f>
        <v>30</v>
      </c>
      <c r="I10" s="1" t="str">
        <f aca="false">IF(OR(F10="",G10=""),"⚪ Pending",IF(H10&lt;0,"🔴 OVERDUE",IF(H10&lt;7,"🟡 AT RISK","🟢 ON TRACK")))</f>
        <v>🟢 ON TRACK</v>
      </c>
      <c r="J10" s="95" t="s">
        <v>307</v>
      </c>
      <c r="K10" s="96"/>
    </row>
    <row r="11" customFormat="false" ht="15" hidden="false" customHeight="true" outlineLevel="0" collapsed="false">
      <c r="A11" s="1" t="str">
        <f aca="false">Job_Master!A12</f>
        <v>BJ-109</v>
      </c>
      <c r="B11" s="1" t="n">
        <f aca="false">Job_Master!B12</f>
        <v>30</v>
      </c>
      <c r="C11" s="1" t="str">
        <f aca="false">Job_Master!C12</f>
        <v>RW</v>
      </c>
      <c r="D11" s="1" t="str">
        <f aca="false">Job_Master!G12</f>
        <v>Medium</v>
      </c>
      <c r="E11" s="1" t="str">
        <f aca="false">Job_Master!K12</f>
        <v>Beta Ltd</v>
      </c>
      <c r="F11" s="91" t="n">
        <f aca="false">Job_Master!F12</f>
        <v>46223.4801587302</v>
      </c>
      <c r="G11" s="91" t="n">
        <f aca="false">Job_Master!J12</f>
        <v>46253.4801587302</v>
      </c>
      <c r="H11" s="94" t="n">
        <f aca="false">IF(OR(F11="",G11=""),"",(G11-F11))</f>
        <v>30</v>
      </c>
      <c r="I11" s="1" t="str">
        <f aca="false">IF(OR(F11="",G11=""),"⚪ Pending",IF(H11&lt;0,"🔴 OVERDUE",IF(H11&lt;7,"🟡 AT RISK","🟢 ON TRACK")))</f>
        <v>🟢 ON TRACK</v>
      </c>
      <c r="J11" s="95" t="s">
        <v>307</v>
      </c>
      <c r="K11" s="96"/>
    </row>
    <row r="12" customFormat="false" ht="15" hidden="false" customHeight="true" outlineLevel="0" collapsed="false">
      <c r="A12" s="1" t="str">
        <f aca="false">Job_Master!A13</f>
        <v>BJ-110</v>
      </c>
      <c r="B12" s="1" t="n">
        <f aca="false">Job_Master!B13</f>
        <v>17</v>
      </c>
      <c r="C12" s="1" t="str">
        <f aca="false">Job_Master!C13</f>
        <v>2P</v>
      </c>
      <c r="D12" s="1" t="str">
        <f aca="false">Job_Master!G13</f>
        <v>Low</v>
      </c>
      <c r="E12" s="1" t="str">
        <f aca="false">Job_Master!K13</f>
        <v>Delta Co</v>
      </c>
      <c r="F12" s="91" t="n">
        <f aca="false">Job_Master!F13</f>
        <v>46224.6838624339</v>
      </c>
      <c r="G12" s="91" t="n">
        <f aca="false">Job_Master!J13</f>
        <v>46254.6838624339</v>
      </c>
      <c r="H12" s="94" t="n">
        <f aca="false">IF(OR(F12="",G12=""),"",(G12-F12))</f>
        <v>30</v>
      </c>
      <c r="I12" s="1" t="str">
        <f aca="false">IF(OR(F12="",G12=""),"⚪ Pending",IF(H12&lt;0,"🔴 OVERDUE",IF(H12&lt;7,"🟡 AT RISK","🟢 ON TRACK")))</f>
        <v>🟢 ON TRACK</v>
      </c>
      <c r="J12" s="95" t="s">
        <v>307</v>
      </c>
      <c r="K12" s="96"/>
    </row>
    <row r="13" customFormat="false" ht="15" hidden="false" customHeight="true" outlineLevel="0" collapsed="false">
      <c r="A13" s="1" t="str">
        <f aca="false">Job_Master!A14</f>
        <v>BJ-111</v>
      </c>
      <c r="B13" s="1" t="n">
        <f aca="false">Job_Master!B14</f>
        <v>25</v>
      </c>
      <c r="C13" s="1" t="str">
        <f aca="false">Job_Master!C14</f>
        <v>RW</v>
      </c>
      <c r="D13" s="1" t="str">
        <f aca="false">Job_Master!G14</f>
        <v>Low</v>
      </c>
      <c r="E13" s="1" t="str">
        <f aca="false">Job_Master!K14</f>
        <v>Alpha Corp</v>
      </c>
      <c r="F13" s="91" t="n">
        <f aca="false">Job_Master!F14</f>
        <v>46226.1653439153</v>
      </c>
      <c r="G13" s="91" t="n">
        <f aca="false">Job_Master!J14</f>
        <v>46256.1653439153</v>
      </c>
      <c r="H13" s="94" t="n">
        <f aca="false">IF(OR(F13="",G13=""),"",(G13-F13))</f>
        <v>30</v>
      </c>
      <c r="I13" s="1" t="str">
        <f aca="false">IF(OR(F13="",G13=""),"⚪ Pending",IF(H13&lt;0,"🔴 OVERDUE",IF(H13&lt;7,"🟡 AT RISK","🟢 ON TRACK")))</f>
        <v>🟢 ON TRACK</v>
      </c>
      <c r="J13" s="95" t="s">
        <v>307</v>
      </c>
      <c r="K13" s="96"/>
    </row>
    <row r="14" customFormat="false" ht="15" hidden="false" customHeight="true" outlineLevel="0" collapsed="false">
      <c r="A14" s="1" t="str">
        <f aca="false">Job_Master!A15</f>
        <v>BJ-107</v>
      </c>
      <c r="B14" s="1" t="n">
        <f aca="false">Job_Master!B15</f>
        <v>20</v>
      </c>
      <c r="C14" s="1" t="str">
        <f aca="false">Job_Master!C15</f>
        <v>SEG</v>
      </c>
      <c r="D14" s="1" t="str">
        <f aca="false">Job_Master!G15</f>
        <v>Low</v>
      </c>
      <c r="E14" s="1" t="str">
        <f aca="false">Job_Master!K15</f>
        <v>Beta Ltd</v>
      </c>
      <c r="F14" s="91" t="n">
        <f aca="false">Job_Master!F15</f>
        <v>46232.2764550265</v>
      </c>
      <c r="G14" s="91" t="n">
        <f aca="false">Job_Master!J15</f>
        <v>46262.2764550265</v>
      </c>
      <c r="H14" s="94" t="n">
        <f aca="false">IF(OR(F14="",G14=""),"",(G14-F14))</f>
        <v>30</v>
      </c>
      <c r="I14" s="1" t="str">
        <f aca="false">IF(OR(F14="",G14=""),"⚪ Pending",IF(H14&lt;0,"🔴 OVERDUE",IF(H14&lt;7,"🟡 AT RISK","🟢 ON TRACK")))</f>
        <v>🟢 ON TRACK</v>
      </c>
      <c r="J14" s="95" t="s">
        <v>307</v>
      </c>
      <c r="K14" s="96"/>
    </row>
    <row r="15" customFormat="false" ht="15" hidden="false" customHeight="true" outlineLevel="0" collapsed="false">
      <c r="A15" s="1" t="str">
        <f aca="false">Job_Master!A16</f>
        <v>BJ-112</v>
      </c>
      <c r="B15" s="1" t="n">
        <f aca="false">Job_Master!B16</f>
        <v>17</v>
      </c>
      <c r="C15" s="1" t="str">
        <f aca="false">Job_Master!C16</f>
        <v>2P</v>
      </c>
      <c r="D15" s="1" t="str">
        <f aca="false">Job_Master!G16</f>
        <v>Low</v>
      </c>
      <c r="E15" s="1" t="str">
        <f aca="false">Job_Master!K16</f>
        <v>Alpha Corp</v>
      </c>
      <c r="F15" s="91" t="n">
        <f aca="false">Job_Master!F16</f>
        <v>46233.4801587302</v>
      </c>
      <c r="G15" s="91" t="n">
        <f aca="false">Job_Master!J16</f>
        <v>46263.4801587302</v>
      </c>
      <c r="H15" s="94" t="n">
        <f aca="false">IF(OR(F15="",G15=""),"",(G15-F15))</f>
        <v>30</v>
      </c>
      <c r="I15" s="1" t="str">
        <f aca="false">IF(OR(F15="",G15=""),"⚪ Pending",IF(H15&lt;0,"🔴 OVERDUE",IF(H15&lt;7,"🟡 AT RISK","🟢 ON TRACK")))</f>
        <v>🟢 ON TRACK</v>
      </c>
      <c r="J15" s="95" t="s">
        <v>307</v>
      </c>
      <c r="K15" s="96"/>
    </row>
    <row r="16" customFormat="false" ht="15" hidden="false" customHeight="true" outlineLevel="0" collapsed="false">
      <c r="A16" s="1" t="str">
        <f aca="false">Job_Master!A17</f>
        <v>BJ-114</v>
      </c>
      <c r="B16" s="1" t="n">
        <f aca="false">Job_Master!B17</f>
        <v>50</v>
      </c>
      <c r="C16" s="1" t="str">
        <f aca="false">Job_Master!C17</f>
        <v>SEG</v>
      </c>
      <c r="D16" s="1" t="str">
        <f aca="false">Job_Master!G17</f>
        <v>High</v>
      </c>
      <c r="E16" s="1" t="str">
        <f aca="false">Job_Master!K17</f>
        <v>Gamma Inc</v>
      </c>
      <c r="F16" s="91" t="n">
        <f aca="false">Job_Master!F17</f>
        <v>46287.6335978836</v>
      </c>
      <c r="G16" s="91" t="n">
        <f aca="false">Job_Master!J17</f>
        <v>46317.6335978836</v>
      </c>
      <c r="H16" s="94" t="n">
        <f aca="false">IF(OR(F16="",G16=""),"",(G16-F16))</f>
        <v>30</v>
      </c>
      <c r="I16" s="1" t="str">
        <f aca="false">IF(OR(F16="",G16=""),"⚪ Pending",IF(H16&lt;0,"🔴 OVERDUE",IF(H16&lt;7,"🟡 AT RISK","🟢 ON TRACK")))</f>
        <v>🟢 ON TRACK</v>
      </c>
      <c r="J16" s="95" t="s">
        <v>307</v>
      </c>
      <c r="K16" s="96"/>
    </row>
    <row r="17" customFormat="false" ht="15" hidden="false" customHeight="true" outlineLevel="0" collapsed="false">
      <c r="A17" s="1" t="str">
        <f aca="false">Job_Master!A18</f>
        <v>BJ-115</v>
      </c>
      <c r="B17" s="1" t="n">
        <f aca="false">Job_Master!B18</f>
        <v>46</v>
      </c>
      <c r="C17" s="1" t="str">
        <f aca="false">Job_Master!C18</f>
        <v>2P</v>
      </c>
      <c r="D17" s="1" t="str">
        <f aca="false">Job_Master!G18</f>
        <v>High</v>
      </c>
      <c r="E17" s="1" t="str">
        <f aca="false">Job_Master!K18</f>
        <v>Beta Ltd</v>
      </c>
      <c r="F17" s="91" t="n">
        <f aca="false">Job_Master!F18</f>
        <v>46290.8743386243</v>
      </c>
      <c r="G17" s="91" t="n">
        <f aca="false">Job_Master!J18</f>
        <v>46320.8743386243</v>
      </c>
      <c r="H17" s="94" t="n">
        <f aca="false">IF(OR(F17="",G17=""),"",(G17-F17))</f>
        <v>30</v>
      </c>
      <c r="I17" s="1" t="str">
        <f aca="false">IF(OR(F17="",G17=""),"⚪ Pending",IF(H17&lt;0,"🔴 OVERDUE",IF(H17&lt;7,"🟡 AT RISK","🟢 ON TRACK")))</f>
        <v>🟢 ON TRACK</v>
      </c>
      <c r="J17" s="95" t="s">
        <v>307</v>
      </c>
      <c r="K17" s="96"/>
    </row>
    <row r="18" customFormat="false" ht="15" hidden="false" customHeight="true" outlineLevel="0" collapsed="false">
      <c r="A18" s="1" t="str">
        <f aca="false">Job_Master!A19</f>
        <v>BJ-116</v>
      </c>
      <c r="B18" s="1" t="n">
        <f aca="false">Job_Master!B19</f>
        <v>54</v>
      </c>
      <c r="C18" s="1" t="str">
        <f aca="false">Job_Master!C19</f>
        <v>2P</v>
      </c>
      <c r="D18" s="1" t="str">
        <f aca="false">Job_Master!G19</f>
        <v>High</v>
      </c>
      <c r="E18" s="1" t="str">
        <f aca="false">Job_Master!K19</f>
        <v>Delta Co</v>
      </c>
      <c r="F18" s="91" t="n">
        <f aca="false">Job_Master!F19</f>
        <v>46297.078042328</v>
      </c>
      <c r="G18" s="91" t="n">
        <f aca="false">Job_Master!J19</f>
        <v>46327.078042328</v>
      </c>
      <c r="H18" s="94" t="n">
        <f aca="false">IF(OR(F18="",G18=""),"",(G18-F18))</f>
        <v>30</v>
      </c>
      <c r="I18" s="1" t="str">
        <f aca="false">IF(OR(F18="",G18=""),"⚪ Pending",IF(H18&lt;0,"🔴 OVERDUE",IF(H18&lt;7,"🟡 AT RISK","🟢 ON TRACK")))</f>
        <v>🟢 ON TRACK</v>
      </c>
      <c r="J18" s="95" t="s">
        <v>307</v>
      </c>
      <c r="K18" s="96"/>
    </row>
    <row r="19" customFormat="false" ht="15" hidden="false" customHeight="true" outlineLevel="0" collapsed="false">
      <c r="A19" s="1" t="str">
        <f aca="false">Job_Master!A20</f>
        <v>BJ-118</v>
      </c>
      <c r="B19" s="1" t="n">
        <f aca="false">Job_Master!B20</f>
        <v>28</v>
      </c>
      <c r="C19" s="1" t="str">
        <f aca="false">Job_Master!C20</f>
        <v>SOL</v>
      </c>
      <c r="D19" s="1" t="str">
        <f aca="false">Job_Master!G20</f>
        <v>Medium</v>
      </c>
      <c r="E19" s="1" t="str">
        <f aca="false">Job_Master!K20</f>
        <v>Alpha Corp</v>
      </c>
      <c r="F19" s="91" t="n">
        <f aca="false">Job_Master!F20</f>
        <v>46302.2632275132</v>
      </c>
      <c r="G19" s="91" t="n">
        <f aca="false">Job_Master!J20</f>
        <v>46332.2632275132</v>
      </c>
      <c r="H19" s="94" t="n">
        <f aca="false">IF(OR(F19="",G19=""),"",(G19-F19))</f>
        <v>30</v>
      </c>
      <c r="I19" s="1" t="str">
        <f aca="false">IF(OR(F19="",G19=""),"⚪ Pending",IF(H19&lt;0,"🔴 OVERDUE",IF(H19&lt;7,"🟡 AT RISK","🟢 ON TRACK")))</f>
        <v>🟢 ON TRACK</v>
      </c>
      <c r="J19" s="95" t="s">
        <v>307</v>
      </c>
      <c r="K19" s="96"/>
    </row>
    <row r="20" customFormat="false" ht="15" hidden="false" customHeight="true" outlineLevel="0" collapsed="false">
      <c r="A20" s="1" t="str">
        <f aca="false">Job_Master!A21</f>
        <v>BJ-119</v>
      </c>
      <c r="B20" s="1" t="n">
        <f aca="false">Job_Master!B21</f>
        <v>63</v>
      </c>
      <c r="C20" s="1" t="str">
        <f aca="false">Job_Master!C21</f>
        <v>SOL</v>
      </c>
      <c r="D20" s="1" t="str">
        <f aca="false">Job_Master!G21</f>
        <v>High</v>
      </c>
      <c r="E20" s="1" t="str">
        <f aca="false">Job_Master!K21</f>
        <v>Gamma Inc</v>
      </c>
      <c r="F20" s="91" t="n">
        <f aca="false">Job_Master!F21</f>
        <v>46329.7665343915</v>
      </c>
      <c r="G20" s="91" t="n">
        <f aca="false">Job_Master!J21</f>
        <v>46359.7665343915</v>
      </c>
      <c r="H20" s="94" t="n">
        <f aca="false">IF(OR(F20="",G20=""),"",(G20-F20))</f>
        <v>30</v>
      </c>
      <c r="I20" s="1" t="str">
        <f aca="false">IF(OR(F20="",G20=""),"⚪ Pending",IF(H20&lt;0,"🔴 OVERDUE",IF(H20&lt;7,"🟡 AT RISK","🟢 ON TRACK")))</f>
        <v>🟢 ON TRACK</v>
      </c>
      <c r="J20" s="95" t="s">
        <v>307</v>
      </c>
      <c r="K20" s="96"/>
    </row>
    <row r="21" customFormat="false" ht="15" hidden="false" customHeight="true" outlineLevel="0" collapsed="false">
      <c r="A21" s="1" t="str">
        <f aca="false">Job_Master!A22</f>
        <v>BJ-120</v>
      </c>
      <c r="B21" s="1" t="n">
        <f aca="false">Job_Master!B22</f>
        <v>46</v>
      </c>
      <c r="C21" s="1" t="str">
        <f aca="false">Job_Master!C22</f>
        <v>2P</v>
      </c>
      <c r="D21" s="1" t="str">
        <f aca="false">Job_Master!G22</f>
        <v>High</v>
      </c>
      <c r="E21" s="1" t="str">
        <f aca="false">Job_Master!K22</f>
        <v>Beta Ltd</v>
      </c>
      <c r="F21" s="91" t="n">
        <f aca="false">Job_Master!F22</f>
        <v>46333.0072751323</v>
      </c>
      <c r="G21" s="91" t="n">
        <f aca="false">Job_Master!J22</f>
        <v>46363.0072751323</v>
      </c>
      <c r="H21" s="94" t="n">
        <f aca="false">IF(OR(F21="",G21=""),"",(G21-F21))</f>
        <v>30</v>
      </c>
      <c r="I21" s="1" t="str">
        <f aca="false">IF(OR(F21="",G21=""),"⚪ Pending",IF(H21&lt;0,"🔴 OVERDUE",IF(H21&lt;7,"🟡 AT RISK","🟢 ON TRACK")))</f>
        <v>🟢 ON TRACK</v>
      </c>
      <c r="J21" s="95" t="s">
        <v>307</v>
      </c>
      <c r="K21" s="96"/>
    </row>
    <row r="22" customFormat="false" ht="15" hidden="false" customHeight="true" outlineLevel="0" collapsed="false">
      <c r="A22" s="1" t="str">
        <f aca="false">Job_Master!A23</f>
        <v>BJ-113</v>
      </c>
      <c r="B22" s="1" t="n">
        <f aca="false">Job_Master!B23</f>
        <v>9</v>
      </c>
      <c r="C22" s="1" t="str">
        <f aca="false">Job_Master!C23</f>
        <v>SEG</v>
      </c>
      <c r="D22" s="1" t="str">
        <f aca="false">Job_Master!G23</f>
        <v>Low</v>
      </c>
      <c r="E22" s="1" t="str">
        <f aca="false">Job_Master!K23</f>
        <v>Delta Co</v>
      </c>
      <c r="F22" s="91" t="n">
        <f aca="false">Job_Master!F23</f>
        <v>46333.5628306878</v>
      </c>
      <c r="G22" s="91" t="n">
        <f aca="false">Job_Master!J23</f>
        <v>46363.5628306878</v>
      </c>
      <c r="H22" s="94" t="n">
        <f aca="false">IF(OR(F22="",G22=""),"",(G22-F22))</f>
        <v>30</v>
      </c>
      <c r="I22" s="1" t="str">
        <f aca="false">IF(OR(F22="",G22=""),"⚪ Pending",IF(H22&lt;0,"🔴 OVERDUE",IF(H22&lt;7,"🟡 AT RISK","🟢 ON TRACK")))</f>
        <v>🟢 ON TRACK</v>
      </c>
      <c r="J22" s="95" t="s">
        <v>307</v>
      </c>
      <c r="K22" s="96"/>
    </row>
    <row r="23" customFormat="false" ht="15" hidden="false" customHeight="true" outlineLevel="0" collapsed="false">
      <c r="A23" s="1" t="str">
        <f aca="false">Job_Master!A24</f>
        <v>BJ-121</v>
      </c>
      <c r="B23" s="1" t="n">
        <f aca="false">Job_Master!B24</f>
        <v>57</v>
      </c>
      <c r="C23" s="1" t="str">
        <f aca="false">Job_Master!C24</f>
        <v>RW</v>
      </c>
      <c r="D23" s="1" t="str">
        <f aca="false">Job_Master!G24</f>
        <v>High</v>
      </c>
      <c r="E23" s="1" t="str">
        <f aca="false">Job_Master!K24</f>
        <v>Alpha Corp</v>
      </c>
      <c r="F23" s="91" t="n">
        <f aca="false">Job_Master!F24</f>
        <v>46340.6924603175</v>
      </c>
      <c r="G23" s="91" t="n">
        <f aca="false">Job_Master!J24</f>
        <v>46370.6924603175</v>
      </c>
      <c r="H23" s="94" t="n">
        <f aca="false">IF(OR(F23="",G23=""),"",(G23-F23))</f>
        <v>30</v>
      </c>
      <c r="I23" s="1" t="str">
        <f aca="false">IF(OR(F23="",G23=""),"⚪ Pending",IF(H23&lt;0,"🔴 OVERDUE",IF(H23&lt;7,"🟡 AT RISK","🟢 ON TRACK")))</f>
        <v>🟢 ON TRACK</v>
      </c>
      <c r="J23" s="95" t="s">
        <v>307</v>
      </c>
      <c r="K23" s="96"/>
    </row>
    <row r="24" customFormat="false" ht="15" hidden="false" customHeight="true" outlineLevel="0" collapsed="false">
      <c r="A24" s="1" t="str">
        <f aca="false">Job_Master!A25</f>
        <v>BJ-123</v>
      </c>
      <c r="B24" s="1" t="n">
        <f aca="false">Job_Master!B25</f>
        <v>46</v>
      </c>
      <c r="C24" s="1" t="str">
        <f aca="false">Job_Master!C25</f>
        <v>RW</v>
      </c>
      <c r="D24" s="1" t="str">
        <f aca="false">Job_Master!G25</f>
        <v>High</v>
      </c>
      <c r="E24" s="1" t="str">
        <f aca="false">Job_Master!K25</f>
        <v>Beta Ltd</v>
      </c>
      <c r="F24" s="91" t="n">
        <f aca="false">Job_Master!F25</f>
        <v>46345.1369047619</v>
      </c>
      <c r="G24" s="91" t="n">
        <f aca="false">Job_Master!J25</f>
        <v>46375.1369047619</v>
      </c>
      <c r="H24" s="94" t="n">
        <f aca="false">IF(OR(F24="",G24=""),"",(G24-F24))</f>
        <v>30</v>
      </c>
      <c r="I24" s="1" t="str">
        <f aca="false">IF(OR(F24="",G24=""),"⚪ Pending",IF(H24&lt;0,"🔴 OVERDUE",IF(H24&lt;7,"🟡 AT RISK","🟢 ON TRACK")))</f>
        <v>🟢 ON TRACK</v>
      </c>
      <c r="J24" s="95" t="s">
        <v>307</v>
      </c>
      <c r="K24" s="96"/>
    </row>
    <row r="25" customFormat="false" ht="15" hidden="false" customHeight="true" outlineLevel="0" collapsed="false">
      <c r="A25" s="1" t="str">
        <f aca="false">Job_Master!A26</f>
        <v>BJ-117</v>
      </c>
      <c r="B25" s="1" t="n">
        <f aca="false">Job_Master!B26</f>
        <v>15</v>
      </c>
      <c r="C25" s="1" t="str">
        <f aca="false">Job_Master!C26</f>
        <v>RW</v>
      </c>
      <c r="D25" s="1" t="str">
        <f aca="false">Job_Master!G26</f>
        <v>Low</v>
      </c>
      <c r="E25" s="1" t="str">
        <f aca="false">Job_Master!K26</f>
        <v>Alpha Corp</v>
      </c>
      <c r="F25" s="91" t="n">
        <f aca="false">Job_Master!F26</f>
        <v>46345.7850529101</v>
      </c>
      <c r="G25" s="91" t="n">
        <f aca="false">Job_Master!J26</f>
        <v>46375.7850529101</v>
      </c>
      <c r="H25" s="94" t="n">
        <f aca="false">IF(OR(F25="",G25=""),"",(G25-F25))</f>
        <v>30</v>
      </c>
      <c r="I25" s="1" t="str">
        <f aca="false">IF(OR(F25="",G25=""),"⚪ Pending",IF(H25&lt;0,"🔴 OVERDUE",IF(H25&lt;7,"🟡 AT RISK","🟢 ON TRACK")))</f>
        <v>🟢 ON TRACK</v>
      </c>
      <c r="J25" s="95" t="s">
        <v>307</v>
      </c>
      <c r="K25" s="96"/>
    </row>
    <row r="26" customFormat="false" ht="15" hidden="false" customHeight="true" outlineLevel="0" collapsed="false">
      <c r="A26" s="1" t="str">
        <f aca="false">Job_Master!A27</f>
        <v>BJ-122</v>
      </c>
      <c r="B26" s="1" t="n">
        <f aca="false">Job_Master!B27</f>
        <v>54</v>
      </c>
      <c r="C26" s="1" t="str">
        <f aca="false">Job_Master!C27</f>
        <v>SOL</v>
      </c>
      <c r="D26" s="1" t="str">
        <f aca="false">Job_Master!G27</f>
        <v>High</v>
      </c>
      <c r="E26" s="1" t="str">
        <f aca="false">Job_Master!K27</f>
        <v>Gamma Inc</v>
      </c>
      <c r="F26" s="91" t="n">
        <f aca="false">Job_Master!F27</f>
        <v>46360.9371693122</v>
      </c>
      <c r="G26" s="91" t="n">
        <f aca="false">Job_Master!J27</f>
        <v>46390.9371693122</v>
      </c>
      <c r="H26" s="94" t="n">
        <f aca="false">IF(OR(F26="",G26=""),"",(G26-F26))</f>
        <v>30</v>
      </c>
      <c r="I26" s="1" t="str">
        <f aca="false">IF(OR(F26="",G26=""),"⚪ Pending",IF(H26&lt;0,"🔴 OVERDUE",IF(H26&lt;7,"🟡 AT RISK","🟢 ON TRACK")))</f>
        <v>🟢 ON TRACK</v>
      </c>
      <c r="J26" s="95" t="s">
        <v>307</v>
      </c>
      <c r="K26" s="96"/>
    </row>
    <row r="27" customFormat="false" ht="15" hidden="false" customHeight="true" outlineLevel="0" collapsed="false">
      <c r="A27" s="1" t="str">
        <f aca="false">Job_Master!A28</f>
        <v>BJ-124</v>
      </c>
      <c r="B27" s="1" t="n">
        <f aca="false">Job_Master!B28</f>
        <v>42</v>
      </c>
      <c r="C27" s="1" t="str">
        <f aca="false">Job_Master!C28</f>
        <v>2P</v>
      </c>
      <c r="D27" s="1" t="str">
        <f aca="false">Job_Master!G28</f>
        <v>Medium</v>
      </c>
      <c r="E27" s="1" t="str">
        <f aca="false">Job_Master!K28</f>
        <v>Beta Ltd</v>
      </c>
      <c r="F27" s="91" t="n">
        <f aca="false">Job_Master!F28</f>
        <v>46365.289021164</v>
      </c>
      <c r="G27" s="91" t="n">
        <f aca="false">Job_Master!J28</f>
        <v>46395.289021164</v>
      </c>
      <c r="H27" s="94" t="n">
        <f aca="false">IF(OR(F27="",G27=""),"",(G27-F27))</f>
        <v>30</v>
      </c>
      <c r="I27" s="1" t="str">
        <f aca="false">IF(OR(F27="",G27=""),"⚪ Pending",IF(H27&lt;0,"🔴 OVERDUE",IF(H27&lt;7,"🟡 AT RISK","🟢 ON TRACK")))</f>
        <v>🟢 ON TRACK</v>
      </c>
      <c r="J27" s="95" t="s">
        <v>307</v>
      </c>
      <c r="K27" s="96"/>
    </row>
    <row r="28" customFormat="false" ht="15" hidden="false" customHeight="true" outlineLevel="0" collapsed="false">
      <c r="A28" s="1" t="str">
        <f aca="false">Job_Master!A29</f>
        <v>BJ-126</v>
      </c>
      <c r="B28" s="1" t="n">
        <f aca="false">Job_Master!B29</f>
        <v>42</v>
      </c>
      <c r="C28" s="1" t="str">
        <f aca="false">Job_Master!C29</f>
        <v>2P</v>
      </c>
      <c r="D28" s="1" t="str">
        <f aca="false">Job_Master!G29</f>
        <v>Medium</v>
      </c>
      <c r="E28" s="1" t="str">
        <f aca="false">Job_Master!K29</f>
        <v>Delta Co</v>
      </c>
      <c r="F28" s="91" t="n">
        <f aca="false">Job_Master!F29</f>
        <v>46369.6408730159</v>
      </c>
      <c r="G28" s="91" t="n">
        <f aca="false">Job_Master!J29</f>
        <v>46399.6408730159</v>
      </c>
      <c r="H28" s="94" t="n">
        <f aca="false">IF(OR(F28="",G28=""),"",(G28-F28))</f>
        <v>30</v>
      </c>
      <c r="I28" s="1" t="str">
        <f aca="false">IF(OR(F28="",G28=""),"⚪ Pending",IF(H28&lt;0,"🔴 OVERDUE",IF(H28&lt;7,"🟡 AT RISK","🟢 ON TRACK")))</f>
        <v>🟢 ON TRACK</v>
      </c>
      <c r="J28" s="95" t="s">
        <v>307</v>
      </c>
      <c r="K28" s="96"/>
    </row>
    <row r="29" customFormat="false" ht="15" hidden="false" customHeight="true" outlineLevel="0" collapsed="false">
      <c r="A29" s="1" t="str">
        <f aca="false">Job_Master!A30</f>
        <v>BJ-127</v>
      </c>
      <c r="B29" s="1" t="n">
        <f aca="false">Job_Master!B30</f>
        <v>15</v>
      </c>
      <c r="C29" s="1" t="str">
        <f aca="false">Job_Master!C30</f>
        <v>RW</v>
      </c>
      <c r="D29" s="1" t="str">
        <f aca="false">Job_Master!G30</f>
        <v>Low</v>
      </c>
      <c r="E29" s="1" t="str">
        <f aca="false">Job_Master!K30</f>
        <v>Alpha Corp</v>
      </c>
      <c r="F29" s="91" t="n">
        <f aca="false">Job_Master!F30</f>
        <v>46370.289021164</v>
      </c>
      <c r="G29" s="91" t="n">
        <f aca="false">Job_Master!J30</f>
        <v>46400.289021164</v>
      </c>
      <c r="H29" s="94" t="n">
        <f aca="false">IF(OR(F29="",G29=""),"",(G29-F29))</f>
        <v>30</v>
      </c>
      <c r="I29" s="1" t="str">
        <f aca="false">IF(OR(F29="",G29=""),"⚪ Pending",IF(H29&lt;0,"🔴 OVERDUE",IF(H29&lt;7,"🟡 AT RISK","🟢 ON TRACK")))</f>
        <v>🟢 ON TRACK</v>
      </c>
      <c r="J29" s="95" t="s">
        <v>307</v>
      </c>
      <c r="K29" s="96"/>
    </row>
    <row r="30" customFormat="false" ht="15" hidden="false" customHeight="true" outlineLevel="0" collapsed="false">
      <c r="A30" s="1" t="str">
        <f aca="false">Job_Master!A31</f>
        <v>BJ-128</v>
      </c>
      <c r="B30" s="1" t="n">
        <f aca="false">Job_Master!B31</f>
        <v>46</v>
      </c>
      <c r="C30" s="1" t="str">
        <f aca="false">Job_Master!C31</f>
        <v>2P</v>
      </c>
      <c r="D30" s="1" t="str">
        <f aca="false">Job_Master!G31</f>
        <v>High</v>
      </c>
      <c r="E30" s="1" t="str">
        <f aca="false">Job_Master!K31</f>
        <v>Gamma Inc</v>
      </c>
      <c r="F30" s="91" t="n">
        <f aca="false">Job_Master!F31</f>
        <v>46373.5297619048</v>
      </c>
      <c r="G30" s="91" t="n">
        <f aca="false">Job_Master!J31</f>
        <v>46403.5297619048</v>
      </c>
      <c r="H30" s="94" t="n">
        <f aca="false">IF(OR(F30="",G30=""),"",(G30-F30))</f>
        <v>30</v>
      </c>
      <c r="I30" s="1" t="str">
        <f aca="false">IF(OR(F30="",G30=""),"⚪ Pending",IF(H30&lt;0,"🔴 OVERDUE",IF(H30&lt;7,"🟡 AT RISK","🟢 ON TRACK")))</f>
        <v>🟢 ON TRACK</v>
      </c>
      <c r="J30" s="95" t="s">
        <v>307</v>
      </c>
      <c r="K30" s="96"/>
    </row>
    <row r="31" customFormat="false" ht="15" hidden="false" customHeight="true" outlineLevel="0" collapsed="false">
      <c r="A31" s="1" t="str">
        <f aca="false">Job_Master!A32</f>
        <v>BJ-125</v>
      </c>
      <c r="B31" s="1" t="n">
        <f aca="false">Job_Master!B32</f>
        <v>25</v>
      </c>
      <c r="C31" s="1" t="str">
        <f aca="false">Job_Master!C32</f>
        <v>SEG</v>
      </c>
      <c r="D31" s="1" t="str">
        <f aca="false">Job_Master!G32</f>
        <v>Low</v>
      </c>
      <c r="E31" s="1" t="str">
        <f aca="false">Job_Master!K32</f>
        <v>Beta Ltd</v>
      </c>
      <c r="F31" s="91" t="n">
        <f aca="false">Job_Master!F32</f>
        <v>46379.9186507937</v>
      </c>
      <c r="G31" s="91" t="n">
        <f aca="false">Job_Master!J32</f>
        <v>46409.9186507937</v>
      </c>
      <c r="H31" s="94" t="n">
        <f aca="false">IF(OR(F31="",G31=""),"",(G31-F31))</f>
        <v>30</v>
      </c>
      <c r="I31" s="1" t="str">
        <f aca="false">IF(OR(F31="",G31=""),"⚪ Pending",IF(H31&lt;0,"🔴 OVERDUE",IF(H31&lt;7,"🟡 AT RISK","🟢 ON TRACK")))</f>
        <v>🟢 ON TRACK</v>
      </c>
      <c r="J31" s="95" t="s">
        <v>307</v>
      </c>
      <c r="K31" s="96"/>
    </row>
    <row r="32" customFormat="false" ht="15" hidden="false" customHeight="true" outlineLevel="0" collapsed="false">
      <c r="A32" s="1" t="str">
        <f aca="false">Job_Master!A33</f>
        <v>BJ-129</v>
      </c>
      <c r="B32" s="1" t="n">
        <f aca="false">Job_Master!B33</f>
        <v>9</v>
      </c>
      <c r="C32" s="1" t="str">
        <f aca="false">Job_Master!C33</f>
        <v>RW</v>
      </c>
      <c r="D32" s="1" t="str">
        <f aca="false">Job_Master!G33</f>
        <v>Low</v>
      </c>
      <c r="E32" s="1" t="str">
        <f aca="false">Job_Master!K33</f>
        <v>Delta Co</v>
      </c>
      <c r="F32" s="91" t="n">
        <f aca="false">Job_Master!F33</f>
        <v>46380.3816137566</v>
      </c>
      <c r="G32" s="91" t="n">
        <f aca="false">Job_Master!J33</f>
        <v>46410.3816137566</v>
      </c>
      <c r="H32" s="94" t="n">
        <f aca="false">IF(OR(F32="",G32=""),"",(G32-F32))</f>
        <v>30</v>
      </c>
      <c r="I32" s="1" t="str">
        <f aca="false">IF(OR(F32="",G32=""),"⚪ Pending",IF(H32&lt;0,"🔴 OVERDUE",IF(H32&lt;7,"🟡 AT RISK","🟢 ON TRACK")))</f>
        <v>🟢 ON TRACK</v>
      </c>
      <c r="J32" s="95" t="s">
        <v>307</v>
      </c>
      <c r="K32" s="96"/>
    </row>
    <row r="33" customFormat="false" ht="15" hidden="false" customHeight="true" outlineLevel="0" collapsed="false">
      <c r="A33" s="1" t="str">
        <f aca="false">Job_Master!A34</f>
        <v>BJ-130</v>
      </c>
      <c r="B33" s="1" t="n">
        <f aca="false">Job_Master!B34</f>
        <v>57</v>
      </c>
      <c r="C33" s="1" t="str">
        <f aca="false">Job_Master!C34</f>
        <v>RW</v>
      </c>
      <c r="D33" s="1" t="str">
        <f aca="false">Job_Master!G34</f>
        <v>High</v>
      </c>
      <c r="E33" s="1" t="str">
        <f aca="false">Job_Master!K34</f>
        <v>Alpha Corp</v>
      </c>
      <c r="F33" s="91" t="n">
        <f aca="false">Job_Master!F34</f>
        <v>46388.628968254</v>
      </c>
      <c r="G33" s="91" t="n">
        <f aca="false">Job_Master!J34</f>
        <v>46418.628968254</v>
      </c>
      <c r="H33" s="94" t="n">
        <f aca="false">IF(OR(F33="",G33=""),"",(G33-F33))</f>
        <v>30</v>
      </c>
      <c r="I33" s="1" t="str">
        <f aca="false">IF(OR(F33="",G33=""),"⚪ Pending",IF(H33&lt;0,"🔴 OVERDUE",IF(H33&lt;7,"🟡 AT RISK","🟢 ON TRACK")))</f>
        <v>🟢 ON TRACK</v>
      </c>
      <c r="J33" s="95" t="s">
        <v>307</v>
      </c>
      <c r="K33" s="96"/>
    </row>
    <row r="34" customFormat="false" ht="15" hidden="false" customHeight="true" outlineLevel="0" collapsed="false">
      <c r="A34" s="1" t="str">
        <f aca="false">Job_Master!A35</f>
        <v>BJ-133</v>
      </c>
      <c r="B34" s="1" t="n">
        <f aca="false">Job_Master!B35</f>
        <v>25</v>
      </c>
      <c r="C34" s="1" t="str">
        <f aca="false">Job_Master!C35</f>
        <v>RW</v>
      </c>
      <c r="D34" s="1" t="str">
        <f aca="false">Job_Master!G35</f>
        <v>Low</v>
      </c>
      <c r="E34" s="1" t="str">
        <f aca="false">Job_Master!K35</f>
        <v>Beta Ltd</v>
      </c>
      <c r="F34" s="91" t="n">
        <f aca="false">Job_Master!F35</f>
        <v>46390.1104497355</v>
      </c>
      <c r="G34" s="91" t="n">
        <f aca="false">Job_Master!J35</f>
        <v>46420.1104497355</v>
      </c>
      <c r="H34" s="94" t="n">
        <f aca="false">IF(OR(F34="",G34=""),"",(G34-F34))</f>
        <v>30</v>
      </c>
      <c r="I34" s="1" t="str">
        <f aca="false">IF(OR(F34="",G34=""),"⚪ Pending",IF(H34&lt;0,"🔴 OVERDUE",IF(H34&lt;7,"🟡 AT RISK","🟢 ON TRACK")))</f>
        <v>🟢 ON TRACK</v>
      </c>
      <c r="J34" s="95" t="s">
        <v>307</v>
      </c>
      <c r="K34" s="96"/>
    </row>
    <row r="35" customFormat="false" ht="15" hidden="false" customHeight="true" outlineLevel="0" collapsed="false">
      <c r="A35" s="1" t="str">
        <f aca="false">Job_Master!A36</f>
        <v>BJ-131</v>
      </c>
      <c r="B35" s="1" t="n">
        <f aca="false">Job_Master!B36</f>
        <v>70</v>
      </c>
      <c r="C35" s="1" t="str">
        <f aca="false">Job_Master!C36</f>
        <v>2P</v>
      </c>
      <c r="D35" s="1" t="str">
        <f aca="false">Job_Master!G36</f>
        <v>High</v>
      </c>
      <c r="E35" s="1" t="str">
        <f aca="false">Job_Master!K36</f>
        <v>Alpha Corp</v>
      </c>
      <c r="F35" s="91" t="n">
        <f aca="false">Job_Master!F36</f>
        <v>46397.5178571429</v>
      </c>
      <c r="G35" s="91" t="n">
        <f aca="false">Job_Master!J36</f>
        <v>46427.5178571429</v>
      </c>
      <c r="H35" s="94" t="n">
        <f aca="false">IF(OR(F35="",G35=""),"",(G35-F35))</f>
        <v>30</v>
      </c>
      <c r="I35" s="1" t="str">
        <f aca="false">IF(OR(F35="",G35=""),"⚪ Pending",IF(H35&lt;0,"🔴 OVERDUE",IF(H35&lt;7,"🟡 AT RISK","🟢 ON TRACK")))</f>
        <v>🟢 ON TRACK</v>
      </c>
      <c r="J35" s="95" t="s">
        <v>307</v>
      </c>
      <c r="K35" s="96"/>
    </row>
    <row r="36" customFormat="false" ht="15" hidden="false" customHeight="true" outlineLevel="0" collapsed="false">
      <c r="A36" s="1" t="str">
        <f aca="false">Job_Master!A37</f>
        <v>BJ-134</v>
      </c>
      <c r="B36" s="1" t="n">
        <f aca="false">Job_Master!B37</f>
        <v>15</v>
      </c>
      <c r="C36" s="1" t="str">
        <f aca="false">Job_Master!C37</f>
        <v>RW</v>
      </c>
      <c r="D36" s="1" t="str">
        <f aca="false">Job_Master!G37</f>
        <v>Low</v>
      </c>
      <c r="E36" s="1" t="str">
        <f aca="false">Job_Master!K37</f>
        <v>Gamma Inc</v>
      </c>
      <c r="F36" s="91" t="n">
        <f aca="false">Job_Master!F37</f>
        <v>46398.166005291</v>
      </c>
      <c r="G36" s="91" t="n">
        <f aca="false">Job_Master!J37</f>
        <v>46428.166005291</v>
      </c>
      <c r="H36" s="94" t="n">
        <f aca="false">IF(OR(F36="",G36=""),"",(G36-F36))</f>
        <v>30</v>
      </c>
      <c r="I36" s="1" t="str">
        <f aca="false">IF(OR(F36="",G36=""),"⚪ Pending",IF(H36&lt;0,"🔴 OVERDUE",IF(H36&lt;7,"🟡 AT RISK","🟢 ON TRACK")))</f>
        <v>🟢 ON TRACK</v>
      </c>
      <c r="J36" s="95" t="s">
        <v>307</v>
      </c>
      <c r="K36" s="96"/>
    </row>
    <row r="37" customFormat="false" ht="15" hidden="false" customHeight="true" outlineLevel="0" collapsed="false">
      <c r="A37" s="1" t="str">
        <f aca="false">Job_Master!A38</f>
        <v>BJ-135</v>
      </c>
      <c r="B37" s="1" t="n">
        <f aca="false">Job_Master!B38</f>
        <v>28</v>
      </c>
      <c r="C37" s="1" t="str">
        <f aca="false">Job_Master!C38</f>
        <v>2P</v>
      </c>
      <c r="D37" s="1" t="str">
        <f aca="false">Job_Master!G38</f>
        <v>Medium</v>
      </c>
      <c r="E37" s="1" t="str">
        <f aca="false">Job_Master!K38</f>
        <v>Beta Ltd</v>
      </c>
      <c r="F37" s="91" t="n">
        <f aca="false">Job_Master!F38</f>
        <v>46399.7400793651</v>
      </c>
      <c r="G37" s="91" t="n">
        <f aca="false">Job_Master!J38</f>
        <v>46429.7400793651</v>
      </c>
      <c r="H37" s="94" t="n">
        <f aca="false">IF(OR(F37="",G37=""),"",(G37-F37))</f>
        <v>30</v>
      </c>
      <c r="I37" s="1" t="str">
        <f aca="false">IF(OR(F37="",G37=""),"⚪ Pending",IF(H37&lt;0,"🔴 OVERDUE",IF(H37&lt;7,"🟡 AT RISK","🟢 ON TRACK")))</f>
        <v>🟢 ON TRACK</v>
      </c>
      <c r="J37" s="95" t="s">
        <v>307</v>
      </c>
      <c r="K37" s="96"/>
    </row>
    <row r="38" customFormat="false" ht="15" hidden="false" customHeight="true" outlineLevel="0" collapsed="false">
      <c r="A38" s="1" t="str">
        <f aca="false">Job_Master!A39</f>
        <v>BJ-132</v>
      </c>
      <c r="B38" s="1" t="n">
        <f aca="false">Job_Master!B39</f>
        <v>57</v>
      </c>
      <c r="C38" s="1" t="str">
        <f aca="false">Job_Master!C39</f>
        <v>SOL</v>
      </c>
      <c r="D38" s="1" t="str">
        <f aca="false">Job_Master!G39</f>
        <v>High</v>
      </c>
      <c r="E38" s="1" t="str">
        <f aca="false">Job_Master!K39</f>
        <v>Delta Co</v>
      </c>
      <c r="F38" s="91" t="n">
        <f aca="false">Job_Master!F39</f>
        <v>46427.7228835979</v>
      </c>
      <c r="G38" s="91" t="n">
        <f aca="false">Job_Master!J39</f>
        <v>46457.7228835979</v>
      </c>
      <c r="H38" s="94" t="n">
        <f aca="false">IF(OR(F38="",G38=""),"",(G38-F38))</f>
        <v>30</v>
      </c>
      <c r="I38" s="1" t="str">
        <f aca="false">IF(OR(F38="",G38=""),"⚪ Pending",IF(H38&lt;0,"🔴 OVERDUE",IF(H38&lt;7,"🟡 AT RISK","🟢 ON TRACK")))</f>
        <v>🟢 ON TRACK</v>
      </c>
      <c r="J38" s="95" t="s">
        <v>307</v>
      </c>
      <c r="K38" s="96"/>
    </row>
    <row r="39" customFormat="false" ht="15" hidden="false" customHeight="true" outlineLevel="0" collapsed="false">
      <c r="A39" s="1" t="str">
        <f aca="false">Job_Master!A40</f>
        <v>BJ-136</v>
      </c>
      <c r="B39" s="1" t="n">
        <f aca="false">Job_Master!B40</f>
        <v>20</v>
      </c>
      <c r="C39" s="1" t="str">
        <f aca="false">Job_Master!C40</f>
        <v>RW</v>
      </c>
      <c r="D39" s="1" t="str">
        <f aca="false">Job_Master!G40</f>
        <v>Low</v>
      </c>
      <c r="E39" s="1" t="str">
        <f aca="false">Job_Master!K40</f>
        <v>Alpha Corp</v>
      </c>
      <c r="F39" s="91" t="n">
        <f aca="false">Job_Master!F40</f>
        <v>46429.4821428571</v>
      </c>
      <c r="G39" s="91" t="n">
        <f aca="false">Job_Master!J40</f>
        <v>46459.4821428571</v>
      </c>
      <c r="H39" s="94" t="n">
        <f aca="false">IF(OR(F39="",G39=""),"",(G39-F39))</f>
        <v>30</v>
      </c>
      <c r="I39" s="1" t="str">
        <f aca="false">IF(OR(F39="",G39=""),"⚪ Pending",IF(H39&lt;0,"🔴 OVERDUE",IF(H39&lt;7,"🟡 AT RISK","🟢 ON TRACK")))</f>
        <v>🟢 ON TRACK</v>
      </c>
      <c r="J39" s="95" t="s">
        <v>307</v>
      </c>
      <c r="K39" s="96"/>
    </row>
    <row r="40" customFormat="false" ht="15" hidden="false" customHeight="true" outlineLevel="0" collapsed="false">
      <c r="A40" s="1" t="str">
        <f aca="false">Job_Master!A41</f>
        <v>BJ-137</v>
      </c>
      <c r="B40" s="1" t="n">
        <f aca="false">Job_Master!B41</f>
        <v>34</v>
      </c>
      <c r="C40" s="1" t="str">
        <f aca="false">Job_Master!C41</f>
        <v>RW</v>
      </c>
      <c r="D40" s="1" t="str">
        <f aca="false">Job_Master!G41</f>
        <v>Medium</v>
      </c>
      <c r="E40" s="1" t="str">
        <f aca="false">Job_Master!K41</f>
        <v>Gamma Inc</v>
      </c>
      <c r="F40" s="91" t="n">
        <f aca="false">Job_Master!F41</f>
        <v>46432.0747354497</v>
      </c>
      <c r="G40" s="91" t="n">
        <f aca="false">Job_Master!J41</f>
        <v>46462.0747354497</v>
      </c>
      <c r="H40" s="94" t="n">
        <f aca="false">IF(OR(F40="",G40=""),"",(G40-F40))</f>
        <v>30</v>
      </c>
      <c r="I40" s="1" t="str">
        <f aca="false">IF(OR(F40="",G40=""),"⚪ Pending",IF(H40&lt;0,"🔴 OVERDUE",IF(H40&lt;7,"🟡 AT RISK","🟢 ON TRACK")))</f>
        <v>🟢 ON TRACK</v>
      </c>
      <c r="J40" s="95" t="s">
        <v>307</v>
      </c>
      <c r="K40" s="96"/>
    </row>
    <row r="41" customFormat="false" ht="15" hidden="false" customHeight="true" outlineLevel="0" collapsed="false">
      <c r="A41" s="1" t="str">
        <f aca="false">Job_Master!A42</f>
        <v>BJ-140</v>
      </c>
      <c r="B41" s="1" t="n">
        <f aca="false">Job_Master!B42</f>
        <v>54</v>
      </c>
      <c r="C41" s="1" t="str">
        <f aca="false">Job_Master!C42</f>
        <v>RW</v>
      </c>
      <c r="D41" s="1" t="str">
        <f aca="false">Job_Master!G42</f>
        <v>High</v>
      </c>
      <c r="E41" s="1" t="str">
        <f aca="false">Job_Master!K42</f>
        <v>Beta Ltd</v>
      </c>
      <c r="F41" s="91" t="n">
        <f aca="false">Job_Master!F42</f>
        <v>46438.371031746</v>
      </c>
      <c r="G41" s="91" t="n">
        <f aca="false">Job_Master!J42</f>
        <v>46468.371031746</v>
      </c>
      <c r="H41" s="94" t="n">
        <f aca="false">IF(OR(F41="",G41=""),"",(G41-F41))</f>
        <v>30</v>
      </c>
      <c r="I41" s="1" t="str">
        <f aca="false">IF(OR(F41="",G41=""),"⚪ Pending",IF(H41&lt;0,"🔴 OVERDUE",IF(H41&lt;7,"🟡 AT RISK","🟢 ON TRACK")))</f>
        <v>🟢 ON TRACK</v>
      </c>
      <c r="J41" s="95" t="s">
        <v>307</v>
      </c>
      <c r="K41" s="96"/>
    </row>
    <row r="42" customFormat="false" ht="15" hidden="false" customHeight="true" outlineLevel="0" collapsed="false">
      <c r="A42" s="1" t="str">
        <f aca="false">Job_Master!A43</f>
        <v>BJ-138</v>
      </c>
      <c r="B42" s="1" t="n">
        <f aca="false">Job_Master!B43</f>
        <v>9</v>
      </c>
      <c r="C42" s="1" t="str">
        <f aca="false">Job_Master!C43</f>
        <v>RW</v>
      </c>
      <c r="D42" s="1" t="str">
        <f aca="false">Job_Master!G43</f>
        <v>Low</v>
      </c>
      <c r="E42" s="1" t="str">
        <f aca="false">Job_Master!K43</f>
        <v>Delta Co</v>
      </c>
      <c r="F42" s="91" t="n">
        <f aca="false">Job_Master!F43</f>
        <v>46438.833994709</v>
      </c>
      <c r="G42" s="91" t="n">
        <f aca="false">Job_Master!J43</f>
        <v>46468.833994709</v>
      </c>
      <c r="H42" s="94" t="n">
        <f aca="false">IF(OR(F42="",G42=""),"",(G42-F42))</f>
        <v>30</v>
      </c>
      <c r="I42" s="1" t="str">
        <f aca="false">IF(OR(F42="",G42=""),"⚪ Pending",IF(H42&lt;0,"🔴 OVERDUE",IF(H42&lt;7,"🟡 AT RISK","🟢 ON TRACK")))</f>
        <v>🟢 ON TRACK</v>
      </c>
      <c r="J42" s="95" t="s">
        <v>307</v>
      </c>
      <c r="K42" s="96"/>
    </row>
    <row r="43" customFormat="false" ht="15" hidden="false" customHeight="true" outlineLevel="0" collapsed="false">
      <c r="A43" s="1" t="str">
        <f aca="false">Job_Master!A44</f>
        <v>BJ-144</v>
      </c>
      <c r="B43" s="1" t="n">
        <f aca="false">Job_Master!B44</f>
        <v>63</v>
      </c>
      <c r="C43" s="1" t="str">
        <f aca="false">Job_Master!C44</f>
        <v>RW</v>
      </c>
      <c r="D43" s="1" t="str">
        <f aca="false">Job_Master!G44</f>
        <v>High</v>
      </c>
      <c r="E43" s="1" t="str">
        <f aca="false">Job_Master!K44</f>
        <v>Alpha Corp</v>
      </c>
      <c r="F43" s="91" t="n">
        <f aca="false">Job_Master!F44</f>
        <v>46443.9265873016</v>
      </c>
      <c r="G43" s="91" t="n">
        <f aca="false">Job_Master!J44</f>
        <v>46473.9265873016</v>
      </c>
      <c r="H43" s="94" t="n">
        <f aca="false">IF(OR(F43="",G43=""),"",(G43-F43))</f>
        <v>30</v>
      </c>
      <c r="I43" s="1" t="str">
        <f aca="false">IF(OR(F43="",G43=""),"⚪ Pending",IF(H43&lt;0,"🔴 OVERDUE",IF(H43&lt;7,"🟡 AT RISK","🟢 ON TRACK")))</f>
        <v>🟢 ON TRACK</v>
      </c>
      <c r="J43" s="95" t="s">
        <v>307</v>
      </c>
      <c r="K43" s="96"/>
    </row>
    <row r="44" customFormat="false" ht="15" hidden="false" customHeight="true" outlineLevel="0" collapsed="false">
      <c r="A44" s="1" t="str">
        <f aca="false">Job_Master!A45</f>
        <v>BJ-146</v>
      </c>
      <c r="B44" s="1" t="n">
        <f aca="false">Job_Master!B45</f>
        <v>20</v>
      </c>
      <c r="C44" s="1" t="str">
        <f aca="false">Job_Master!C45</f>
        <v>RW</v>
      </c>
      <c r="D44" s="1" t="str">
        <f aca="false">Job_Master!G45</f>
        <v>Low</v>
      </c>
      <c r="E44" s="1" t="str">
        <f aca="false">Job_Master!K45</f>
        <v>Beta Ltd</v>
      </c>
      <c r="F44" s="91" t="n">
        <f aca="false">Job_Master!F45</f>
        <v>46445.6858465608</v>
      </c>
      <c r="G44" s="91" t="n">
        <f aca="false">Job_Master!J45</f>
        <v>46475.6858465608</v>
      </c>
      <c r="H44" s="94" t="n">
        <f aca="false">IF(OR(F44="",G44=""),"",(G44-F44))</f>
        <v>30</v>
      </c>
      <c r="I44" s="1" t="str">
        <f aca="false">IF(OR(F44="",G44=""),"⚪ Pending",IF(H44&lt;0,"🔴 OVERDUE",IF(H44&lt;7,"🟡 AT RISK","🟢 ON TRACK")))</f>
        <v>🟢 ON TRACK</v>
      </c>
      <c r="J44" s="95" t="s">
        <v>307</v>
      </c>
      <c r="K44" s="96"/>
    </row>
    <row r="45" customFormat="false" ht="15" hidden="false" customHeight="true" outlineLevel="0" collapsed="false">
      <c r="A45" s="1" t="str">
        <f aca="false">Job_Master!A46</f>
        <v>BJ-139</v>
      </c>
      <c r="B45" s="1" t="n">
        <f aca="false">Job_Master!B46</f>
        <v>15</v>
      </c>
      <c r="C45" s="1" t="str">
        <f aca="false">Job_Master!C46</f>
        <v>RW</v>
      </c>
      <c r="D45" s="1" t="str">
        <f aca="false">Job_Master!G46</f>
        <v>Low</v>
      </c>
      <c r="E45" s="1" t="str">
        <f aca="false">Job_Master!K46</f>
        <v>Alpha Corp</v>
      </c>
      <c r="F45" s="91" t="n">
        <f aca="false">Job_Master!F46</f>
        <v>46446.333994709</v>
      </c>
      <c r="G45" s="91" t="n">
        <f aca="false">Job_Master!J46</f>
        <v>46476.333994709</v>
      </c>
      <c r="H45" s="94" t="n">
        <f aca="false">IF(OR(F45="",G45=""),"",(G45-F45))</f>
        <v>30</v>
      </c>
      <c r="I45" s="1" t="str">
        <f aca="false">IF(OR(F45="",G45=""),"⚪ Pending",IF(H45&lt;0,"🔴 OVERDUE",IF(H45&lt;7,"🟡 AT RISK","🟢 ON TRACK")))</f>
        <v>🟢 ON TRACK</v>
      </c>
      <c r="J45" s="95" t="s">
        <v>307</v>
      </c>
      <c r="K45" s="96"/>
    </row>
    <row r="46" customFormat="false" ht="15" hidden="false" customHeight="true" outlineLevel="0" collapsed="false">
      <c r="A46" s="1" t="str">
        <f aca="false">Job_Master!A47</f>
        <v>BJ-141</v>
      </c>
      <c r="B46" s="1" t="n">
        <f aca="false">Job_Master!B47</f>
        <v>50</v>
      </c>
      <c r="C46" s="1" t="str">
        <f aca="false">Job_Master!C47</f>
        <v>SOL</v>
      </c>
      <c r="D46" s="1" t="str">
        <f aca="false">Job_Master!G47</f>
        <v>High</v>
      </c>
      <c r="E46" s="1" t="str">
        <f aca="false">Job_Master!K47</f>
        <v>Gamma Inc</v>
      </c>
      <c r="F46" s="91" t="n">
        <f aca="false">Job_Master!F47</f>
        <v>46467.8419312169</v>
      </c>
      <c r="G46" s="91" t="n">
        <f aca="false">Job_Master!J47</f>
        <v>46497.8419312169</v>
      </c>
      <c r="H46" s="94" t="n">
        <f aca="false">IF(OR(F46="",G46=""),"",(G46-F46))</f>
        <v>30</v>
      </c>
      <c r="I46" s="1" t="str">
        <f aca="false">IF(OR(F46="",G46=""),"⚪ Pending",IF(H46&lt;0,"🔴 OVERDUE",IF(H46&lt;7,"🟡 AT RISK","🟢 ON TRACK")))</f>
        <v>🟢 ON TRACK</v>
      </c>
      <c r="J46" s="95" t="s">
        <v>307</v>
      </c>
      <c r="K46" s="96"/>
    </row>
    <row r="47" customFormat="false" ht="15" hidden="false" customHeight="true" outlineLevel="0" collapsed="false">
      <c r="A47" s="1" t="str">
        <f aca="false">Job_Master!A48</f>
        <v>BJ-142</v>
      </c>
      <c r="B47" s="1" t="n">
        <f aca="false">Job_Master!B48</f>
        <v>9</v>
      </c>
      <c r="C47" s="1" t="str">
        <f aca="false">Job_Master!C48</f>
        <v>RW</v>
      </c>
      <c r="D47" s="1" t="str">
        <f aca="false">Job_Master!G48</f>
        <v>Low</v>
      </c>
      <c r="E47" s="1" t="str">
        <f aca="false">Job_Master!K48</f>
        <v>Beta Ltd</v>
      </c>
      <c r="F47" s="91" t="n">
        <f aca="false">Job_Master!F48</f>
        <v>46468.3048941799</v>
      </c>
      <c r="G47" s="91" t="n">
        <f aca="false">Job_Master!J48</f>
        <v>46498.3048941799</v>
      </c>
      <c r="H47" s="94" t="n">
        <f aca="false">IF(OR(F47="",G47=""),"",(G47-F47))</f>
        <v>30</v>
      </c>
      <c r="I47" s="1" t="str">
        <f aca="false">IF(OR(F47="",G47=""),"⚪ Pending",IF(H47&lt;0,"🔴 OVERDUE",IF(H47&lt;7,"🟡 AT RISK","🟢 ON TRACK")))</f>
        <v>🟢 ON TRACK</v>
      </c>
      <c r="J47" s="95" t="s">
        <v>307</v>
      </c>
      <c r="K47" s="96"/>
    </row>
    <row r="48" customFormat="false" ht="15" hidden="false" customHeight="true" outlineLevel="0" collapsed="false">
      <c r="A48" s="1" t="str">
        <f aca="false">Job_Master!A49</f>
        <v>BJ-147</v>
      </c>
      <c r="B48" s="1" t="n">
        <f aca="false">Job_Master!B49</f>
        <v>34</v>
      </c>
      <c r="C48" s="1" t="str">
        <f aca="false">Job_Master!C49</f>
        <v>SOL</v>
      </c>
      <c r="D48" s="1" t="str">
        <f aca="false">Job_Master!G49</f>
        <v>Medium</v>
      </c>
      <c r="E48" s="1" t="str">
        <f aca="false">Job_Master!K49</f>
        <v>Delta Co</v>
      </c>
      <c r="F48" s="91" t="n">
        <f aca="false">Job_Master!F49</f>
        <v>46474.2308201058</v>
      </c>
      <c r="G48" s="91" t="n">
        <f aca="false">Job_Master!J49</f>
        <v>46504.2308201058</v>
      </c>
      <c r="H48" s="94" t="n">
        <f aca="false">IF(OR(F48="",G48=""),"",(G48-F48))</f>
        <v>30</v>
      </c>
      <c r="I48" s="1" t="str">
        <f aca="false">IF(OR(F48="",G48=""),"⚪ Pending",IF(H48&lt;0,"🔴 OVERDUE",IF(H48&lt;7,"🟡 AT RISK","🟢 ON TRACK")))</f>
        <v>🟢 ON TRACK</v>
      </c>
      <c r="J48" s="95" t="s">
        <v>307</v>
      </c>
      <c r="K48" s="96"/>
    </row>
    <row r="49" customFormat="false" ht="15" hidden="false" customHeight="true" outlineLevel="0" collapsed="false">
      <c r="A49" s="1" t="str">
        <f aca="false">Job_Master!A50</f>
        <v>BJ-150</v>
      </c>
      <c r="B49" s="1" t="n">
        <f aca="false">Job_Master!B50</f>
        <v>34</v>
      </c>
      <c r="C49" s="1" t="str">
        <f aca="false">Job_Master!C50</f>
        <v>SOL</v>
      </c>
      <c r="D49" s="1" t="str">
        <f aca="false">Job_Master!G50</f>
        <v>Medium</v>
      </c>
      <c r="E49" s="1" t="str">
        <f aca="false">Job_Master!K50</f>
        <v>Alpha Corp</v>
      </c>
      <c r="F49" s="91" t="n">
        <f aca="false">Job_Master!F50</f>
        <v>46480.1567460317</v>
      </c>
      <c r="G49" s="91" t="n">
        <f aca="false">Job_Master!J50</f>
        <v>46510.1567460317</v>
      </c>
      <c r="H49" s="94" t="n">
        <f aca="false">IF(OR(F49="",G49=""),"",(G49-F49))</f>
        <v>30</v>
      </c>
      <c r="I49" s="1" t="str">
        <f aca="false">IF(OR(F49="",G49=""),"⚪ Pending",IF(H49&lt;0,"🔴 OVERDUE",IF(H49&lt;7,"🟡 AT RISK","🟢 ON TRACK")))</f>
        <v>🟢 ON TRACK</v>
      </c>
      <c r="J49" s="95" t="s">
        <v>307</v>
      </c>
      <c r="K49" s="96"/>
    </row>
    <row r="50" customFormat="false" ht="15" hidden="false" customHeight="true" outlineLevel="0" collapsed="false">
      <c r="A50" s="1" t="str">
        <f aca="false">Job_Master!A51</f>
        <v>BJ-151</v>
      </c>
      <c r="B50" s="1" t="n">
        <f aca="false">Job_Master!B51</f>
        <v>25</v>
      </c>
      <c r="C50" s="1" t="str">
        <f aca="false">Job_Master!C51</f>
        <v>SOL</v>
      </c>
      <c r="D50" s="1" t="str">
        <f aca="false">Job_Master!G51</f>
        <v>Low</v>
      </c>
      <c r="E50" s="1" t="str">
        <f aca="false">Job_Master!K51</f>
        <v>Gamma Inc</v>
      </c>
      <c r="F50" s="91" t="n">
        <f aca="false">Job_Master!F51</f>
        <v>46484.416005291</v>
      </c>
      <c r="G50" s="91" t="n">
        <f aca="false">Job_Master!J51</f>
        <v>46514.416005291</v>
      </c>
      <c r="H50" s="94" t="n">
        <f aca="false">IF(OR(F50="",G50=""),"",(G50-F50))</f>
        <v>30</v>
      </c>
      <c r="I50" s="1" t="str">
        <f aca="false">IF(OR(F50="",G50=""),"⚪ Pending",IF(H50&lt;0,"🔴 OVERDUE",IF(H50&lt;7,"🟡 AT RISK","🟢 ON TRACK")))</f>
        <v>🟢 ON TRACK</v>
      </c>
      <c r="J50" s="95" t="s">
        <v>307</v>
      </c>
      <c r="K50" s="96"/>
    </row>
    <row r="51" customFormat="false" ht="15" hidden="false" customHeight="true" outlineLevel="0" collapsed="false">
      <c r="A51" s="1" t="str">
        <f aca="false">Job_Master!A52</f>
        <v>BJ-152</v>
      </c>
      <c r="B51" s="1" t="n">
        <f aca="false">Job_Master!B52</f>
        <v>34</v>
      </c>
      <c r="C51" s="1" t="str">
        <f aca="false">Job_Master!C52</f>
        <v>2P</v>
      </c>
      <c r="D51" s="1" t="str">
        <f aca="false">Job_Master!G52</f>
        <v>Medium</v>
      </c>
      <c r="E51" s="1" t="str">
        <f aca="false">Job_Master!K52</f>
        <v>Beta Ltd</v>
      </c>
      <c r="F51" s="91" t="n">
        <f aca="false">Job_Master!F52</f>
        <v>46486.916005291</v>
      </c>
      <c r="G51" s="91" t="n">
        <f aca="false">Job_Master!J52</f>
        <v>46516.916005291</v>
      </c>
      <c r="H51" s="94" t="n">
        <f aca="false">IF(OR(F51="",G51=""),"",(G51-F51))</f>
        <v>30</v>
      </c>
      <c r="I51" s="1" t="str">
        <f aca="false">IF(OR(F51="",G51=""),"⚪ Pending",IF(H51&lt;0,"🔴 OVERDUE",IF(H51&lt;7,"🟡 AT RISK","🟢 ON TRACK")))</f>
        <v>🟢 ON TRACK</v>
      </c>
      <c r="J51" s="95" t="s">
        <v>307</v>
      </c>
      <c r="K51" s="96"/>
    </row>
    <row r="52" customFormat="false" ht="15" hidden="false" customHeight="true" outlineLevel="0" collapsed="false">
      <c r="A52" s="1" t="str">
        <f aca="false">Job_Master!A53</f>
        <v>BJ-143</v>
      </c>
      <c r="B52" s="1" t="n">
        <f aca="false">Job_Master!B53</f>
        <v>17</v>
      </c>
      <c r="C52" s="1" t="str">
        <f aca="false">Job_Master!C53</f>
        <v>SOL</v>
      </c>
      <c r="D52" s="1" t="str">
        <f aca="false">Job_Master!G53</f>
        <v>Low</v>
      </c>
      <c r="E52" s="1" t="str">
        <f aca="false">Job_Master!K53</f>
        <v>Delta Co</v>
      </c>
      <c r="F52" s="91" t="n">
        <f aca="false">Job_Master!F53</f>
        <v>46489.6937830688</v>
      </c>
      <c r="G52" s="91" t="n">
        <f aca="false">Job_Master!J53</f>
        <v>46519.6937830688</v>
      </c>
      <c r="H52" s="94" t="n">
        <f aca="false">IF(OR(F52="",G52=""),"",(G52-F52))</f>
        <v>30</v>
      </c>
      <c r="I52" s="1" t="str">
        <f aca="false">IF(OR(F52="",G52=""),"⚪ Pending",IF(H52&lt;0,"🔴 OVERDUE",IF(H52&lt;7,"🟡 AT RISK","🟢 ON TRACK")))</f>
        <v>🟢 ON TRACK</v>
      </c>
      <c r="J52" s="95" t="s">
        <v>307</v>
      </c>
      <c r="K52" s="96"/>
    </row>
    <row r="53" customFormat="false" ht="15" hidden="false" customHeight="true" outlineLevel="0" collapsed="false">
      <c r="A53" s="1" t="str">
        <f aca="false">Job_Master!A54</f>
        <v>BJ-154</v>
      </c>
      <c r="B53" s="1" t="n">
        <f aca="false">Job_Master!B54</f>
        <v>25</v>
      </c>
      <c r="C53" s="1" t="str">
        <f aca="false">Job_Master!C54</f>
        <v>RW</v>
      </c>
      <c r="D53" s="1" t="str">
        <f aca="false">Job_Master!G54</f>
        <v>Low</v>
      </c>
      <c r="E53" s="1" t="str">
        <f aca="false">Job_Master!K54</f>
        <v>Alpha Corp</v>
      </c>
      <c r="F53" s="91" t="n">
        <f aca="false">Job_Master!F54</f>
        <v>46491.1752645503</v>
      </c>
      <c r="G53" s="91" t="n">
        <f aca="false">Job_Master!J54</f>
        <v>46521.1752645503</v>
      </c>
      <c r="H53" s="94" t="n">
        <f aca="false">IF(OR(F53="",G53=""),"",(G53-F53))</f>
        <v>30</v>
      </c>
      <c r="I53" s="1" t="str">
        <f aca="false">IF(OR(F53="",G53=""),"⚪ Pending",IF(H53&lt;0,"🔴 OVERDUE",IF(H53&lt;7,"🟡 AT RISK","🟢 ON TRACK")))</f>
        <v>🟢 ON TRACK</v>
      </c>
      <c r="J53" s="95" t="s">
        <v>307</v>
      </c>
      <c r="K53" s="96"/>
    </row>
    <row r="54" customFormat="false" ht="15" hidden="false" customHeight="true" outlineLevel="0" collapsed="false">
      <c r="A54" s="1" t="str">
        <f aca="false">Job_Master!A55</f>
        <v>BJ-156</v>
      </c>
      <c r="B54" s="1" t="n">
        <f aca="false">Job_Master!B55</f>
        <v>25</v>
      </c>
      <c r="C54" s="1" t="str">
        <f aca="false">Job_Master!C55</f>
        <v>2P</v>
      </c>
      <c r="D54" s="1" t="str">
        <f aca="false">Job_Master!G55</f>
        <v>Low</v>
      </c>
      <c r="E54" s="1" t="str">
        <f aca="false">Job_Master!K55</f>
        <v>Beta Ltd</v>
      </c>
      <c r="F54" s="91" t="n">
        <f aca="false">Job_Master!F55</f>
        <v>46493.6752645503</v>
      </c>
      <c r="G54" s="91" t="n">
        <f aca="false">Job_Master!J55</f>
        <v>46523.6752645503</v>
      </c>
      <c r="H54" s="94" t="n">
        <f aca="false">IF(OR(F54="",G54=""),"",(G54-F54))</f>
        <v>30</v>
      </c>
      <c r="I54" s="1" t="str">
        <f aca="false">IF(OR(F54="",G54=""),"⚪ Pending",IF(H54&lt;0,"🔴 OVERDUE",IF(H54&lt;7,"🟡 AT RISK","🟢 ON TRACK")))</f>
        <v>🟢 ON TRACK</v>
      </c>
      <c r="J54" s="95" t="s">
        <v>307</v>
      </c>
      <c r="K54" s="96"/>
    </row>
    <row r="55" customFormat="false" ht="15" hidden="false" customHeight="true" outlineLevel="0" collapsed="false">
      <c r="A55" s="1" t="str">
        <f aca="false">Job_Master!A56</f>
        <v>BJ-145</v>
      </c>
      <c r="B55" s="1" t="n">
        <f aca="false">Job_Master!B56</f>
        <v>15</v>
      </c>
      <c r="C55" s="1" t="str">
        <f aca="false">Job_Master!C56</f>
        <v>2P</v>
      </c>
      <c r="D55" s="1" t="str">
        <f aca="false">Job_Master!G56</f>
        <v>Low</v>
      </c>
      <c r="E55" s="1" t="str">
        <f aca="false">Job_Master!K56</f>
        <v>Alpha Corp</v>
      </c>
      <c r="F55" s="91" t="n">
        <f aca="false">Job_Master!F56</f>
        <v>46494.878968254</v>
      </c>
      <c r="G55" s="91" t="n">
        <f aca="false">Job_Master!J56</f>
        <v>46524.878968254</v>
      </c>
      <c r="H55" s="94" t="n">
        <f aca="false">IF(OR(F55="",G55=""),"",(G55-F55))</f>
        <v>30</v>
      </c>
      <c r="I55" s="1" t="str">
        <f aca="false">IF(OR(F55="",G55=""),"⚪ Pending",IF(H55&lt;0,"🔴 OVERDUE",IF(H55&lt;7,"🟡 AT RISK","🟢 ON TRACK")))</f>
        <v>🟢 ON TRACK</v>
      </c>
      <c r="J55" s="95" t="s">
        <v>307</v>
      </c>
      <c r="K55" s="96"/>
    </row>
    <row r="56" customFormat="false" ht="15" hidden="false" customHeight="true" outlineLevel="0" collapsed="false">
      <c r="A56" s="1" t="str">
        <f aca="false">Job_Master!A57</f>
        <v>BJ-153</v>
      </c>
      <c r="B56" s="1" t="n">
        <f aca="false">Job_Master!B57</f>
        <v>34</v>
      </c>
      <c r="C56" s="1" t="str">
        <f aca="false">Job_Master!C57</f>
        <v>SEG</v>
      </c>
      <c r="D56" s="1" t="str">
        <f aca="false">Job_Master!G57</f>
        <v>Medium</v>
      </c>
      <c r="E56" s="1" t="str">
        <f aca="false">Job_Master!K57</f>
        <v>Gamma Inc</v>
      </c>
      <c r="F56" s="91" t="n">
        <f aca="false">Job_Master!F57</f>
        <v>46524.4986772487</v>
      </c>
      <c r="G56" s="91" t="n">
        <f aca="false">Job_Master!J57</f>
        <v>46554.4986772487</v>
      </c>
      <c r="H56" s="94" t="n">
        <f aca="false">IF(OR(F56="",G56=""),"",(G56-F56))</f>
        <v>30</v>
      </c>
      <c r="I56" s="1" t="str">
        <f aca="false">IF(OR(F56="",G56=""),"⚪ Pending",IF(H56&lt;0,"🔴 OVERDUE",IF(H56&lt;7,"🟡 AT RISK","🟢 ON TRACK")))</f>
        <v>🟢 ON TRACK</v>
      </c>
      <c r="J56" s="95" t="s">
        <v>307</v>
      </c>
      <c r="K56" s="96"/>
    </row>
    <row r="57" customFormat="false" ht="15" hidden="false" customHeight="true" outlineLevel="0" collapsed="false">
      <c r="A57" s="1" t="str">
        <f aca="false">Job_Master!A58</f>
        <v>BJ-160</v>
      </c>
      <c r="B57" s="1" t="n">
        <f aca="false">Job_Master!B58</f>
        <v>34</v>
      </c>
      <c r="C57" s="1" t="str">
        <f aca="false">Job_Master!C58</f>
        <v>2P</v>
      </c>
      <c r="D57" s="1" t="str">
        <f aca="false">Job_Master!G58</f>
        <v>Medium</v>
      </c>
      <c r="E57" s="1" t="str">
        <f aca="false">Job_Master!K58</f>
        <v>Beta Ltd</v>
      </c>
      <c r="F57" s="91" t="n">
        <f aca="false">Job_Master!F58</f>
        <v>46526.9986772487</v>
      </c>
      <c r="G57" s="91" t="n">
        <f aca="false">Job_Master!J58</f>
        <v>46556.9986772487</v>
      </c>
      <c r="H57" s="94" t="n">
        <f aca="false">IF(OR(F57="",G57=""),"",(G57-F57))</f>
        <v>30</v>
      </c>
      <c r="I57" s="1" t="str">
        <f aca="false">IF(OR(F57="",G57=""),"⚪ Pending",IF(H57&lt;0,"🔴 OVERDUE",IF(H57&lt;7,"🟡 AT RISK","🟢 ON TRACK")))</f>
        <v>🟢 ON TRACK</v>
      </c>
      <c r="J57" s="95" t="s">
        <v>307</v>
      </c>
      <c r="K57" s="96"/>
    </row>
    <row r="58" customFormat="false" ht="15" hidden="false" customHeight="true" outlineLevel="0" collapsed="false">
      <c r="A58" s="1" t="str">
        <f aca="false">Job_Master!A59</f>
        <v>BJ-158</v>
      </c>
      <c r="B58" s="1" t="n">
        <f aca="false">Job_Master!B59</f>
        <v>54</v>
      </c>
      <c r="C58" s="1" t="str">
        <f aca="false">Job_Master!C59</f>
        <v>2P</v>
      </c>
      <c r="D58" s="1" t="str">
        <f aca="false">Job_Master!G59</f>
        <v>High</v>
      </c>
      <c r="E58" s="1" t="str">
        <f aca="false">Job_Master!K59</f>
        <v>Delta Co</v>
      </c>
      <c r="F58" s="91" t="n">
        <f aca="false">Job_Master!F59</f>
        <v>46533.2023809524</v>
      </c>
      <c r="G58" s="91" t="n">
        <f aca="false">Job_Master!J59</f>
        <v>46563.2023809524</v>
      </c>
      <c r="H58" s="94" t="n">
        <f aca="false">IF(OR(F58="",G58=""),"",(G58-F58))</f>
        <v>30</v>
      </c>
      <c r="I58" s="1" t="str">
        <f aca="false">IF(OR(F58="",G58=""),"⚪ Pending",IF(H58&lt;0,"🔴 OVERDUE",IF(H58&lt;7,"🟡 AT RISK","🟢 ON TRACK")))</f>
        <v>🟢 ON TRACK</v>
      </c>
      <c r="J58" s="95" t="s">
        <v>307</v>
      </c>
      <c r="K58" s="96"/>
    </row>
    <row r="59" customFormat="false" ht="15" hidden="false" customHeight="true" outlineLevel="0" collapsed="false">
      <c r="A59" s="1" t="str">
        <f aca="false">Job_Master!A60</f>
        <v>BJ-157</v>
      </c>
      <c r="B59" s="1" t="n">
        <f aca="false">Job_Master!B60</f>
        <v>50</v>
      </c>
      <c r="C59" s="1" t="str">
        <f aca="false">Job_Master!C60</f>
        <v>SEG</v>
      </c>
      <c r="D59" s="1" t="str">
        <f aca="false">Job_Master!G60</f>
        <v>High</v>
      </c>
      <c r="E59" s="1" t="str">
        <f aca="false">Job_Master!K60</f>
        <v>Alpha Corp</v>
      </c>
      <c r="F59" s="91" t="n">
        <f aca="false">Job_Master!F60</f>
        <v>46586.5324074074</v>
      </c>
      <c r="G59" s="91" t="n">
        <f aca="false">Job_Master!J60</f>
        <v>46616.5324074074</v>
      </c>
      <c r="H59" s="94" t="n">
        <f aca="false">IF(OR(F59="",G59=""),"",(G59-F59))</f>
        <v>30</v>
      </c>
      <c r="I59" s="1" t="str">
        <f aca="false">IF(OR(F59="",G59=""),"⚪ Pending",IF(H59&lt;0,"🔴 OVERDUE",IF(H59&lt;7,"🟡 AT RISK","🟢 ON TRACK")))</f>
        <v>🟢 ON TRACK</v>
      </c>
      <c r="J59" s="95" t="s">
        <v>307</v>
      </c>
      <c r="K59" s="96"/>
    </row>
    <row r="60" customFormat="false" ht="15" hidden="false" customHeight="true" outlineLevel="0" collapsed="false">
      <c r="A60" s="1" t="str">
        <f aca="false">Job_Master!A61</f>
        <v>BJ-159</v>
      </c>
      <c r="B60" s="1" t="n">
        <f aca="false">Job_Master!B61</f>
        <v>54</v>
      </c>
      <c r="C60" s="1" t="str">
        <f aca="false">Job_Master!C61</f>
        <v>RW</v>
      </c>
      <c r="D60" s="1" t="str">
        <f aca="false">Job_Master!G61</f>
        <v>High</v>
      </c>
      <c r="E60" s="1" t="str">
        <f aca="false">Job_Master!K61</f>
        <v>Gamma Inc</v>
      </c>
      <c r="F60" s="91" t="n">
        <f aca="false">Job_Master!F61</f>
        <v>46592.8287037037</v>
      </c>
      <c r="G60" s="91" t="n">
        <f aca="false">Job_Master!J61</f>
        <v>46622.8287037037</v>
      </c>
      <c r="H60" s="94" t="n">
        <f aca="false">IF(OR(F60="",G60=""),"",(G60-F60))</f>
        <v>30</v>
      </c>
      <c r="I60" s="1" t="str">
        <f aca="false">IF(OR(F60="",G60=""),"⚪ Pending",IF(H60&lt;0,"🔴 OVERDUE",IF(H60&lt;7,"🟡 AT RISK","🟢 ON TRACK")))</f>
        <v>🟢 ON TRACK</v>
      </c>
      <c r="J60" s="95" t="s">
        <v>307</v>
      </c>
      <c r="K60" s="96"/>
    </row>
    <row r="61" customFormat="false" ht="15" hidden="false" customHeight="true" outlineLevel="0" collapsed="false">
      <c r="A61" s="1" t="str">
        <f aca="false">Job_Master!A62</f>
        <v>BJ-148</v>
      </c>
      <c r="B61" s="1" t="n">
        <f aca="false">Job_Master!B62</f>
        <v>9</v>
      </c>
      <c r="C61" s="1" t="str">
        <f aca="false">Job_Master!C62</f>
        <v>SEG</v>
      </c>
      <c r="D61" s="1" t="str">
        <f aca="false">Job_Master!G62</f>
        <v>Low</v>
      </c>
      <c r="E61" s="1" t="str">
        <f aca="false">Job_Master!K62</f>
        <v>Beta Ltd</v>
      </c>
      <c r="F61" s="91" t="n">
        <f aca="false">Job_Master!F62</f>
        <v>46593.3842592593</v>
      </c>
      <c r="G61" s="91" t="n">
        <f aca="false">Job_Master!J62</f>
        <v>46623.3842592593</v>
      </c>
      <c r="H61" s="94" t="n">
        <f aca="false">IF(OR(F61="",G61=""),"",(G61-F61))</f>
        <v>30</v>
      </c>
      <c r="I61" s="1" t="str">
        <f aca="false">IF(OR(F61="",G61=""),"⚪ Pending",IF(H61&lt;0,"🔴 OVERDUE",IF(H61&lt;7,"🟡 AT RISK","🟢 ON TRACK")))</f>
        <v>🟢 ON TRACK</v>
      </c>
      <c r="J61" s="95" t="s">
        <v>307</v>
      </c>
      <c r="K61" s="96"/>
    </row>
    <row r="62" customFormat="false" ht="15" hidden="false" customHeight="true" outlineLevel="0" collapsed="false">
      <c r="A62" s="1" t="str">
        <f aca="false">Job_Master!A63</f>
        <v>BJ-161</v>
      </c>
      <c r="B62" s="1" t="n">
        <f aca="false">Job_Master!B63</f>
        <v>30</v>
      </c>
      <c r="C62" s="1" t="str">
        <f aca="false">Job_Master!C63</f>
        <v>SEG</v>
      </c>
      <c r="D62" s="1" t="str">
        <f aca="false">Job_Master!G63</f>
        <v>Medium</v>
      </c>
      <c r="E62" s="1" t="str">
        <f aca="false">Job_Master!K63</f>
        <v>Delta Co</v>
      </c>
      <c r="F62" s="91" t="n">
        <f aca="false">Job_Master!F63</f>
        <v>46600.3287037037</v>
      </c>
      <c r="G62" s="91" t="n">
        <f aca="false">Job_Master!J63</f>
        <v>46630.3287037037</v>
      </c>
      <c r="H62" s="94" t="n">
        <f aca="false">IF(OR(F62="",G62=""),"",(G62-F62))</f>
        <v>30</v>
      </c>
      <c r="I62" s="1" t="str">
        <f aca="false">IF(OR(F62="",G62=""),"⚪ Pending",IF(H62&lt;0,"🔴 OVERDUE",IF(H62&lt;7,"🟡 AT RISK","🟢 ON TRACK")))</f>
        <v>🟢 ON TRACK</v>
      </c>
      <c r="J62" s="95" t="s">
        <v>307</v>
      </c>
      <c r="K62" s="96"/>
    </row>
    <row r="63" customFormat="false" ht="15" hidden="false" customHeight="true" outlineLevel="0" collapsed="false">
      <c r="A63" s="1" t="str">
        <f aca="false">Job_Master!A64</f>
        <v>BJ-149</v>
      </c>
      <c r="B63" s="1" t="n">
        <f aca="false">Job_Master!B64</f>
        <v>9</v>
      </c>
      <c r="C63" s="1" t="str">
        <f aca="false">Job_Master!C64</f>
        <v>2P</v>
      </c>
      <c r="D63" s="1" t="str">
        <f aca="false">Job_Master!G64</f>
        <v>Low</v>
      </c>
      <c r="E63" s="1" t="str">
        <f aca="false">Job_Master!K64</f>
        <v>Alpha Corp</v>
      </c>
      <c r="F63" s="91" t="n">
        <f aca="false">Job_Master!F64</f>
        <v>46600.7916666667</v>
      </c>
      <c r="G63" s="91" t="n">
        <f aca="false">Job_Master!J64</f>
        <v>46630.7916666667</v>
      </c>
      <c r="H63" s="94" t="n">
        <f aca="false">IF(OR(F63="",G63=""),"",(G63-F63))</f>
        <v>30</v>
      </c>
      <c r="I63" s="1" t="str">
        <f aca="false">IF(OR(F63="",G63=""),"⚪ Pending",IF(H63&lt;0,"🔴 OVERDUE",IF(H63&lt;7,"🟡 AT RISK","🟢 ON TRACK")))</f>
        <v>🟢 ON TRACK</v>
      </c>
      <c r="J63" s="95" t="s">
        <v>307</v>
      </c>
      <c r="K63" s="96"/>
    </row>
    <row r="64" customFormat="false" ht="15" hidden="false" customHeight="true" outlineLevel="0" collapsed="false">
      <c r="A64" s="1" t="str">
        <f aca="false">Job_Master!A65</f>
        <v>BJ-163</v>
      </c>
      <c r="B64" s="1" t="n">
        <f aca="false">Job_Master!B65</f>
        <v>70</v>
      </c>
      <c r="C64" s="1" t="str">
        <f aca="false">Job_Master!C65</f>
        <v>SOL</v>
      </c>
      <c r="D64" s="1" t="str">
        <f aca="false">Job_Master!G65</f>
        <v>High</v>
      </c>
      <c r="E64" s="1" t="str">
        <f aca="false">Job_Master!K65</f>
        <v>Beta Ltd</v>
      </c>
      <c r="F64" s="91" t="n">
        <f aca="false">Job_Master!F65</f>
        <v>46636.2414021164</v>
      </c>
      <c r="G64" s="91" t="n">
        <f aca="false">Job_Master!J65</f>
        <v>46666.2414021164</v>
      </c>
      <c r="H64" s="94" t="n">
        <f aca="false">IF(OR(F64="",G64=""),"",(G64-F64))</f>
        <v>30</v>
      </c>
      <c r="I64" s="1" t="str">
        <f aca="false">IF(OR(F64="",G64=""),"⚪ Pending",IF(H64&lt;0,"🔴 OVERDUE",IF(H64&lt;7,"🟡 AT RISK","🟢 ON TRACK")))</f>
        <v>🟢 ON TRACK</v>
      </c>
      <c r="J64" s="95" t="s">
        <v>307</v>
      </c>
      <c r="K64" s="96"/>
    </row>
    <row r="65" customFormat="false" ht="15" hidden="false" customHeight="true" outlineLevel="0" collapsed="false">
      <c r="A65" s="1" t="str">
        <f aca="false">Job_Master!A66</f>
        <v>BJ-164</v>
      </c>
      <c r="B65" s="1" t="n">
        <f aca="false">Job_Master!B66</f>
        <v>42</v>
      </c>
      <c r="C65" s="1" t="str">
        <f aca="false">Job_Master!C66</f>
        <v>SOL</v>
      </c>
      <c r="D65" s="1" t="str">
        <f aca="false">Job_Master!G66</f>
        <v>Medium</v>
      </c>
      <c r="E65" s="1" t="str">
        <f aca="false">Job_Master!K66</f>
        <v>Alpha Corp</v>
      </c>
      <c r="F65" s="91" t="n">
        <f aca="false">Job_Master!F66</f>
        <v>46642.3525132275</v>
      </c>
      <c r="G65" s="91" t="n">
        <f aca="false">Job_Master!J66</f>
        <v>46672.3525132275</v>
      </c>
      <c r="H65" s="94" t="n">
        <f aca="false">IF(OR(F65="",G65=""),"",(G65-F65))</f>
        <v>30</v>
      </c>
      <c r="I65" s="1" t="str">
        <f aca="false">IF(OR(F65="",G65=""),"⚪ Pending",IF(H65&lt;0,"🔴 OVERDUE",IF(H65&lt;7,"🟡 AT RISK","🟢 ON TRACK")))</f>
        <v>🟢 ON TRACK</v>
      </c>
      <c r="J65" s="95" t="s">
        <v>307</v>
      </c>
      <c r="K65" s="96"/>
    </row>
    <row r="66" customFormat="false" ht="15" hidden="false" customHeight="true" outlineLevel="0" collapsed="false">
      <c r="A66" s="1" t="str">
        <f aca="false">Job_Master!A67</f>
        <v>BJ-168</v>
      </c>
      <c r="B66" s="1" t="n">
        <f aca="false">Job_Master!B67</f>
        <v>20</v>
      </c>
      <c r="C66" s="1" t="str">
        <f aca="false">Job_Master!C67</f>
        <v>2P</v>
      </c>
      <c r="D66" s="1" t="str">
        <f aca="false">Job_Master!G67</f>
        <v>Low</v>
      </c>
      <c r="E66" s="1" t="str">
        <f aca="false">Job_Master!K67</f>
        <v>Gamma Inc</v>
      </c>
      <c r="F66" s="91" t="n">
        <f aca="false">Job_Master!F67</f>
        <v>46643.4636243386</v>
      </c>
      <c r="G66" s="91" t="n">
        <f aca="false">Job_Master!J67</f>
        <v>46673.4636243386</v>
      </c>
      <c r="H66" s="94" t="n">
        <f aca="false">IF(OR(F66="",G66=""),"",(G66-F66))</f>
        <v>30</v>
      </c>
      <c r="I66" s="1" t="str">
        <f aca="false">IF(OR(F66="",G66=""),"⚪ Pending",IF(H66&lt;0,"🔴 OVERDUE",IF(H66&lt;7,"🟡 AT RISK","🟢 ON TRACK")))</f>
        <v>🟢 ON TRACK</v>
      </c>
      <c r="J66" s="95" t="s">
        <v>307</v>
      </c>
      <c r="K66" s="96"/>
    </row>
    <row r="67" customFormat="false" ht="15" hidden="false" customHeight="true" outlineLevel="0" collapsed="false">
      <c r="A67" s="1" t="str">
        <f aca="false">Job_Master!A68</f>
        <v>BJ-155</v>
      </c>
      <c r="B67" s="1" t="n">
        <f aca="false">Job_Master!B68</f>
        <v>17</v>
      </c>
      <c r="C67" s="1" t="str">
        <f aca="false">Job_Master!C68</f>
        <v>RW</v>
      </c>
      <c r="D67" s="1" t="str">
        <f aca="false">Job_Master!G68</f>
        <v>Low</v>
      </c>
      <c r="E67" s="1" t="str">
        <f aca="false">Job_Master!K68</f>
        <v>Beta Ltd</v>
      </c>
      <c r="F67" s="91" t="n">
        <f aca="false">Job_Master!F68</f>
        <v>46644.4821428571</v>
      </c>
      <c r="G67" s="91" t="n">
        <f aca="false">Job_Master!J68</f>
        <v>46674.4821428571</v>
      </c>
      <c r="H67" s="94" t="n">
        <f aca="false">IF(OR(F67="",G67=""),"",(G67-F67))</f>
        <v>30</v>
      </c>
      <c r="I67" s="1" t="str">
        <f aca="false">IF(OR(F67="",G67=""),"⚪ Pending",IF(H67&lt;0,"🔴 OVERDUE",IF(H67&lt;7,"🟡 AT RISK","🟢 ON TRACK")))</f>
        <v>🟢 ON TRACK</v>
      </c>
      <c r="J67" s="95" t="s">
        <v>307</v>
      </c>
      <c r="K67" s="96"/>
    </row>
    <row r="68" customFormat="false" ht="15" hidden="false" customHeight="true" outlineLevel="0" collapsed="false">
      <c r="A68" s="1" t="str">
        <f aca="false">Job_Master!A69</f>
        <v>BJ-167</v>
      </c>
      <c r="B68" s="1" t="n">
        <f aca="false">Job_Master!B69</f>
        <v>54</v>
      </c>
      <c r="C68" s="1" t="str">
        <f aca="false">Job_Master!C69</f>
        <v>2P</v>
      </c>
      <c r="D68" s="1" t="str">
        <f aca="false">Job_Master!G69</f>
        <v>High</v>
      </c>
      <c r="E68" s="1" t="str">
        <f aca="false">Job_Master!K69</f>
        <v>Delta Co</v>
      </c>
      <c r="F68" s="91" t="n">
        <f aca="false">Job_Master!F69</f>
        <v>46650.6858465608</v>
      </c>
      <c r="G68" s="91" t="n">
        <f aca="false">Job_Master!J69</f>
        <v>46680.6858465608</v>
      </c>
      <c r="H68" s="94" t="n">
        <f aca="false">IF(OR(F68="",G68=""),"",(G68-F68))</f>
        <v>30</v>
      </c>
      <c r="I68" s="1" t="str">
        <f aca="false">IF(OR(F68="",G68=""),"⚪ Pending",IF(H68&lt;0,"🔴 OVERDUE",IF(H68&lt;7,"🟡 AT RISK","🟢 ON TRACK")))</f>
        <v>🟢 ON TRACK</v>
      </c>
      <c r="J68" s="95" t="s">
        <v>307</v>
      </c>
      <c r="K68" s="96"/>
    </row>
    <row r="69" customFormat="false" ht="15" hidden="false" customHeight="true" outlineLevel="0" collapsed="false">
      <c r="A69" s="1" t="str">
        <f aca="false">Job_Master!A70</f>
        <v>BJ-166</v>
      </c>
      <c r="B69" s="1" t="n">
        <f aca="false">Job_Master!B70</f>
        <v>50</v>
      </c>
      <c r="C69" s="1" t="str">
        <f aca="false">Job_Master!C70</f>
        <v>SOL</v>
      </c>
      <c r="D69" s="1" t="str">
        <f aca="false">Job_Master!G70</f>
        <v>High</v>
      </c>
      <c r="E69" s="1" t="str">
        <f aca="false">Job_Master!K70</f>
        <v>Alpha Corp</v>
      </c>
      <c r="F69" s="91" t="n">
        <f aca="false">Job_Master!F70</f>
        <v>46663.4966931217</v>
      </c>
      <c r="G69" s="91" t="n">
        <f aca="false">Job_Master!J70</f>
        <v>46693.4966931217</v>
      </c>
      <c r="H69" s="94" t="n">
        <f aca="false">IF(OR(F69="",G69=""),"",(G69-F69))</f>
        <v>30</v>
      </c>
      <c r="I69" s="1" t="str">
        <f aca="false">IF(OR(F69="",G69=""),"⚪ Pending",IF(H69&lt;0,"🔴 OVERDUE",IF(H69&lt;7,"🟡 AT RISK","🟢 ON TRACK")))</f>
        <v>🟢 ON TRACK</v>
      </c>
      <c r="J69" s="95" t="s">
        <v>307</v>
      </c>
      <c r="K69" s="96"/>
    </row>
    <row r="70" customFormat="false" ht="15" hidden="false" customHeight="true" outlineLevel="0" collapsed="false">
      <c r="A70" s="1" t="str">
        <f aca="false">Job_Master!A71</f>
        <v>BJ-162</v>
      </c>
      <c r="B70" s="1" t="n">
        <f aca="false">Job_Master!B71</f>
        <v>17</v>
      </c>
      <c r="C70" s="1" t="str">
        <f aca="false">Job_Master!C71</f>
        <v>SOL</v>
      </c>
      <c r="D70" s="1" t="str">
        <f aca="false">Job_Master!G71</f>
        <v>Low</v>
      </c>
      <c r="E70" s="1" t="str">
        <f aca="false">Job_Master!K71</f>
        <v>Gamma Inc</v>
      </c>
      <c r="F70" s="91" t="n">
        <f aca="false">Job_Master!F71</f>
        <v>46666.2744708995</v>
      </c>
      <c r="G70" s="91" t="n">
        <f aca="false">Job_Master!J71</f>
        <v>46696.2744708995</v>
      </c>
      <c r="H70" s="94" t="n">
        <f aca="false">IF(OR(F70="",G70=""),"",(G70-F70))</f>
        <v>30</v>
      </c>
      <c r="I70" s="1" t="str">
        <f aca="false">IF(OR(F70="",G70=""),"⚪ Pending",IF(H70&lt;0,"🔴 OVERDUE",IF(H70&lt;7,"🟡 AT RISK","🟢 ON TRACK")))</f>
        <v>🟢 ON TRACK</v>
      </c>
      <c r="J70" s="95" t="s">
        <v>307</v>
      </c>
      <c r="K70" s="96"/>
    </row>
    <row r="71" customFormat="false" ht="15" hidden="false" customHeight="true" outlineLevel="0" collapsed="false">
      <c r="A71" s="1" t="str">
        <f aca="false">Job_Master!A72</f>
        <v>BJ-165</v>
      </c>
      <c r="B71" s="1" t="n">
        <f aca="false">Job_Master!B72</f>
        <v>17</v>
      </c>
      <c r="C71" s="1" t="str">
        <f aca="false">Job_Master!C72</f>
        <v>2P</v>
      </c>
      <c r="D71" s="1" t="str">
        <f aca="false">Job_Master!G72</f>
        <v>Low</v>
      </c>
      <c r="E71" s="1" t="str">
        <f aca="false">Job_Master!K72</f>
        <v>Beta Ltd</v>
      </c>
      <c r="F71" s="91" t="n">
        <f aca="false">Job_Master!F72</f>
        <v>46667.4781746032</v>
      </c>
      <c r="G71" s="91" t="n">
        <f aca="false">Job_Master!J72</f>
        <v>46697.4781746032</v>
      </c>
      <c r="H71" s="94" t="n">
        <f aca="false">IF(OR(F71="",G71=""),"",(G71-F71))</f>
        <v>30</v>
      </c>
      <c r="I71" s="1" t="str">
        <f aca="false">IF(OR(F71="",G71=""),"⚪ Pending",IF(H71&lt;0,"🔴 OVERDUE",IF(H71&lt;7,"🟡 AT RISK","🟢 ON TRACK")))</f>
        <v>🟢 ON TRACK</v>
      </c>
      <c r="J71" s="95" t="s">
        <v>307</v>
      </c>
      <c r="K71" s="96"/>
    </row>
    <row r="72" customFormat="false" ht="15" hidden="false" customHeight="true" outlineLevel="0" collapsed="false">
      <c r="A72" s="1" t="str">
        <f aca="false">Job_Master!A73</f>
        <v>BJ-169</v>
      </c>
      <c r="B72" s="1" t="n">
        <f aca="false">Job_Master!B73</f>
        <v>17</v>
      </c>
      <c r="C72" s="1" t="str">
        <f aca="false">Job_Master!C73</f>
        <v>SEG</v>
      </c>
      <c r="D72" s="1" t="str">
        <f aca="false">Job_Master!G73</f>
        <v>Low</v>
      </c>
      <c r="E72" s="1" t="str">
        <f aca="false">Job_Master!K73</f>
        <v>Delta Co</v>
      </c>
      <c r="F72" s="91" t="n">
        <f aca="false">Job_Master!F73</f>
        <v>46670.5337301587</v>
      </c>
      <c r="G72" s="91" t="n">
        <f aca="false">Job_Master!J73</f>
        <v>46700.5337301587</v>
      </c>
      <c r="H72" s="94" t="n">
        <f aca="false">IF(OR(F72="",G72=""),"",(G72-F72))</f>
        <v>30</v>
      </c>
      <c r="I72" s="1" t="str">
        <f aca="false">IF(OR(F72="",G72=""),"⚪ Pending",IF(H72&lt;0,"🔴 OVERDUE",IF(H72&lt;7,"🟡 AT RISK","🟢 ON TRACK")))</f>
        <v>🟢 ON TRACK</v>
      </c>
      <c r="J72" s="95" t="s">
        <v>307</v>
      </c>
      <c r="K72" s="96"/>
    </row>
    <row r="73" customFormat="false" ht="15" hidden="false" customHeight="true" outlineLevel="0" collapsed="false">
      <c r="J73" s="95"/>
    </row>
    <row r="74" customFormat="false" ht="15" hidden="false" customHeight="true" outlineLevel="0" collapsed="false">
      <c r="J74" s="95"/>
    </row>
    <row r="75" customFormat="false" ht="15" hidden="false" customHeight="true" outlineLevel="0" collapsed="false">
      <c r="J75" s="95"/>
    </row>
    <row r="76" customFormat="false" ht="15" hidden="false" customHeight="true" outlineLevel="0" collapsed="false">
      <c r="J76" s="95"/>
    </row>
    <row r="77" customFormat="false" ht="15" hidden="false" customHeight="true" outlineLevel="0" collapsed="false">
      <c r="J77" s="95"/>
    </row>
    <row r="78" customFormat="false" ht="15" hidden="false" customHeight="true" outlineLevel="0" collapsed="false">
      <c r="J78" s="95"/>
    </row>
    <row r="79" customFormat="false" ht="15" hidden="false" customHeight="true" outlineLevel="0" collapsed="false">
      <c r="J79" s="95"/>
    </row>
    <row r="80" customFormat="false" ht="15" hidden="false" customHeight="true" outlineLevel="0" collapsed="false">
      <c r="J80" s="95"/>
    </row>
    <row r="81" customFormat="false" ht="15" hidden="false" customHeight="true" outlineLevel="0" collapsed="false">
      <c r="J81" s="95"/>
    </row>
    <row r="82" customFormat="false" ht="15" hidden="false" customHeight="true" outlineLevel="0" collapsed="false">
      <c r="J82" s="95"/>
    </row>
    <row r="83" customFormat="false" ht="15" hidden="false" customHeight="true" outlineLevel="0" collapsed="false">
      <c r="J83" s="95"/>
    </row>
    <row r="84" customFormat="false" ht="15" hidden="false" customHeight="true" outlineLevel="0" collapsed="false">
      <c r="J84" s="95"/>
    </row>
    <row r="85" customFormat="false" ht="15" hidden="false" customHeight="true" outlineLevel="0" collapsed="false">
      <c r="J85" s="95"/>
    </row>
    <row r="86" customFormat="false" ht="15" hidden="false" customHeight="true" outlineLevel="0" collapsed="false">
      <c r="J86" s="95"/>
    </row>
    <row r="87" customFormat="false" ht="15" hidden="false" customHeight="true" outlineLevel="0" collapsed="false">
      <c r="J87" s="95"/>
    </row>
    <row r="88" customFormat="false" ht="15" hidden="false" customHeight="true" outlineLevel="0" collapsed="false">
      <c r="J88" s="95"/>
    </row>
    <row r="89" customFormat="false" ht="15" hidden="false" customHeight="true" outlineLevel="0" collapsed="false">
      <c r="J89" s="95"/>
    </row>
    <row r="90" customFormat="false" ht="15" hidden="false" customHeight="true" outlineLevel="0" collapsed="false">
      <c r="J90" s="95"/>
    </row>
    <row r="91" customFormat="false" ht="15" hidden="false" customHeight="true" outlineLevel="0" collapsed="false">
      <c r="J91" s="95"/>
    </row>
    <row r="92" customFormat="false" ht="15" hidden="false" customHeight="true" outlineLevel="0" collapsed="false">
      <c r="J92" s="95"/>
    </row>
    <row r="93" customFormat="false" ht="15" hidden="false" customHeight="true" outlineLevel="0" collapsed="false">
      <c r="J93" s="95"/>
    </row>
    <row r="94" customFormat="false" ht="15" hidden="false" customHeight="true" outlineLevel="0" collapsed="false">
      <c r="J94" s="95"/>
    </row>
    <row r="95" customFormat="false" ht="15" hidden="false" customHeight="true" outlineLevel="0" collapsed="false">
      <c r="J95" s="95"/>
    </row>
    <row r="96" customFormat="false" ht="15" hidden="false" customHeight="true" outlineLevel="0" collapsed="false">
      <c r="J96" s="95"/>
    </row>
    <row r="97" customFormat="false" ht="15" hidden="false" customHeight="true" outlineLevel="0" collapsed="false">
      <c r="J97" s="95"/>
    </row>
    <row r="98" customFormat="false" ht="15" hidden="false" customHeight="true" outlineLevel="0" collapsed="false">
      <c r="J98" s="95"/>
    </row>
    <row r="99" customFormat="false" ht="15" hidden="false" customHeight="true" outlineLevel="0" collapsed="false">
      <c r="J99" s="95"/>
    </row>
    <row r="100" customFormat="false" ht="15" hidden="false" customHeight="true" outlineLevel="0" collapsed="false">
      <c r="J100" s="95"/>
    </row>
    <row r="101" customFormat="false" ht="15" hidden="false" customHeight="true" outlineLevel="0" collapsed="false">
      <c r="J101" s="95"/>
    </row>
    <row r="102" customFormat="false" ht="15" hidden="false" customHeight="true" outlineLevel="0" collapsed="false">
      <c r="J102" s="95"/>
    </row>
    <row r="103" customFormat="false" ht="15" hidden="false" customHeight="true" outlineLevel="0" collapsed="false">
      <c r="J103" s="95"/>
    </row>
    <row r="104" customFormat="false" ht="15" hidden="false" customHeight="true" outlineLevel="0" collapsed="false">
      <c r="J104" s="95"/>
    </row>
    <row r="105" customFormat="false" ht="15" hidden="false" customHeight="true" outlineLevel="0" collapsed="false">
      <c r="J105" s="95"/>
    </row>
    <row r="106" customFormat="false" ht="15" hidden="false" customHeight="true" outlineLevel="0" collapsed="false">
      <c r="J106" s="95"/>
    </row>
    <row r="107" customFormat="false" ht="15" hidden="false" customHeight="true" outlineLevel="0" collapsed="false">
      <c r="J107" s="95"/>
    </row>
    <row r="108" customFormat="false" ht="15" hidden="false" customHeight="true" outlineLevel="0" collapsed="false">
      <c r="J108" s="95"/>
    </row>
    <row r="109" customFormat="false" ht="15" hidden="false" customHeight="true" outlineLevel="0" collapsed="false">
      <c r="J109" s="95"/>
    </row>
    <row r="110" customFormat="false" ht="15" hidden="false" customHeight="true" outlineLevel="0" collapsed="false">
      <c r="J110" s="95"/>
    </row>
    <row r="111" customFormat="false" ht="15" hidden="false" customHeight="true" outlineLevel="0" collapsed="false">
      <c r="J111" s="95"/>
    </row>
    <row r="112" customFormat="false" ht="15" hidden="false" customHeight="true" outlineLevel="0" collapsed="false">
      <c r="J112" s="95"/>
    </row>
    <row r="113" customFormat="false" ht="15" hidden="false" customHeight="true" outlineLevel="0" collapsed="false">
      <c r="J113" s="95"/>
    </row>
    <row r="114" customFormat="false" ht="15" hidden="false" customHeight="true" outlineLevel="0" collapsed="false">
      <c r="J114" s="95"/>
    </row>
    <row r="115" customFormat="false" ht="15" hidden="false" customHeight="true" outlineLevel="0" collapsed="false">
      <c r="J115" s="95"/>
    </row>
    <row r="116" customFormat="false" ht="15" hidden="false" customHeight="true" outlineLevel="0" collapsed="false">
      <c r="J116" s="95"/>
    </row>
    <row r="117" customFormat="false" ht="15" hidden="false" customHeight="true" outlineLevel="0" collapsed="false">
      <c r="J117" s="95"/>
    </row>
    <row r="118" customFormat="false" ht="15" hidden="false" customHeight="true" outlineLevel="0" collapsed="false">
      <c r="J118" s="95"/>
    </row>
    <row r="119" customFormat="false" ht="15" hidden="false" customHeight="true" outlineLevel="0" collapsed="false">
      <c r="J119" s="95"/>
    </row>
    <row r="120" customFormat="false" ht="15" hidden="false" customHeight="true" outlineLevel="0" collapsed="false">
      <c r="J120" s="95"/>
    </row>
    <row r="121" customFormat="false" ht="15" hidden="false" customHeight="true" outlineLevel="0" collapsed="false">
      <c r="J121" s="95"/>
    </row>
    <row r="122" customFormat="false" ht="15" hidden="false" customHeight="true" outlineLevel="0" collapsed="false">
      <c r="J122" s="95"/>
    </row>
    <row r="123" customFormat="false" ht="15" hidden="false" customHeight="true" outlineLevel="0" collapsed="false">
      <c r="J123" s="95"/>
    </row>
    <row r="124" customFormat="false" ht="15" hidden="false" customHeight="true" outlineLevel="0" collapsed="false">
      <c r="J124" s="95"/>
    </row>
    <row r="125" customFormat="false" ht="15" hidden="false" customHeight="true" outlineLevel="0" collapsed="false">
      <c r="J125" s="95"/>
    </row>
    <row r="126" customFormat="false" ht="15" hidden="false" customHeight="true" outlineLevel="0" collapsed="false">
      <c r="J126" s="95"/>
    </row>
    <row r="127" customFormat="false" ht="15" hidden="false" customHeight="true" outlineLevel="0" collapsed="false">
      <c r="J127" s="95"/>
    </row>
    <row r="128" customFormat="false" ht="15" hidden="false" customHeight="true" outlineLevel="0" collapsed="false">
      <c r="J128" s="95"/>
    </row>
    <row r="129" customFormat="false" ht="15" hidden="false" customHeight="true" outlineLevel="0" collapsed="false">
      <c r="J129" s="95"/>
    </row>
    <row r="130" customFormat="false" ht="15" hidden="false" customHeight="true" outlineLevel="0" collapsed="false">
      <c r="J130" s="95"/>
    </row>
    <row r="131" customFormat="false" ht="15" hidden="false" customHeight="true" outlineLevel="0" collapsed="false">
      <c r="J131" s="95"/>
    </row>
    <row r="132" customFormat="false" ht="15" hidden="false" customHeight="true" outlineLevel="0" collapsed="false">
      <c r="J132" s="95"/>
    </row>
    <row r="133" customFormat="false" ht="15" hidden="false" customHeight="true" outlineLevel="0" collapsed="false">
      <c r="J133" s="95"/>
    </row>
    <row r="134" customFormat="false" ht="15" hidden="false" customHeight="true" outlineLevel="0" collapsed="false">
      <c r="J134" s="95"/>
    </row>
    <row r="135" customFormat="false" ht="15" hidden="false" customHeight="true" outlineLevel="0" collapsed="false">
      <c r="J135" s="95"/>
    </row>
    <row r="136" customFormat="false" ht="15" hidden="false" customHeight="true" outlineLevel="0" collapsed="false">
      <c r="J136" s="95"/>
    </row>
    <row r="137" customFormat="false" ht="15" hidden="false" customHeight="true" outlineLevel="0" collapsed="false">
      <c r="J137" s="95"/>
    </row>
    <row r="138" customFormat="false" ht="15" hidden="false" customHeight="true" outlineLevel="0" collapsed="false">
      <c r="J138" s="95"/>
    </row>
    <row r="139" customFormat="false" ht="15" hidden="false" customHeight="true" outlineLevel="0" collapsed="false">
      <c r="J139" s="95"/>
    </row>
    <row r="140" customFormat="false" ht="15" hidden="false" customHeight="true" outlineLevel="0" collapsed="false">
      <c r="J140" s="95"/>
    </row>
    <row r="141" customFormat="false" ht="15" hidden="false" customHeight="true" outlineLevel="0" collapsed="false">
      <c r="J141" s="95"/>
    </row>
    <row r="142" customFormat="false" ht="15" hidden="false" customHeight="true" outlineLevel="0" collapsed="false">
      <c r="J142" s="95"/>
    </row>
    <row r="143" customFormat="false" ht="15" hidden="false" customHeight="true" outlineLevel="0" collapsed="false">
      <c r="J143" s="95"/>
    </row>
    <row r="144" customFormat="false" ht="15" hidden="false" customHeight="true" outlineLevel="0" collapsed="false">
      <c r="J144" s="95"/>
    </row>
    <row r="145" customFormat="false" ht="15" hidden="false" customHeight="true" outlineLevel="0" collapsed="false">
      <c r="J145" s="95"/>
    </row>
    <row r="146" customFormat="false" ht="15" hidden="false" customHeight="true" outlineLevel="0" collapsed="false">
      <c r="J146" s="95"/>
    </row>
    <row r="147" customFormat="false" ht="15" hidden="false" customHeight="true" outlineLevel="0" collapsed="false">
      <c r="J147" s="95"/>
    </row>
    <row r="148" customFormat="false" ht="15" hidden="false" customHeight="true" outlineLevel="0" collapsed="false">
      <c r="J148" s="95"/>
    </row>
    <row r="149" customFormat="false" ht="15" hidden="false" customHeight="true" outlineLevel="0" collapsed="false">
      <c r="J149" s="95"/>
    </row>
    <row r="150" customFormat="false" ht="15" hidden="false" customHeight="true" outlineLevel="0" collapsed="false">
      <c r="J150" s="95"/>
    </row>
    <row r="151" customFormat="false" ht="15" hidden="false" customHeight="true" outlineLevel="0" collapsed="false">
      <c r="J151" s="95"/>
    </row>
    <row r="152" customFormat="false" ht="15" hidden="false" customHeight="true" outlineLevel="0" collapsed="false">
      <c r="J152" s="95"/>
    </row>
    <row r="153" customFormat="false" ht="15" hidden="false" customHeight="true" outlineLevel="0" collapsed="false">
      <c r="J153" s="95"/>
    </row>
    <row r="154" customFormat="false" ht="15" hidden="false" customHeight="true" outlineLevel="0" collapsed="false">
      <c r="J154" s="95"/>
    </row>
    <row r="155" customFormat="false" ht="15" hidden="false" customHeight="true" outlineLevel="0" collapsed="false">
      <c r="J155" s="95"/>
    </row>
    <row r="156" customFormat="false" ht="15" hidden="false" customHeight="true" outlineLevel="0" collapsed="false">
      <c r="J156" s="95"/>
    </row>
    <row r="157" customFormat="false" ht="15" hidden="false" customHeight="true" outlineLevel="0" collapsed="false">
      <c r="J157" s="95"/>
    </row>
    <row r="158" customFormat="false" ht="15" hidden="false" customHeight="true" outlineLevel="0" collapsed="false">
      <c r="J158" s="95"/>
    </row>
    <row r="159" customFormat="false" ht="15" hidden="false" customHeight="true" outlineLevel="0" collapsed="false">
      <c r="J159" s="95"/>
    </row>
    <row r="160" customFormat="false" ht="15" hidden="false" customHeight="true" outlineLevel="0" collapsed="false">
      <c r="J160" s="95"/>
    </row>
    <row r="161" customFormat="false" ht="15" hidden="false" customHeight="true" outlineLevel="0" collapsed="false">
      <c r="J161" s="95"/>
    </row>
    <row r="162" customFormat="false" ht="15" hidden="false" customHeight="true" outlineLevel="0" collapsed="false">
      <c r="J162" s="95"/>
    </row>
    <row r="163" customFormat="false" ht="15" hidden="false" customHeight="true" outlineLevel="0" collapsed="false">
      <c r="J163" s="95"/>
    </row>
    <row r="164" customFormat="false" ht="15" hidden="false" customHeight="true" outlineLevel="0" collapsed="false">
      <c r="J164" s="95"/>
    </row>
    <row r="165" customFormat="false" ht="15" hidden="false" customHeight="true" outlineLevel="0" collapsed="false">
      <c r="J165" s="95"/>
    </row>
    <row r="166" customFormat="false" ht="15" hidden="false" customHeight="true" outlineLevel="0" collapsed="false">
      <c r="J166" s="95"/>
    </row>
    <row r="167" customFormat="false" ht="15" hidden="false" customHeight="true" outlineLevel="0" collapsed="false">
      <c r="J167" s="95"/>
    </row>
    <row r="168" customFormat="false" ht="15" hidden="false" customHeight="true" outlineLevel="0" collapsed="false">
      <c r="J168" s="95"/>
    </row>
    <row r="169" customFormat="false" ht="15" hidden="false" customHeight="true" outlineLevel="0" collapsed="false">
      <c r="J169" s="95"/>
    </row>
    <row r="170" customFormat="false" ht="15" hidden="false" customHeight="true" outlineLevel="0" collapsed="false">
      <c r="J170" s="95"/>
    </row>
    <row r="171" customFormat="false" ht="15" hidden="false" customHeight="true" outlineLevel="0" collapsed="false">
      <c r="J171" s="95"/>
    </row>
    <row r="172" customFormat="false" ht="15" hidden="false" customHeight="true" outlineLevel="0" collapsed="false">
      <c r="J172" s="95"/>
    </row>
    <row r="173" customFormat="false" ht="15" hidden="false" customHeight="true" outlineLevel="0" collapsed="false">
      <c r="J173" s="95"/>
    </row>
    <row r="174" customFormat="false" ht="15" hidden="false" customHeight="true" outlineLevel="0" collapsed="false">
      <c r="J174" s="95"/>
    </row>
    <row r="175" customFormat="false" ht="15" hidden="false" customHeight="true" outlineLevel="0" collapsed="false">
      <c r="J175" s="95"/>
    </row>
    <row r="176" customFormat="false" ht="15" hidden="false" customHeight="true" outlineLevel="0" collapsed="false">
      <c r="J176" s="95"/>
    </row>
    <row r="177" customFormat="false" ht="15" hidden="false" customHeight="true" outlineLevel="0" collapsed="false">
      <c r="J177" s="95"/>
    </row>
    <row r="178" customFormat="false" ht="15" hidden="false" customHeight="true" outlineLevel="0" collapsed="false">
      <c r="J178" s="95"/>
    </row>
    <row r="179" customFormat="false" ht="15" hidden="false" customHeight="true" outlineLevel="0" collapsed="false">
      <c r="J179" s="95"/>
    </row>
    <row r="180" customFormat="false" ht="15" hidden="false" customHeight="true" outlineLevel="0" collapsed="false">
      <c r="J180" s="95"/>
    </row>
    <row r="181" customFormat="false" ht="15" hidden="false" customHeight="true" outlineLevel="0" collapsed="false">
      <c r="J181" s="95"/>
    </row>
    <row r="182" customFormat="false" ht="15" hidden="false" customHeight="true" outlineLevel="0" collapsed="false">
      <c r="J182" s="95"/>
    </row>
    <row r="183" customFormat="false" ht="15" hidden="false" customHeight="true" outlineLevel="0" collapsed="false">
      <c r="J183" s="95"/>
    </row>
    <row r="184" customFormat="false" ht="15" hidden="false" customHeight="true" outlineLevel="0" collapsed="false">
      <c r="J184" s="95"/>
    </row>
    <row r="185" customFormat="false" ht="15" hidden="false" customHeight="true" outlineLevel="0" collapsed="false">
      <c r="J185" s="95"/>
    </row>
    <row r="186" customFormat="false" ht="15" hidden="false" customHeight="true" outlineLevel="0" collapsed="false">
      <c r="J186" s="95"/>
    </row>
    <row r="187" customFormat="false" ht="15" hidden="false" customHeight="true" outlineLevel="0" collapsed="false">
      <c r="J187" s="95"/>
    </row>
    <row r="188" customFormat="false" ht="15" hidden="false" customHeight="true" outlineLevel="0" collapsed="false">
      <c r="J188" s="95"/>
    </row>
    <row r="189" customFormat="false" ht="15" hidden="false" customHeight="true" outlineLevel="0" collapsed="false">
      <c r="J189" s="95"/>
    </row>
    <row r="190" customFormat="false" ht="15" hidden="false" customHeight="true" outlineLevel="0" collapsed="false">
      <c r="J190" s="95"/>
    </row>
    <row r="191" customFormat="false" ht="15" hidden="false" customHeight="true" outlineLevel="0" collapsed="false">
      <c r="J191" s="95"/>
    </row>
    <row r="192" customFormat="false" ht="15" hidden="false" customHeight="true" outlineLevel="0" collapsed="false">
      <c r="J192" s="95"/>
    </row>
    <row r="193" customFormat="false" ht="15" hidden="false" customHeight="true" outlineLevel="0" collapsed="false">
      <c r="J193" s="95"/>
    </row>
    <row r="194" customFormat="false" ht="15" hidden="false" customHeight="true" outlineLevel="0" collapsed="false">
      <c r="J194" s="95"/>
    </row>
    <row r="195" customFormat="false" ht="15" hidden="false" customHeight="true" outlineLevel="0" collapsed="false">
      <c r="J195" s="95"/>
    </row>
    <row r="196" customFormat="false" ht="15" hidden="false" customHeight="true" outlineLevel="0" collapsed="false">
      <c r="J196" s="95"/>
    </row>
    <row r="197" customFormat="false" ht="15" hidden="false" customHeight="true" outlineLevel="0" collapsed="false">
      <c r="J197" s="95"/>
    </row>
    <row r="198" customFormat="false" ht="15" hidden="false" customHeight="true" outlineLevel="0" collapsed="false">
      <c r="J198" s="95"/>
    </row>
    <row r="199" customFormat="false" ht="15" hidden="false" customHeight="true" outlineLevel="0" collapsed="false">
      <c r="J199" s="95"/>
    </row>
    <row r="200" customFormat="false" ht="15" hidden="false" customHeight="true" outlineLevel="0" collapsed="false">
      <c r="J200" s="95"/>
    </row>
  </sheetData>
  <mergeCells count="1">
    <mergeCell ref="A1:L1"/>
  </mergeCells>
  <conditionalFormatting sqref="I3:I200">
    <cfRule type="containsText" priority="2" operator="containsText" aboveAverage="0" equalAverage="0" bottom="0" percent="0" rank="0" text="OVERDUE" dxfId="4">
      <formula>NOT(ISERROR(SEARCH("OVERDUE",I3)))</formula>
    </cfRule>
    <cfRule type="containsText" priority="3" operator="containsText" aboveAverage="0" equalAverage="0" bottom="0" percent="0" rank="0" text="AT RISK" dxfId="18">
      <formula>NOT(ISERROR(SEARCH("AT RISK",I3)))</formula>
    </cfRule>
    <cfRule type="containsText" priority="4" operator="containsText" aboveAverage="0" equalAverage="0" bottom="0" percent="0" rank="0" text="ON TRACK" dxfId="3">
      <formula>NOT(ISERROR(SEARCH("ON TRACK",I3)))</formula>
    </cfRule>
    <cfRule type="containsText" priority="5" operator="containsText" aboveAverage="0" equalAverage="0" bottom="0" percent="0" rank="0" text="Pending" dxfId="19">
      <formula>NOT(ISERROR(SEARCH("Pending",I3)))</formula>
    </cfRule>
  </conditionalFormatting>
  <conditionalFormatting sqref="D3:D100">
    <cfRule type="expression" priority="6" aboveAverage="0" equalAverage="0" bottom="0" percent="0" rank="0" text="" dxfId="0">
      <formula>$D3="High"</formula>
    </cfRule>
    <cfRule type="expression" priority="7" aboveAverage="0" equalAverage="0" bottom="0" percent="0" rank="0" text="" dxfId="1">
      <formula>$D3="Medium"</formula>
    </cfRule>
    <cfRule type="expression" priority="8" aboveAverage="0" equalAverage="0" bottom="0" percent="0" rank="0" text="" dxfId="2">
      <formula>$D3="Low"</formula>
    </cfRule>
  </conditionalFormatting>
  <dataValidations count="1">
    <dataValidation allowBlank="false" errorStyle="stop" operator="between" showDropDown="false" showErrorMessage="false" showInputMessage="false" sqref="J3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9.21"/>
    <col collapsed="false" customWidth="true" hidden="false" outlineLevel="0" max="4" min="3" style="1" width="6"/>
    <col collapsed="false" customWidth="true" hidden="false" outlineLevel="0" max="5" min="5" style="2" width="10"/>
    <col collapsed="false" customWidth="true" hidden="false" outlineLevel="0" max="10" min="6" style="2" width="14"/>
  </cols>
  <sheetData>
    <row r="1" customFormat="false" ht="27.75" hidden="false" customHeight="true" outlineLevel="0" collapsed="false">
      <c r="A1" s="97" t="s">
        <v>308</v>
      </c>
      <c r="B1" s="97"/>
      <c r="C1" s="97"/>
      <c r="D1" s="97"/>
      <c r="E1" s="97"/>
      <c r="F1" s="97"/>
      <c r="G1" s="97"/>
      <c r="H1" s="97"/>
      <c r="I1" s="97"/>
      <c r="J1" s="97"/>
    </row>
    <row r="3" customFormat="false" ht="15" hidden="false" customHeight="true" outlineLevel="0" collapsed="false">
      <c r="A3" s="98" t="s">
        <v>309</v>
      </c>
      <c r="B3" s="98"/>
      <c r="C3" s="98"/>
      <c r="D3" s="98"/>
      <c r="E3" s="99" t="s">
        <v>310</v>
      </c>
      <c r="F3" s="99"/>
      <c r="G3" s="99"/>
      <c r="H3" s="99"/>
      <c r="I3" s="99"/>
      <c r="J3" s="99"/>
    </row>
    <row r="4" customFormat="false" ht="27.75" hidden="false" customHeight="true" outlineLevel="0" collapsed="false">
      <c r="A4" s="100" t="s">
        <v>311</v>
      </c>
      <c r="B4" s="101" t="n">
        <f aca="false">Settings!K4</f>
        <v>21.6</v>
      </c>
      <c r="E4" s="102" t="s">
        <v>262</v>
      </c>
      <c r="F4" s="102" t="s">
        <v>312</v>
      </c>
      <c r="G4" s="102" t="s">
        <v>313</v>
      </c>
      <c r="H4" s="102" t="s">
        <v>314</v>
      </c>
      <c r="I4" s="102" t="s">
        <v>315</v>
      </c>
      <c r="J4" s="102" t="s">
        <v>316</v>
      </c>
    </row>
    <row r="5" customFormat="false" ht="15" hidden="false" customHeight="true" outlineLevel="0" collapsed="false">
      <c r="A5" s="100" t="s">
        <v>317</v>
      </c>
      <c r="B5" s="101" t="n">
        <f aca="false">Settings!K5</f>
        <v>22.4</v>
      </c>
      <c r="E5" s="2" t="s">
        <v>41</v>
      </c>
      <c r="F5" s="103" t="n">
        <f aca="false">Dashboard!D9</f>
        <v>7040</v>
      </c>
      <c r="G5" s="103" t="n">
        <f aca="false">Dashboard!E9</f>
        <v>53472</v>
      </c>
      <c r="H5" s="104" t="n">
        <f aca="false">IF(G5&gt;0,F5/G5,0)</f>
        <v>0.131657690005984</v>
      </c>
      <c r="I5" s="2" t="n">
        <f aca="false">(4+$B$8)*INT(Dashboard!$E$5)*Settings!$K$4*(1+$B$11/100)</f>
        <v>48124.8</v>
      </c>
      <c r="J5" s="104" t="n">
        <f aca="false">IF(I5&gt;0,F5/I5,0)</f>
        <v>0.146286322228872</v>
      </c>
    </row>
    <row r="6" customFormat="false" ht="15" hidden="false" customHeight="true" outlineLevel="0" collapsed="false">
      <c r="A6" s="100" t="s">
        <v>318</v>
      </c>
      <c r="B6" s="101" t="n">
        <f aca="false">COUNTA(Job_Master!A4:A103)</f>
        <v>70</v>
      </c>
      <c r="E6" s="2" t="s">
        <v>48</v>
      </c>
      <c r="F6" s="103" t="n">
        <f aca="false">Dashboard!D10</f>
        <v>10588</v>
      </c>
      <c r="G6" s="103" t="n">
        <f aca="false">Dashboard!E10</f>
        <v>80208</v>
      </c>
      <c r="H6" s="104" t="n">
        <f aca="false">IF(G6&gt;0,F6/G6,0)</f>
        <v>0.132006782365849</v>
      </c>
      <c r="I6" s="2" t="n">
        <f aca="false">(6+$B$9)*INT(Dashboard!$E$5)*Settings!$K$4*(1+$B$11/100)</f>
        <v>72187.2</v>
      </c>
      <c r="J6" s="104" t="n">
        <f aca="false">IF(I6&gt;0,F6/I6,0)</f>
        <v>0.146674202628721</v>
      </c>
    </row>
    <row r="7" customFormat="false" ht="15" hidden="false" customHeight="true" outlineLevel="0" collapsed="false">
      <c r="A7" s="100" t="s">
        <v>319</v>
      </c>
      <c r="B7" s="105" t="n">
        <f aca="false">Job_Master!B2</f>
        <v>46113.2916666667</v>
      </c>
      <c r="E7" s="2" t="s">
        <v>55</v>
      </c>
      <c r="F7" s="103" t="n">
        <f aca="false">Dashboard!D11</f>
        <v>8456</v>
      </c>
      <c r="G7" s="103" t="n">
        <f aca="false">Dashboard!E11</f>
        <v>80208</v>
      </c>
      <c r="H7" s="104" t="n">
        <f aca="false">IF(G7&gt;0,F7/G7,0)</f>
        <v>0.105425892679035</v>
      </c>
      <c r="I7" s="2" t="n">
        <f aca="false">(6+0)*INT(Dashboard!$E$5)*Settings!$K$4*(1+$B$11/100)</f>
        <v>72187.2</v>
      </c>
      <c r="J7" s="104" t="n">
        <f aca="false">IF(I7&gt;0,F7/I7,0)</f>
        <v>0.117139880754483</v>
      </c>
    </row>
    <row r="8" customFormat="false" ht="15" hidden="false" customHeight="true" outlineLevel="0" collapsed="false">
      <c r="A8" s="100" t="s">
        <v>320</v>
      </c>
      <c r="B8" s="101" t="s">
        <v>281</v>
      </c>
      <c r="E8" s="2" t="s">
        <v>62</v>
      </c>
      <c r="F8" s="103" t="n">
        <f aca="false">Dashboard!D12</f>
        <v>8620</v>
      </c>
      <c r="G8" s="103" t="n">
        <f aca="false">Dashboard!E12</f>
        <v>401040</v>
      </c>
      <c r="H8" s="104" t="n">
        <f aca="false">IF(G8&gt;0,F8/G8,0)</f>
        <v>0.0214941153002194</v>
      </c>
      <c r="I8" s="2" t="n">
        <f aca="false">(30+$B$10)*INT(Dashboard!$E$5)*Settings!$K$4*(1+$B$11/100)</f>
        <v>360936</v>
      </c>
      <c r="J8" s="104" t="n">
        <f aca="false">IF(I8&gt;0,F8/I8,0)</f>
        <v>0.0238823503335771</v>
      </c>
    </row>
    <row r="9" customFormat="false" ht="15" hidden="false" customHeight="true" outlineLevel="0" collapsed="false">
      <c r="A9" s="100" t="s">
        <v>321</v>
      </c>
      <c r="B9" s="101" t="s">
        <v>281</v>
      </c>
      <c r="E9" s="2" t="s">
        <v>93</v>
      </c>
      <c r="F9" s="103" t="n">
        <f aca="false">Dashboard!D13</f>
        <v>9292</v>
      </c>
      <c r="G9" s="103" t="n">
        <f aca="false">Dashboard!E13</f>
        <v>187152</v>
      </c>
      <c r="H9" s="104" t="n">
        <f aca="false">IF(G9&gt;0,F9/G9,0)</f>
        <v>0.0496494827733607</v>
      </c>
      <c r="I9" s="2" t="n">
        <f aca="false">(14+0)*INT(Dashboard!$E$5)*Settings!$K$4*(1+$B$11/100)</f>
        <v>168436.8</v>
      </c>
      <c r="J9" s="104" t="n">
        <f aca="false">IF(I9&gt;0,F9/I9,0)</f>
        <v>0.0551660919704008</v>
      </c>
    </row>
    <row r="10" customFormat="false" ht="15" hidden="false" customHeight="true" outlineLevel="0" collapsed="false">
      <c r="A10" s="100" t="s">
        <v>322</v>
      </c>
      <c r="B10" s="101" t="s">
        <v>281</v>
      </c>
      <c r="E10" s="2" t="s">
        <v>108</v>
      </c>
      <c r="F10" s="103" t="n">
        <f aca="false">Dashboard!D14</f>
        <v>7402</v>
      </c>
      <c r="G10" s="103" t="n">
        <f aca="false">Dashboard!E14</f>
        <v>106944</v>
      </c>
      <c r="H10" s="104" t="n">
        <f aca="false">IF(G10&gt;0,F10/G10,0)</f>
        <v>0.0692137941352484</v>
      </c>
      <c r="I10" s="2" t="n">
        <f aca="false">(8+0)*INT(Dashboard!$E$5)*Settings!$K$4*(1+$B$11/100)</f>
        <v>96249.6</v>
      </c>
      <c r="J10" s="104" t="n">
        <f aca="false">IF(I10&gt;0,F10/I10,0)</f>
        <v>0.0769042157058315</v>
      </c>
    </row>
    <row r="11" customFormat="false" ht="15" hidden="false" customHeight="true" outlineLevel="0" collapsed="false">
      <c r="A11" s="100" t="s">
        <v>323</v>
      </c>
      <c r="B11" s="101" t="s">
        <v>281</v>
      </c>
      <c r="E11" s="2" t="s">
        <v>118</v>
      </c>
      <c r="F11" s="103" t="n">
        <f aca="false">Dashboard!D15</f>
        <v>7338</v>
      </c>
      <c r="G11" s="103" t="n">
        <f aca="false">Dashboard!E15</f>
        <v>133680</v>
      </c>
      <c r="H11" s="104" t="n">
        <f aca="false">IF(G11&gt;0,F11/G11,0)</f>
        <v>0.0548922800718133</v>
      </c>
      <c r="I11" s="2" t="n">
        <f aca="false">(10+0)*INT(Dashboard!$E$5)*Settings!$K$4*(1+$B$11/100)</f>
        <v>120312</v>
      </c>
      <c r="J11" s="104" t="n">
        <f aca="false">IF(I11&gt;0,F11/I11,0)</f>
        <v>0.0609914223020148</v>
      </c>
    </row>
    <row r="12" customFormat="false" ht="15" hidden="false" customHeight="true" outlineLevel="0" collapsed="false">
      <c r="E12" s="2" t="s">
        <v>129</v>
      </c>
      <c r="F12" s="103" t="n">
        <f aca="false">Dashboard!D16</f>
        <v>6460</v>
      </c>
      <c r="G12" s="103" t="n">
        <f aca="false">Dashboard!E16</f>
        <v>66840</v>
      </c>
      <c r="H12" s="104" t="n">
        <f aca="false">IF(G12&gt;0,F12/G12,0)</f>
        <v>0.0966487133453022</v>
      </c>
      <c r="I12" s="2" t="n">
        <f aca="false">(5+0)*INT(Dashboard!$E$5)*Settings!$K$4*(1+$B$11/100)</f>
        <v>60156</v>
      </c>
      <c r="J12" s="104" t="n">
        <f aca="false">IF(I12&gt;0,F12/I12,0)</f>
        <v>0.107387459272558</v>
      </c>
    </row>
  </sheetData>
  <mergeCells count="3">
    <mergeCell ref="A1:J1"/>
    <mergeCell ref="A3:D3"/>
    <mergeCell ref="E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9" min="7" style="1" width="14"/>
    <col collapsed="false" customWidth="true" hidden="false" outlineLevel="0" max="10" min="10" style="1" width="10"/>
    <col collapsed="false" customWidth="true" hidden="false" outlineLevel="0" max="11" min="11" style="1" width="6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97" t="s">
        <v>324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customFormat="false" ht="15" hidden="false" customHeight="true" outlineLevel="0" collapsed="false">
      <c r="A2" s="64" t="s">
        <v>325</v>
      </c>
      <c r="B2" s="106" t="n">
        <f aca="true">TODAY()</f>
        <v>46118</v>
      </c>
      <c r="D2" s="64" t="s">
        <v>326</v>
      </c>
      <c r="E2" s="106" t="n">
        <f aca="false">B2+28</f>
        <v>46146</v>
      </c>
    </row>
    <row r="3" customFormat="false" ht="27.75" hidden="false" customHeight="true" outlineLevel="0" collapsed="false">
      <c r="A3" s="93" t="s">
        <v>137</v>
      </c>
      <c r="B3" s="93" t="s">
        <v>11</v>
      </c>
      <c r="C3" s="93" t="s">
        <v>10</v>
      </c>
      <c r="D3" s="93" t="s">
        <v>141</v>
      </c>
      <c r="E3" s="93" t="s">
        <v>144</v>
      </c>
      <c r="F3" s="93" t="s">
        <v>36</v>
      </c>
      <c r="G3" s="93" t="s">
        <v>327</v>
      </c>
      <c r="H3" s="93" t="s">
        <v>328</v>
      </c>
      <c r="I3" s="93" t="s">
        <v>143</v>
      </c>
      <c r="J3" s="93" t="s">
        <v>303</v>
      </c>
      <c r="K3" s="93" t="s">
        <v>329</v>
      </c>
      <c r="L3" s="93" t="s">
        <v>295</v>
      </c>
    </row>
    <row r="4" customFormat="false" ht="15" hidden="false" customHeight="true" outlineLevel="0" collapsed="false">
      <c r="A4" s="1" t="str">
        <f aca="false">IF(OR(Job_Master!E4="",Job_Master!F4=""),"",IF(AND(Job_Master!E4&lt;=$E$2,Job_Master!F4&gt;=$B$2),Job_Master!A4,""))</f>
        <v>BJ-104</v>
      </c>
      <c r="B4" s="1" t="n">
        <f aca="false">IF($A4="","",Job_Master!B4)</f>
        <v>28</v>
      </c>
      <c r="C4" s="1" t="str">
        <f aca="false">IF($A4="","",Job_Master!C4)</f>
        <v>2P</v>
      </c>
      <c r="D4" s="1" t="str">
        <f aca="false">IF($A4="","",Job_Master!G4)</f>
        <v>Medium</v>
      </c>
      <c r="E4" s="1" t="str">
        <f aca="false">IF($A4="","",Job_Master!K4)</f>
        <v>Alpha Corp</v>
      </c>
      <c r="F4" s="1" t="str">
        <f aca="false">IF($A4="","",Job_Master!I4)</f>
        <v>Released</v>
      </c>
      <c r="G4" s="91" t="n">
        <f aca="false">IF($A4="","",Job_Master!E4)</f>
        <v>46113.2916666667</v>
      </c>
      <c r="H4" s="91" t="n">
        <f aca="false">IF($A4="","",Job_Master!F4)</f>
        <v>46132.3392857143</v>
      </c>
      <c r="I4" s="91" t="n">
        <f aca="false">IF($A4="","",Job_Master!J4)</f>
        <v>46162.3392857143</v>
      </c>
      <c r="J4" s="94" t="n">
        <f aca="false">IF(OR($A4="",$H4="",$I4=""),"",$I4-$H4)</f>
        <v>30</v>
      </c>
      <c r="K4" s="1" t="str">
        <f aca="false">IF($A4="","⚪",IF($J4&lt;0,"🔴",IF($J4&lt;7,"🟡","🟢")))</f>
        <v>🟢</v>
      </c>
      <c r="L4" s="1" t="str">
        <f aca="false">IF($A4="","",IF(QC_Plan!M4&lt;&gt;"","QC",IF(FID_Plan!M4&lt;&gt;"","FID",IF(VENT_Plan!M4&lt;&gt;"","VENT",IF(ENG_Plan!M4&lt;&gt;"","ENG",IF(EDM_Plan!M4&lt;&gt;"","EDM",IF(CARVING_Plan!M4&lt;&gt;"","CARVING",IF(SPM_Plan!M4&lt;&gt;"","SPM","VTL"))))))))</f>
        <v>QC</v>
      </c>
    </row>
    <row r="5" customFormat="false" ht="15" hidden="false" customHeight="true" outlineLevel="0" collapsed="false">
      <c r="A5" s="1" t="str">
        <f aca="false">IF(OR(Job_Master!E5="",Job_Master!F5=""),"",IF(AND(Job_Master!E5&lt;=$E$2,Job_Master!F5&gt;=$B$2),Job_Master!A5,""))</f>
        <v>BJ-101</v>
      </c>
      <c r="B5" s="1" t="n">
        <f aca="false">IF($A5="","",Job_Master!B5)</f>
        <v>42</v>
      </c>
      <c r="C5" s="1" t="str">
        <f aca="false">IF($A5="","",Job_Master!C5)</f>
        <v>SOL</v>
      </c>
      <c r="D5" s="1" t="str">
        <f aca="false">IF($A5="","",Job_Master!G5)</f>
        <v>Medium</v>
      </c>
      <c r="E5" s="1" t="str">
        <f aca="false">IF($A5="","",Job_Master!K5)</f>
        <v>Beta Ltd</v>
      </c>
      <c r="F5" s="1" t="str">
        <f aca="false">IF($A5="","",Job_Master!I5)</f>
        <v>On Hold</v>
      </c>
      <c r="G5" s="91" t="n">
        <f aca="false">IF($A5="","",Job_Master!E5)</f>
        <v>46113.2916666667</v>
      </c>
      <c r="H5" s="91" t="n">
        <f aca="false">IF($A5="","",Job_Master!F5)</f>
        <v>46170.3683862434</v>
      </c>
      <c r="I5" s="91" t="n">
        <f aca="false">IF($A5="","",Job_Master!J5)</f>
        <v>46200.3683862434</v>
      </c>
      <c r="J5" s="94" t="n">
        <f aca="false">IF(OR($A5="",$H5="",$I5=""),"",$I5-$H5)</f>
        <v>30</v>
      </c>
      <c r="K5" s="1" t="str">
        <f aca="false">IF($A5="","⚪",IF($J5&lt;0,"🔴",IF($J5&lt;7,"🟡","🟢")))</f>
        <v>🟢</v>
      </c>
      <c r="L5" s="1" t="str">
        <f aca="false">IF($A5="","",IF(QC_Plan!M5&lt;&gt;"","QC",IF(FID_Plan!M5&lt;&gt;"","FID",IF(VENT_Plan!M5&lt;&gt;"","VENT",IF(ENG_Plan!M5&lt;&gt;"","ENG",IF(EDM_Plan!M5&lt;&gt;"","EDM",IF(CARVING_Plan!M5&lt;&gt;"","CARVING",IF(SPM_Plan!M5&lt;&gt;"","SPM","VTL"))))))))</f>
        <v>QC</v>
      </c>
    </row>
    <row r="6" customFormat="false" ht="15" hidden="false" customHeight="true" outlineLevel="0" collapsed="false">
      <c r="A6" s="1" t="str">
        <f aca="false">IF(OR(Job_Master!E6="",Job_Master!F6=""),"",IF(AND(Job_Master!E6&lt;=$E$2,Job_Master!F6&gt;=$B$2),Job_Master!A6,""))</f>
        <v>BJ-105</v>
      </c>
      <c r="B6" s="1" t="n">
        <f aca="false">IF($A6="","",Job_Master!B6)</f>
        <v>28</v>
      </c>
      <c r="C6" s="1" t="str">
        <f aca="false">IF($A6="","",Job_Master!C6)</f>
        <v>RW</v>
      </c>
      <c r="D6" s="1" t="str">
        <f aca="false">IF($A6="","",Job_Master!G6)</f>
        <v>Medium</v>
      </c>
      <c r="E6" s="1" t="str">
        <f aca="false">IF($A6="","",Job_Master!K6)</f>
        <v>Alpha Corp</v>
      </c>
      <c r="F6" s="1" t="str">
        <f aca="false">IF($A6="","",Job_Master!I6)</f>
        <v>Released</v>
      </c>
      <c r="G6" s="91" t="n">
        <f aca="false">IF($A6="","",Job_Master!E6)</f>
        <v>46115.8842592593</v>
      </c>
      <c r="H6" s="91" t="n">
        <f aca="false">IF($A6="","",Job_Master!F6)</f>
        <v>46173.5165343915</v>
      </c>
      <c r="I6" s="91" t="n">
        <f aca="false">IF($A6="","",Job_Master!J6)</f>
        <v>46203.5165343915</v>
      </c>
      <c r="J6" s="94" t="n">
        <f aca="false">IF(OR($A6="",$H6="",$I6=""),"",$I6-$H6)</f>
        <v>30</v>
      </c>
      <c r="K6" s="1" t="str">
        <f aca="false">IF($A6="","⚪",IF($J6&lt;0,"🔴",IF($J6&lt;7,"🟡","🟢")))</f>
        <v>🟢</v>
      </c>
      <c r="L6" s="1" t="str">
        <f aca="false">IF($A6="","",IF(QC_Plan!M6&lt;&gt;"","QC",IF(FID_Plan!M6&lt;&gt;"","FID",IF(VENT_Plan!M6&lt;&gt;"","VENT",IF(ENG_Plan!M6&lt;&gt;"","ENG",IF(EDM_Plan!M6&lt;&gt;"","EDM",IF(CARVING_Plan!M6&lt;&gt;"","CARVING",IF(SPM_Plan!M6&lt;&gt;"","SPM","VTL"))))))))</f>
        <v>QC</v>
      </c>
    </row>
    <row r="7" customFormat="false" ht="15" hidden="false" customHeight="true" outlineLevel="0" collapsed="false">
      <c r="A7" s="1" t="str">
        <f aca="false">IF(OR(Job_Master!E7="",Job_Master!F7=""),"",IF(AND(Job_Master!E7&lt;=$E$2,Job_Master!F7&gt;=$B$2),Job_Master!A7,""))</f>
        <v>BJ-100</v>
      </c>
      <c r="B7" s="1" t="n">
        <f aca="false">IF($A7="","",Job_Master!B7)</f>
        <v>25</v>
      </c>
      <c r="C7" s="1" t="str">
        <f aca="false">IF($A7="","",Job_Master!C7)</f>
        <v>SEG</v>
      </c>
      <c r="D7" s="1" t="str">
        <f aca="false">IF($A7="","",Job_Master!G7)</f>
        <v>Low</v>
      </c>
      <c r="E7" s="1" t="str">
        <f aca="false">IF($A7="","",Job_Master!K7)</f>
        <v>Gamma Inc</v>
      </c>
      <c r="F7" s="1" t="str">
        <f aca="false">IF($A7="","",Job_Master!I7)</f>
        <v>Released</v>
      </c>
      <c r="G7" s="91" t="n">
        <f aca="false">IF($A7="","",Job_Master!E7)</f>
        <v>46118.4768518519</v>
      </c>
      <c r="H7" s="91" t="n">
        <f aca="false">IF($A7="","",Job_Master!F7)</f>
        <v>46184.5185185185</v>
      </c>
      <c r="I7" s="91" t="n">
        <f aca="false">IF($A7="","",Job_Master!J7)</f>
        <v>46214.5185185185</v>
      </c>
      <c r="J7" s="94" t="n">
        <f aca="false">IF(OR($A7="",$H7="",$I7=""),"",$I7-$H7)</f>
        <v>30</v>
      </c>
      <c r="K7" s="1" t="str">
        <f aca="false">IF($A7="","⚪",IF($J7&lt;0,"🔴",IF($J7&lt;7,"🟡","🟢")))</f>
        <v>🟢</v>
      </c>
      <c r="L7" s="1" t="str">
        <f aca="false">IF($A7="","",IF(QC_Plan!M7&lt;&gt;"","QC",IF(FID_Plan!M7&lt;&gt;"","FID",IF(VENT_Plan!M7&lt;&gt;"","VENT",IF(ENG_Plan!M7&lt;&gt;"","ENG",IF(EDM_Plan!M7&lt;&gt;"","EDM",IF(CARVING_Plan!M7&lt;&gt;"","CARVING",IF(SPM_Plan!M7&lt;&gt;"","SPM","VTL"))))))))</f>
        <v>QC</v>
      </c>
    </row>
    <row r="8" customFormat="false" ht="15" hidden="false" customHeight="true" outlineLevel="0" collapsed="false">
      <c r="A8" s="1" t="str">
        <f aca="false">IF(OR(Job_Master!E8="",Job_Master!F8=""),"",IF(AND(Job_Master!E8&lt;=$E$2,Job_Master!F8&gt;=$B$2),Job_Master!A8,""))</f>
        <v>BJ-102</v>
      </c>
      <c r="B8" s="1" t="n">
        <f aca="false">IF($A8="","",Job_Master!B8)</f>
        <v>34</v>
      </c>
      <c r="C8" s="1" t="str">
        <f aca="false">IF($A8="","",Job_Master!C8)</f>
        <v>SEG</v>
      </c>
      <c r="D8" s="1" t="str">
        <f aca="false">IF($A8="","",Job_Master!G8)</f>
        <v>Medium</v>
      </c>
      <c r="E8" s="1" t="str">
        <f aca="false">IF($A8="","",Job_Master!K8)</f>
        <v>Beta Ltd</v>
      </c>
      <c r="F8" s="1" t="str">
        <f aca="false">IF($A8="","",Job_Master!I8)</f>
        <v>Cancelled</v>
      </c>
      <c r="G8" s="91" t="n">
        <f aca="false">IF($A8="","",Job_Master!E8)</f>
        <v>46121.0694444444</v>
      </c>
      <c r="H8" s="91" t="n">
        <f aca="false">IF($A8="","",Job_Master!F8)</f>
        <v>46208.9431216931</v>
      </c>
      <c r="I8" s="91" t="n">
        <f aca="false">IF($A8="","",Job_Master!J8)</f>
        <v>46238.9431216931</v>
      </c>
      <c r="J8" s="94" t="n">
        <f aca="false">IF(OR($A8="",$H8="",$I8=""),"",$I8-$H8)</f>
        <v>30</v>
      </c>
      <c r="K8" s="1" t="str">
        <f aca="false">IF($A8="","⚪",IF($J8&lt;0,"🔴",IF($J8&lt;7,"🟡","🟢")))</f>
        <v>🟢</v>
      </c>
      <c r="L8" s="1" t="str">
        <f aca="false">IF($A8="","",IF(QC_Plan!M8&lt;&gt;"","QC",IF(FID_Plan!M8&lt;&gt;"","FID",IF(VENT_Plan!M8&lt;&gt;"","VENT",IF(ENG_Plan!M8&lt;&gt;"","ENG",IF(EDM_Plan!M8&lt;&gt;"","EDM",IF(CARVING_Plan!M8&lt;&gt;"","CARVING",IF(SPM_Plan!M8&lt;&gt;"","SPM","VTL"))))))))</f>
        <v>QC</v>
      </c>
    </row>
    <row r="9" customFormat="false" ht="15" hidden="false" customHeight="true" outlineLevel="0" collapsed="false">
      <c r="A9" s="1" t="str">
        <f aca="false">IF(OR(Job_Master!E9="",Job_Master!F9=""),"",IF(AND(Job_Master!E9&lt;=$E$2,Job_Master!F9&gt;=$B$2),Job_Master!A9,""))</f>
        <v>BJ-103</v>
      </c>
      <c r="B9" s="1" t="n">
        <f aca="false">IF($A9="","",Job_Master!B9)</f>
        <v>20</v>
      </c>
      <c r="C9" s="1" t="str">
        <f aca="false">IF($A9="","",Job_Master!C9)</f>
        <v>RW</v>
      </c>
      <c r="D9" s="1" t="str">
        <f aca="false">IF($A9="","",Job_Master!G9)</f>
        <v>Low</v>
      </c>
      <c r="E9" s="1" t="str">
        <f aca="false">IF($A9="","",Job_Master!K9)</f>
        <v>Delta Co</v>
      </c>
      <c r="F9" s="1" t="str">
        <f aca="false">IF($A9="","",Job_Master!I9)</f>
        <v>Released</v>
      </c>
      <c r="G9" s="91" t="n">
        <f aca="false">IF($A9="","",Job_Master!E9)</f>
        <v>46125.4212962963</v>
      </c>
      <c r="H9" s="91" t="n">
        <f aca="false">IF($A9="","",Job_Master!F9)</f>
        <v>46210.7023809524</v>
      </c>
      <c r="I9" s="91" t="n">
        <f aca="false">IF($A9="","",Job_Master!J9)</f>
        <v>46240.7023809524</v>
      </c>
      <c r="J9" s="94" t="n">
        <f aca="false">IF(OR($A9="",$H9="",$I9=""),"",$I9-$H9)</f>
        <v>30</v>
      </c>
      <c r="K9" s="1" t="str">
        <f aca="false">IF($A9="","⚪",IF($J9&lt;0,"🔴",IF($J9&lt;7,"🟡","🟢")))</f>
        <v>🟢</v>
      </c>
      <c r="L9" s="1" t="str">
        <f aca="false">IF($A9="","",IF(QC_Plan!M9&lt;&gt;"","QC",IF(FID_Plan!M9&lt;&gt;"","FID",IF(VENT_Plan!M9&lt;&gt;"","VENT",IF(ENG_Plan!M9&lt;&gt;"","ENG",IF(EDM_Plan!M9&lt;&gt;"","EDM",IF(CARVING_Plan!M9&lt;&gt;"","CARVING",IF(SPM_Plan!M9&lt;&gt;"","SPM","VTL"))))))))</f>
        <v>QC</v>
      </c>
    </row>
    <row r="10" customFormat="false" ht="15" hidden="false" customHeight="true" outlineLevel="0" collapsed="false">
      <c r="A10" s="1" t="str">
        <f aca="false">IF(OR(Job_Master!E10="",Job_Master!F10=""),"",IF(AND(Job_Master!E10&lt;=$E$2,Job_Master!F10&gt;=$B$2),Job_Master!A10,""))</f>
        <v>BJ-108</v>
      </c>
      <c r="B10" s="1" t="n">
        <f aca="false">IF($A10="","",Job_Master!B10)</f>
        <v>70</v>
      </c>
      <c r="C10" s="1" t="str">
        <f aca="false">IF($A10="","",Job_Master!C10)</f>
        <v>RW</v>
      </c>
      <c r="D10" s="1" t="str">
        <f aca="false">IF($A10="","",Job_Master!G10)</f>
        <v>High</v>
      </c>
      <c r="E10" s="1" t="str">
        <f aca="false">IF($A10="","",Job_Master!K10)</f>
        <v>Alpha Corp</v>
      </c>
      <c r="F10" s="1" t="str">
        <f aca="false">IF($A10="","",Job_Master!I10)</f>
        <v>Released</v>
      </c>
      <c r="G10" s="91" t="n">
        <f aca="false">IF($A10="","",Job_Master!E10)</f>
        <v>46113.2916666667</v>
      </c>
      <c r="H10" s="91" t="n">
        <f aca="false">IF($A10="","",Job_Master!F10)</f>
        <v>46219.5912698413</v>
      </c>
      <c r="I10" s="91" t="n">
        <f aca="false">IF($A10="","",Job_Master!J10)</f>
        <v>46249.5912698413</v>
      </c>
      <c r="J10" s="94" t="n">
        <f aca="false">IF(OR($A10="",$H10="",$I10=""),"",$I10-$H10)</f>
        <v>30</v>
      </c>
      <c r="K10" s="1" t="str">
        <f aca="false">IF($A10="","⚪",IF($J10&lt;0,"🔴",IF($J10&lt;7,"🟡","🟢")))</f>
        <v>🟢</v>
      </c>
      <c r="L10" s="1" t="str">
        <f aca="false">IF($A10="","",IF(QC_Plan!M10&lt;&gt;"","QC",IF(FID_Plan!M10&lt;&gt;"","FID",IF(VENT_Plan!M10&lt;&gt;"","VENT",IF(ENG_Plan!M10&lt;&gt;"","ENG",IF(EDM_Plan!M10&lt;&gt;"","EDM",IF(CARVING_Plan!M10&lt;&gt;"","CARVING",IF(SPM_Plan!M10&lt;&gt;"","SPM","VTL"))))))))</f>
        <v>QC</v>
      </c>
    </row>
    <row r="11" customFormat="false" ht="15" hidden="false" customHeight="true" outlineLevel="0" collapsed="false">
      <c r="A11" s="1" t="str">
        <f aca="false">IF(OR(Job_Master!E11="",Job_Master!F11=""),"",IF(AND(Job_Master!E11&lt;=$E$2,Job_Master!F11&gt;=$B$2),Job_Master!A11,""))</f>
        <v>BJ-106</v>
      </c>
      <c r="B11" s="1" t="n">
        <f aca="false">IF($A11="","",Job_Master!B11)</f>
        <v>15</v>
      </c>
      <c r="C11" s="1" t="str">
        <f aca="false">IF($A11="","",Job_Master!C11)</f>
        <v>RW</v>
      </c>
      <c r="D11" s="1" t="str">
        <f aca="false">IF($A11="","",Job_Master!G11)</f>
        <v>Low</v>
      </c>
      <c r="E11" s="1" t="str">
        <f aca="false">IF($A11="","",Job_Master!K11)</f>
        <v>Gamma Inc</v>
      </c>
      <c r="F11" s="1" t="str">
        <f aca="false">IF($A11="","",Job_Master!I11)</f>
        <v>On Hold</v>
      </c>
      <c r="G11" s="91" t="n">
        <f aca="false">IF($A11="","",Job_Master!E11)</f>
        <v>46127.2731481481</v>
      </c>
      <c r="H11" s="91" t="n">
        <f aca="false">IF($A11="","",Job_Master!F11)</f>
        <v>46220.2394179894</v>
      </c>
      <c r="I11" s="91" t="n">
        <f aca="false">IF($A11="","",Job_Master!J11)</f>
        <v>46250.2394179894</v>
      </c>
      <c r="J11" s="94" t="n">
        <f aca="false">IF(OR($A11="",$H11="",$I11=""),"",$I11-$H11)</f>
        <v>30</v>
      </c>
      <c r="K11" s="1" t="str">
        <f aca="false">IF($A11="","⚪",IF($J11&lt;0,"🔴",IF($J11&lt;7,"🟡","🟢")))</f>
        <v>🟢</v>
      </c>
      <c r="L11" s="1" t="str">
        <f aca="false">IF($A11="","",IF(QC_Plan!M11&lt;&gt;"","QC",IF(FID_Plan!M11&lt;&gt;"","FID",IF(VENT_Plan!M11&lt;&gt;"","VENT",IF(ENG_Plan!M11&lt;&gt;"","ENG",IF(EDM_Plan!M11&lt;&gt;"","EDM",IF(CARVING_Plan!M11&lt;&gt;"","CARVING",IF(SPM_Plan!M11&lt;&gt;"","SPM","VTL"))))))))</f>
        <v>QC</v>
      </c>
    </row>
    <row r="12" customFormat="false" ht="15" hidden="false" customHeight="true" outlineLevel="0" collapsed="false">
      <c r="A12" s="1" t="str">
        <f aca="false">IF(OR(Job_Master!E12="",Job_Master!F12=""),"",IF(AND(Job_Master!E12&lt;=$E$2,Job_Master!F12&gt;=$B$2),Job_Master!A12,""))</f>
        <v>BJ-109</v>
      </c>
      <c r="B12" s="1" t="n">
        <f aca="false">IF($A12="","",Job_Master!B12)</f>
        <v>30</v>
      </c>
      <c r="C12" s="1" t="str">
        <f aca="false">IF($A12="","",Job_Master!C12)</f>
        <v>RW</v>
      </c>
      <c r="D12" s="1" t="str">
        <f aca="false">IF($A12="","",Job_Master!G12)</f>
        <v>Medium</v>
      </c>
      <c r="E12" s="1" t="str">
        <f aca="false">IF($A12="","",Job_Master!K12)</f>
        <v>Beta Ltd</v>
      </c>
      <c r="F12" s="1" t="str">
        <f aca="false">IF($A12="","",Job_Master!I12)</f>
        <v>Released</v>
      </c>
      <c r="G12" s="91" t="n">
        <f aca="false">IF($A12="","",Job_Master!E12)</f>
        <v>46130.5138888889</v>
      </c>
      <c r="H12" s="91" t="n">
        <f aca="false">IF($A12="","",Job_Master!F12)</f>
        <v>46223.4801587302</v>
      </c>
      <c r="I12" s="91" t="n">
        <f aca="false">IF($A12="","",Job_Master!J12)</f>
        <v>46253.4801587302</v>
      </c>
      <c r="J12" s="94" t="n">
        <f aca="false">IF(OR($A12="",$H12="",$I12=""),"",$I12-$H12)</f>
        <v>30</v>
      </c>
      <c r="K12" s="1" t="str">
        <f aca="false">IF($A12="","⚪",IF($J12&lt;0,"🔴",IF($J12&lt;7,"🟡","🟢")))</f>
        <v>🟢</v>
      </c>
      <c r="L12" s="1" t="str">
        <f aca="false">IF($A12="","",IF(QC_Plan!M12&lt;&gt;"","QC",IF(FID_Plan!M12&lt;&gt;"","FID",IF(VENT_Plan!M12&lt;&gt;"","VENT",IF(ENG_Plan!M12&lt;&gt;"","ENG",IF(EDM_Plan!M12&lt;&gt;"","EDM",IF(CARVING_Plan!M12&lt;&gt;"","CARVING",IF(SPM_Plan!M12&lt;&gt;"","SPM","VTL"))))))))</f>
        <v>QC</v>
      </c>
    </row>
    <row r="13" customFormat="false" ht="15" hidden="false" customHeight="true" outlineLevel="0" collapsed="false">
      <c r="A13" s="1" t="str">
        <f aca="false">IF(OR(Job_Master!E13="",Job_Master!F13=""),"",IF(AND(Job_Master!E13&lt;=$E$2,Job_Master!F13&gt;=$B$2),Job_Master!A13,""))</f>
        <v>BJ-110</v>
      </c>
      <c r="B13" s="1" t="n">
        <f aca="false">IF($A13="","",Job_Master!B13)</f>
        <v>17</v>
      </c>
      <c r="C13" s="1" t="str">
        <f aca="false">IF($A13="","",Job_Master!C13)</f>
        <v>2P</v>
      </c>
      <c r="D13" s="1" t="str">
        <f aca="false">IF($A13="","",Job_Master!G13)</f>
        <v>Low</v>
      </c>
      <c r="E13" s="1" t="str">
        <f aca="false">IF($A13="","",Job_Master!K13)</f>
        <v>Delta Co</v>
      </c>
      <c r="F13" s="1" t="str">
        <f aca="false">IF($A13="","",Job_Master!I13)</f>
        <v>Released</v>
      </c>
      <c r="G13" s="91" t="n">
        <f aca="false">IF($A13="","",Job_Master!E13)</f>
        <v>46128.662037037</v>
      </c>
      <c r="H13" s="91" t="n">
        <f aca="false">IF($A13="","",Job_Master!F13)</f>
        <v>46224.6838624339</v>
      </c>
      <c r="I13" s="91" t="n">
        <f aca="false">IF($A13="","",Job_Master!J13)</f>
        <v>46254.6838624339</v>
      </c>
      <c r="J13" s="94" t="n">
        <f aca="false">IF(OR($A13="",$H13="",$I13=""),"",$I13-$H13)</f>
        <v>30</v>
      </c>
      <c r="K13" s="1" t="str">
        <f aca="false">IF($A13="","⚪",IF($J13&lt;0,"🔴",IF($J13&lt;7,"🟡","🟢")))</f>
        <v>🟢</v>
      </c>
      <c r="L13" s="1" t="str">
        <f aca="false">IF($A13="","",IF(QC_Plan!M13&lt;&gt;"","QC",IF(FID_Plan!M13&lt;&gt;"","FID",IF(VENT_Plan!M13&lt;&gt;"","VENT",IF(ENG_Plan!M13&lt;&gt;"","ENG",IF(EDM_Plan!M13&lt;&gt;"","EDM",IF(CARVING_Plan!M13&lt;&gt;"","CARVING",IF(SPM_Plan!M13&lt;&gt;"","SPM","VTL"))))))))</f>
        <v>QC</v>
      </c>
    </row>
    <row r="14" customFormat="false" ht="15" hidden="false" customHeight="true" outlineLevel="0" collapsed="false">
      <c r="A14" s="1" t="str">
        <f aca="false">IF(OR(Job_Master!E14="",Job_Master!F14=""),"",IF(AND(Job_Master!E14&lt;=$E$2,Job_Master!F14&gt;=$B$2),Job_Master!A14,""))</f>
        <v>BJ-111</v>
      </c>
      <c r="B14" s="1" t="n">
        <f aca="false">IF($A14="","",Job_Master!B14)</f>
        <v>25</v>
      </c>
      <c r="C14" s="1" t="str">
        <f aca="false">IF($A14="","",Job_Master!C14)</f>
        <v>RW</v>
      </c>
      <c r="D14" s="1" t="str">
        <f aca="false">IF($A14="","",Job_Master!G14)</f>
        <v>Low</v>
      </c>
      <c r="E14" s="1" t="str">
        <f aca="false">IF($A14="","",Job_Master!K14)</f>
        <v>Alpha Corp</v>
      </c>
      <c r="F14" s="1" t="str">
        <f aca="false">IF($A14="","",Job_Master!I14)</f>
        <v>Released</v>
      </c>
      <c r="G14" s="91" t="n">
        <f aca="false">IF($A14="","",Job_Master!E14)</f>
        <v>46130.2361111111</v>
      </c>
      <c r="H14" s="91" t="n">
        <f aca="false">IF($A14="","",Job_Master!F14)</f>
        <v>46226.1653439153</v>
      </c>
      <c r="I14" s="91" t="n">
        <f aca="false">IF($A14="","",Job_Master!J14)</f>
        <v>46256.1653439153</v>
      </c>
      <c r="J14" s="94" t="n">
        <f aca="false">IF(OR($A14="",$H14="",$I14=""),"",$I14-$H14)</f>
        <v>30</v>
      </c>
      <c r="K14" s="1" t="str">
        <f aca="false">IF($A14="","⚪",IF($J14&lt;0,"🔴",IF($J14&lt;7,"🟡","🟢")))</f>
        <v>🟢</v>
      </c>
      <c r="L14" s="1" t="str">
        <f aca="false">IF($A14="","",IF(QC_Plan!M14&lt;&gt;"","QC",IF(FID_Plan!M14&lt;&gt;"","FID",IF(VENT_Plan!M14&lt;&gt;"","VENT",IF(ENG_Plan!M14&lt;&gt;"","ENG",IF(EDM_Plan!M14&lt;&gt;"","EDM",IF(CARVING_Plan!M14&lt;&gt;"","CARVING",IF(SPM_Plan!M14&lt;&gt;"","SPM","VTL"))))))))</f>
        <v>QC</v>
      </c>
    </row>
    <row r="15" customFormat="false" ht="15" hidden="false" customHeight="true" outlineLevel="0" collapsed="false">
      <c r="A15" s="1" t="str">
        <f aca="false">IF(OR(Job_Master!E15="",Job_Master!F15=""),"",IF(AND(Job_Master!E15&lt;=$E$2,Job_Master!F15&gt;=$B$2),Job_Master!A15,""))</f>
        <v>BJ-107</v>
      </c>
      <c r="B15" s="1" t="n">
        <f aca="false">IF($A15="","",Job_Master!B15)</f>
        <v>20</v>
      </c>
      <c r="C15" s="1" t="str">
        <f aca="false">IF($A15="","",Job_Master!C15)</f>
        <v>SEG</v>
      </c>
      <c r="D15" s="1" t="str">
        <f aca="false">IF($A15="","",Job_Master!G15)</f>
        <v>Low</v>
      </c>
      <c r="E15" s="1" t="str">
        <f aca="false">IF($A15="","",Job_Master!K15)</f>
        <v>Beta Ltd</v>
      </c>
      <c r="F15" s="1" t="str">
        <f aca="false">IF($A15="","",Job_Master!I15)</f>
        <v>On Hold</v>
      </c>
      <c r="G15" s="91" t="n">
        <f aca="false">IF($A15="","",Job_Master!E15)</f>
        <v>46132.5509259259</v>
      </c>
      <c r="H15" s="91" t="n">
        <f aca="false">IF($A15="","",Job_Master!F15)</f>
        <v>46232.2764550265</v>
      </c>
      <c r="I15" s="91" t="n">
        <f aca="false">IF($A15="","",Job_Master!J15)</f>
        <v>46262.2764550265</v>
      </c>
      <c r="J15" s="94" t="n">
        <f aca="false">IF(OR($A15="",$H15="",$I15=""),"",$I15-$H15)</f>
        <v>30</v>
      </c>
      <c r="K15" s="1" t="str">
        <f aca="false">IF($A15="","⚪",IF($J15&lt;0,"🔴",IF($J15&lt;7,"🟡","🟢")))</f>
        <v>🟢</v>
      </c>
      <c r="L15" s="1" t="str">
        <f aca="false">IF($A15="","",IF(QC_Plan!M15&lt;&gt;"","QC",IF(FID_Plan!M15&lt;&gt;"","FID",IF(VENT_Plan!M15&lt;&gt;"","VENT",IF(ENG_Plan!M15&lt;&gt;"","ENG",IF(EDM_Plan!M15&lt;&gt;"","EDM",IF(CARVING_Plan!M15&lt;&gt;"","CARVING",IF(SPM_Plan!M15&lt;&gt;"","SPM","VTL"))))))))</f>
        <v>QC</v>
      </c>
    </row>
    <row r="16" customFormat="false" ht="15" hidden="false" customHeight="true" outlineLevel="0" collapsed="false">
      <c r="A16" s="1" t="str">
        <f aca="false">IF(OR(Job_Master!E16="",Job_Master!F16=""),"",IF(AND(Job_Master!E16&lt;=$E$2,Job_Master!F16&gt;=$B$2),Job_Master!A16,""))</f>
        <v>BJ-112</v>
      </c>
      <c r="B16" s="1" t="n">
        <f aca="false">IF($A16="","",Job_Master!B16)</f>
        <v>17</v>
      </c>
      <c r="C16" s="1" t="str">
        <f aca="false">IF($A16="","",Job_Master!C16)</f>
        <v>2P</v>
      </c>
      <c r="D16" s="1" t="str">
        <f aca="false">IF($A16="","",Job_Master!G16)</f>
        <v>Low</v>
      </c>
      <c r="E16" s="1" t="str">
        <f aca="false">IF($A16="","",Job_Master!K16)</f>
        <v>Alpha Corp</v>
      </c>
      <c r="F16" s="1" t="str">
        <f aca="false">IF($A16="","",Job_Master!I16)</f>
        <v>Released</v>
      </c>
      <c r="G16" s="91" t="n">
        <f aca="false">IF($A16="","",Job_Master!E16)</f>
        <v>46138.3842592593</v>
      </c>
      <c r="H16" s="91" t="n">
        <f aca="false">IF($A16="","",Job_Master!F16)</f>
        <v>46233.4801587302</v>
      </c>
      <c r="I16" s="91" t="n">
        <f aca="false">IF($A16="","",Job_Master!J16)</f>
        <v>46263.4801587302</v>
      </c>
      <c r="J16" s="94" t="n">
        <f aca="false">IF(OR($A16="",$H16="",$I16=""),"",$I16-$H16)</f>
        <v>30</v>
      </c>
      <c r="K16" s="1" t="str">
        <f aca="false">IF($A16="","⚪",IF($J16&lt;0,"🔴",IF($J16&lt;7,"🟡","🟢")))</f>
        <v>🟢</v>
      </c>
      <c r="L16" s="1" t="str">
        <f aca="false">IF($A16="","",IF(QC_Plan!M16&lt;&gt;"","QC",IF(FID_Plan!M16&lt;&gt;"","FID",IF(VENT_Plan!M16&lt;&gt;"","VENT",IF(ENG_Plan!M16&lt;&gt;"","ENG",IF(EDM_Plan!M16&lt;&gt;"","EDM",IF(CARVING_Plan!M16&lt;&gt;"","CARVING",IF(SPM_Plan!M16&lt;&gt;"","SPM","VTL"))))))))</f>
        <v>QC</v>
      </c>
    </row>
    <row r="17" customFormat="false" ht="15" hidden="false" customHeight="true" outlineLevel="0" collapsed="false">
      <c r="A17" s="1" t="str">
        <f aca="false">IF(OR(Job_Master!E17="",Job_Master!F17=""),"",IF(AND(Job_Master!E17&lt;=$E$2,Job_Master!F17&gt;=$B$2),Job_Master!A17,""))</f>
        <v>BJ-114</v>
      </c>
      <c r="B17" s="1" t="n">
        <f aca="false">IF($A17="","",Job_Master!B17)</f>
        <v>50</v>
      </c>
      <c r="C17" s="1" t="str">
        <f aca="false">IF($A17="","",Job_Master!C17)</f>
        <v>SEG</v>
      </c>
      <c r="D17" s="1" t="str">
        <f aca="false">IF($A17="","",Job_Master!G17)</f>
        <v>High</v>
      </c>
      <c r="E17" s="1" t="str">
        <f aca="false">IF($A17="","",Job_Master!K17)</f>
        <v>Gamma Inc</v>
      </c>
      <c r="F17" s="1" t="str">
        <f aca="false">IF($A17="","",Job_Master!I17)</f>
        <v>Released</v>
      </c>
      <c r="G17" s="91" t="n">
        <f aca="false">IF($A17="","",Job_Master!E17)</f>
        <v>46119.7731481481</v>
      </c>
      <c r="H17" s="91" t="n">
        <f aca="false">IF($A17="","",Job_Master!F17)</f>
        <v>46287.6335978836</v>
      </c>
      <c r="I17" s="91" t="n">
        <f aca="false">IF($A17="","",Job_Master!J17)</f>
        <v>46317.6335978836</v>
      </c>
      <c r="J17" s="94" t="n">
        <f aca="false">IF(OR($A17="",$H17="",$I17=""),"",$I17-$H17)</f>
        <v>30</v>
      </c>
      <c r="K17" s="1" t="str">
        <f aca="false">IF($A17="","⚪",IF($J17&lt;0,"🔴",IF($J17&lt;7,"🟡","🟢")))</f>
        <v>🟢</v>
      </c>
      <c r="L17" s="1" t="str">
        <f aca="false">IF($A17="","",IF(QC_Plan!M17&lt;&gt;"","QC",IF(FID_Plan!M17&lt;&gt;"","FID",IF(VENT_Plan!M17&lt;&gt;"","VENT",IF(ENG_Plan!M17&lt;&gt;"","ENG",IF(EDM_Plan!M17&lt;&gt;"","EDM",IF(CARVING_Plan!M17&lt;&gt;"","CARVING",IF(SPM_Plan!M17&lt;&gt;"","SPM","VTL"))))))))</f>
        <v>QC</v>
      </c>
    </row>
    <row r="18" customFormat="false" ht="15" hidden="false" customHeight="true" outlineLevel="0" collapsed="false">
      <c r="A18" s="1" t="str">
        <f aca="false">IF(OR(Job_Master!E18="",Job_Master!F18=""),"",IF(AND(Job_Master!E18&lt;=$E$2,Job_Master!F18&gt;=$B$2),Job_Master!A18,""))</f>
        <v>BJ-115</v>
      </c>
      <c r="B18" s="1" t="n">
        <f aca="false">IF($A18="","",Job_Master!B18)</f>
        <v>46</v>
      </c>
      <c r="C18" s="1" t="str">
        <f aca="false">IF($A18="","",Job_Master!C18)</f>
        <v>2P</v>
      </c>
      <c r="D18" s="1" t="str">
        <f aca="false">IF($A18="","",Job_Master!G18)</f>
        <v>High</v>
      </c>
      <c r="E18" s="1" t="str">
        <f aca="false">IF($A18="","",Job_Master!K18)</f>
        <v>Beta Ltd</v>
      </c>
      <c r="F18" s="1" t="str">
        <f aca="false">IF($A18="","",Job_Master!I18)</f>
        <v>Cancelled</v>
      </c>
      <c r="G18" s="91" t="n">
        <f aca="false">IF($A18="","",Job_Master!E18)</f>
        <v>46133.2916666667</v>
      </c>
      <c r="H18" s="91" t="n">
        <f aca="false">IF($A18="","",Job_Master!F18)</f>
        <v>46290.8743386243</v>
      </c>
      <c r="I18" s="91" t="n">
        <f aca="false">IF($A18="","",Job_Master!J18)</f>
        <v>46320.8743386243</v>
      </c>
      <c r="J18" s="94" t="n">
        <f aca="false">IF(OR($A18="",$H18="",$I18=""),"",$I18-$H18)</f>
        <v>30</v>
      </c>
      <c r="K18" s="1" t="str">
        <f aca="false">IF($A18="","⚪",IF($J18&lt;0,"🔴",IF($J18&lt;7,"🟡","🟢")))</f>
        <v>🟢</v>
      </c>
      <c r="L18" s="1" t="str">
        <f aca="false">IF($A18="","",IF(QC_Plan!M18&lt;&gt;"","QC",IF(FID_Plan!M18&lt;&gt;"","FID",IF(VENT_Plan!M18&lt;&gt;"","VENT",IF(ENG_Plan!M18&lt;&gt;"","ENG",IF(EDM_Plan!M18&lt;&gt;"","EDM",IF(CARVING_Plan!M18&lt;&gt;"","CARVING",IF(SPM_Plan!M18&lt;&gt;"","SPM","VTL"))))))))</f>
        <v>QC</v>
      </c>
    </row>
    <row r="19" customFormat="false" ht="15" hidden="false" customHeight="true" outlineLevel="0" collapsed="false">
      <c r="A19" s="1" t="str">
        <f aca="false">IF(OR(Job_Master!E19="",Job_Master!F19=""),"",IF(AND(Job_Master!E19&lt;=$E$2,Job_Master!F19&gt;=$B$2),Job_Master!A19,""))</f>
        <v>BJ-116</v>
      </c>
      <c r="B19" s="1" t="n">
        <f aca="false">IF($A19="","",Job_Master!B19)</f>
        <v>54</v>
      </c>
      <c r="C19" s="1" t="str">
        <f aca="false">IF($A19="","",Job_Master!C19)</f>
        <v>2P</v>
      </c>
      <c r="D19" s="1" t="str">
        <f aca="false">IF($A19="","",Job_Master!G19)</f>
        <v>High</v>
      </c>
      <c r="E19" s="1" t="str">
        <f aca="false">IF($A19="","",Job_Master!K19)</f>
        <v>Delta Co</v>
      </c>
      <c r="F19" s="1" t="str">
        <f aca="false">IF($A19="","",Job_Master!I19)</f>
        <v>Released</v>
      </c>
      <c r="G19" s="91" t="n">
        <f aca="false">IF($A19="","",Job_Master!E19)</f>
        <v>46133.662037037</v>
      </c>
      <c r="H19" s="91" t="n">
        <f aca="false">IF($A19="","",Job_Master!F19)</f>
        <v>46297.078042328</v>
      </c>
      <c r="I19" s="91" t="n">
        <f aca="false">IF($A19="","",Job_Master!J19)</f>
        <v>46327.078042328</v>
      </c>
      <c r="J19" s="94" t="n">
        <f aca="false">IF(OR($A19="",$H19="",$I19=""),"",$I19-$H19)</f>
        <v>30</v>
      </c>
      <c r="K19" s="1" t="str">
        <f aca="false">IF($A19="","⚪",IF($J19&lt;0,"🔴",IF($J19&lt;7,"🟡","🟢")))</f>
        <v>🟢</v>
      </c>
      <c r="L19" s="1" t="str">
        <f aca="false">IF($A19="","",IF(QC_Plan!M19&lt;&gt;"","QC",IF(FID_Plan!M19&lt;&gt;"","FID",IF(VENT_Plan!M19&lt;&gt;"","VENT",IF(ENG_Plan!M19&lt;&gt;"","ENG",IF(EDM_Plan!M19&lt;&gt;"","EDM",IF(CARVING_Plan!M19&lt;&gt;"","CARVING",IF(SPM_Plan!M19&lt;&gt;"","SPM","VTL"))))))))</f>
        <v>QC</v>
      </c>
    </row>
    <row r="20" customFormat="false" ht="15" hidden="false" customHeight="true" outlineLevel="0" collapsed="false">
      <c r="A20" s="1" t="str">
        <f aca="false">IF(OR(Job_Master!E20="",Job_Master!F20=""),"",IF(AND(Job_Master!E20&lt;=$E$2,Job_Master!F20&gt;=$B$2),Job_Master!A20,""))</f>
        <v>BJ-118</v>
      </c>
      <c r="B20" s="1" t="n">
        <f aca="false">IF($A20="","",Job_Master!B20)</f>
        <v>28</v>
      </c>
      <c r="C20" s="1" t="str">
        <f aca="false">IF($A20="","",Job_Master!C20)</f>
        <v>SOL</v>
      </c>
      <c r="D20" s="1" t="str">
        <f aca="false">IF($A20="","",Job_Master!G20)</f>
        <v>Medium</v>
      </c>
      <c r="E20" s="1" t="str">
        <f aca="false">IF($A20="","",Job_Master!K20)</f>
        <v>Alpha Corp</v>
      </c>
      <c r="F20" s="1" t="str">
        <f aca="false">IF($A20="","",Job_Master!I20)</f>
        <v>Released</v>
      </c>
      <c r="G20" s="91" t="n">
        <f aca="false">IF($A20="","",Job_Master!E20)</f>
        <v>46139.9583333333</v>
      </c>
      <c r="H20" s="91" t="n">
        <f aca="false">IF($A20="","",Job_Master!F20)</f>
        <v>46302.2632275132</v>
      </c>
      <c r="I20" s="91" t="n">
        <f aca="false">IF($A20="","",Job_Master!J20)</f>
        <v>46332.2632275132</v>
      </c>
      <c r="J20" s="94" t="n">
        <f aca="false">IF(OR($A20="",$H20="",$I20=""),"",$I20-$H20)</f>
        <v>30</v>
      </c>
      <c r="K20" s="1" t="str">
        <f aca="false">IF($A20="","⚪",IF($J20&lt;0,"🔴",IF($J20&lt;7,"🟡","🟢")))</f>
        <v>🟢</v>
      </c>
      <c r="L20" s="1" t="str">
        <f aca="false">IF($A20="","",IF(QC_Plan!M20&lt;&gt;"","QC",IF(FID_Plan!M20&lt;&gt;"","FID",IF(VENT_Plan!M20&lt;&gt;"","VENT",IF(ENG_Plan!M20&lt;&gt;"","ENG",IF(EDM_Plan!M20&lt;&gt;"","EDM",IF(CARVING_Plan!M20&lt;&gt;"","CARVING",IF(SPM_Plan!M20&lt;&gt;"","SPM","VTL"))))))))</f>
        <v>QC</v>
      </c>
    </row>
    <row r="21" customFormat="false" ht="15" hidden="false" customHeight="true" outlineLevel="0" collapsed="false">
      <c r="A21" s="1" t="str">
        <f aca="false">IF(OR(Job_Master!E21="",Job_Master!F21=""),"",IF(AND(Job_Master!E21&lt;=$E$2,Job_Master!F21&gt;=$B$2),Job_Master!A21,""))</f>
        <v>BJ-119</v>
      </c>
      <c r="B21" s="1" t="n">
        <f aca="false">IF($A21="","",Job_Master!B21)</f>
        <v>63</v>
      </c>
      <c r="C21" s="1" t="str">
        <f aca="false">IF($A21="","",Job_Master!C21)</f>
        <v>SOL</v>
      </c>
      <c r="D21" s="1" t="str">
        <f aca="false">IF($A21="","",Job_Master!G21)</f>
        <v>High</v>
      </c>
      <c r="E21" s="1" t="str">
        <f aca="false">IF($A21="","",Job_Master!K21)</f>
        <v>Gamma Inc</v>
      </c>
      <c r="F21" s="1" t="str">
        <f aca="false">IF($A21="","",Job_Master!I21)</f>
        <v>On Hold</v>
      </c>
      <c r="G21" s="91" t="n">
        <f aca="false">IF($A21="","",Job_Master!E21)</f>
        <v>46138.662037037</v>
      </c>
      <c r="H21" s="91" t="n">
        <f aca="false">IF($A21="","",Job_Master!F21)</f>
        <v>46329.7665343915</v>
      </c>
      <c r="I21" s="91" t="n">
        <f aca="false">IF($A21="","",Job_Master!J21)</f>
        <v>46359.7665343915</v>
      </c>
      <c r="J21" s="94" t="n">
        <f aca="false">IF(OR($A21="",$H21="",$I21=""),"",$I21-$H21)</f>
        <v>30</v>
      </c>
      <c r="K21" s="1" t="str">
        <f aca="false">IF($A21="","⚪",IF($J21&lt;0,"🔴",IF($J21&lt;7,"🟡","🟢")))</f>
        <v>🟢</v>
      </c>
      <c r="L21" s="1" t="str">
        <f aca="false">IF($A21="","",IF(QC_Plan!M21&lt;&gt;"","QC",IF(FID_Plan!M21&lt;&gt;"","FID",IF(VENT_Plan!M21&lt;&gt;"","VENT",IF(ENG_Plan!M21&lt;&gt;"","ENG",IF(EDM_Plan!M21&lt;&gt;"","EDM",IF(CARVING_Plan!M21&lt;&gt;"","CARVING",IF(SPM_Plan!M21&lt;&gt;"","SPM","VTL"))))))))</f>
        <v>QC</v>
      </c>
    </row>
    <row r="22" customFormat="false" ht="15" hidden="false" customHeight="true" outlineLevel="0" collapsed="false">
      <c r="A22" s="1" t="str">
        <f aca="false">IF(OR(Job_Master!E22="",Job_Master!F22=""),"",IF(AND(Job_Master!E22&lt;=$E$2,Job_Master!F22&gt;=$B$2),Job_Master!A22,""))</f>
        <v>BJ-120</v>
      </c>
      <c r="B22" s="1" t="n">
        <f aca="false">IF($A22="","",Job_Master!B22)</f>
        <v>46</v>
      </c>
      <c r="C22" s="1" t="str">
        <f aca="false">IF($A22="","",Job_Master!C22)</f>
        <v>2P</v>
      </c>
      <c r="D22" s="1" t="str">
        <f aca="false">IF($A22="","",Job_Master!G22)</f>
        <v>High</v>
      </c>
      <c r="E22" s="1" t="str">
        <f aca="false">IF($A22="","",Job_Master!K22)</f>
        <v>Beta Ltd</v>
      </c>
      <c r="F22" s="1" t="str">
        <f aca="false">IF($A22="","",Job_Master!I22)</f>
        <v>Released</v>
      </c>
      <c r="G22" s="91" t="n">
        <f aca="false">IF($A22="","",Job_Master!E22)</f>
        <v>46137.5509259259</v>
      </c>
      <c r="H22" s="91" t="n">
        <f aca="false">IF($A22="","",Job_Master!F22)</f>
        <v>46333.0072751323</v>
      </c>
      <c r="I22" s="91" t="n">
        <f aca="false">IF($A22="","",Job_Master!J22)</f>
        <v>46363.0072751323</v>
      </c>
      <c r="J22" s="94" t="n">
        <f aca="false">IF(OR($A22="",$H22="",$I22=""),"",$I22-$H22)</f>
        <v>30</v>
      </c>
      <c r="K22" s="1" t="str">
        <f aca="false">IF($A22="","⚪",IF($J22&lt;0,"🔴",IF($J22&lt;7,"🟡","🟢")))</f>
        <v>🟢</v>
      </c>
      <c r="L22" s="1" t="str">
        <f aca="false">IF($A22="","",IF(QC_Plan!M22&lt;&gt;"","QC",IF(FID_Plan!M22&lt;&gt;"","FID",IF(VENT_Plan!M22&lt;&gt;"","VENT",IF(ENG_Plan!M22&lt;&gt;"","ENG",IF(EDM_Plan!M22&lt;&gt;"","EDM",IF(CARVING_Plan!M22&lt;&gt;"","CARVING",IF(SPM_Plan!M22&lt;&gt;"","SPM","VTL"))))))))</f>
        <v>QC</v>
      </c>
    </row>
    <row r="23" customFormat="false" ht="15" hidden="false" customHeight="true" outlineLevel="0" collapsed="false">
      <c r="A23" s="1" t="str">
        <f aca="false">IF(OR(Job_Master!E23="",Job_Master!F23=""),"",IF(AND(Job_Master!E23&lt;=$E$2,Job_Master!F23&gt;=$B$2),Job_Master!A23,""))</f>
        <v>BJ-113</v>
      </c>
      <c r="B23" s="1" t="n">
        <f aca="false">IF($A23="","",Job_Master!B23)</f>
        <v>9</v>
      </c>
      <c r="C23" s="1" t="str">
        <f aca="false">IF($A23="","",Job_Master!C23)</f>
        <v>SEG</v>
      </c>
      <c r="D23" s="1" t="str">
        <f aca="false">IF($A23="","",Job_Master!G23)</f>
        <v>Low</v>
      </c>
      <c r="E23" s="1" t="str">
        <f aca="false">IF($A23="","",Job_Master!K23)</f>
        <v>Delta Co</v>
      </c>
      <c r="F23" s="1" t="str">
        <f aca="false">IF($A23="","",Job_Master!I23)</f>
        <v>Released</v>
      </c>
      <c r="G23" s="91" t="n">
        <f aca="false">IF($A23="","",Job_Master!E23)</f>
        <v>46145.1435185185</v>
      </c>
      <c r="H23" s="91" t="n">
        <f aca="false">IF($A23="","",Job_Master!F23)</f>
        <v>46333.5628306878</v>
      </c>
      <c r="I23" s="91" t="n">
        <f aca="false">IF($A23="","",Job_Master!J23)</f>
        <v>46363.5628306878</v>
      </c>
      <c r="J23" s="94" t="n">
        <f aca="false">IF(OR($A23="",$H23="",$I23=""),"",$I23-$H23)</f>
        <v>30</v>
      </c>
      <c r="K23" s="1" t="str">
        <f aca="false">IF($A23="","⚪",IF($J23&lt;0,"🔴",IF($J23&lt;7,"🟡","🟢")))</f>
        <v>🟢</v>
      </c>
      <c r="L23" s="1" t="str">
        <f aca="false">IF($A23="","",IF(QC_Plan!M23&lt;&gt;"","QC",IF(FID_Plan!M23&lt;&gt;"","FID",IF(VENT_Plan!M23&lt;&gt;"","VENT",IF(ENG_Plan!M23&lt;&gt;"","ENG",IF(EDM_Plan!M23&lt;&gt;"","EDM",IF(CARVING_Plan!M23&lt;&gt;"","CARVING",IF(SPM_Plan!M23&lt;&gt;"","SPM","VTL"))))))))</f>
        <v>QC</v>
      </c>
    </row>
    <row r="24" customFormat="false" ht="15" hidden="false" customHeight="true" outlineLevel="0" collapsed="false">
      <c r="A24" s="1" t="str">
        <f aca="false">IF(OR(Job_Master!E24="",Job_Master!F24=""),"",IF(AND(Job_Master!E24&lt;=$E$2,Job_Master!F24&gt;=$B$2),Job_Master!A24,""))</f>
        <v/>
      </c>
      <c r="B24" s="1" t="str">
        <f aca="false">IF($A24="","",Job_Master!B24)</f>
        <v/>
      </c>
      <c r="C24" s="1" t="str">
        <f aca="false">IF($A24="","",Job_Master!C24)</f>
        <v/>
      </c>
      <c r="D24" s="1" t="str">
        <f aca="false">IF($A24="","",Job_Master!G24)</f>
        <v/>
      </c>
      <c r="E24" s="1" t="str">
        <f aca="false">IF($A24="","",Job_Master!K24)</f>
        <v/>
      </c>
      <c r="F24" s="1" t="str">
        <f aca="false">IF($A24="","",Job_Master!I24)</f>
        <v/>
      </c>
      <c r="G24" s="91" t="str">
        <f aca="false">IF($A24="","",Job_Master!E24)</f>
        <v/>
      </c>
      <c r="H24" s="91" t="str">
        <f aca="false">IF($A24="","",Job_Master!F24)</f>
        <v/>
      </c>
      <c r="I24" s="91" t="str">
        <f aca="false">IF($A24="","",Job_Master!J24)</f>
        <v/>
      </c>
      <c r="J24" s="94" t="str">
        <f aca="false">IF(OR($A24="",$H24="",$I24=""),"",$I24-$H24)</f>
        <v/>
      </c>
      <c r="K24" s="1" t="str">
        <f aca="false">IF($A24="","⚪",IF($J24&lt;0,"🔴",IF($J24&lt;7,"🟡","🟢")))</f>
        <v>⚪</v>
      </c>
      <c r="L24" s="1" t="str">
        <f aca="false">IF($A24="","",IF(QC_Plan!M24&lt;&gt;"","QC",IF(FID_Plan!M24&lt;&gt;"","FID",IF(VENT_Plan!M24&lt;&gt;"","VENT",IF(ENG_Plan!M24&lt;&gt;"","ENG",IF(EDM_Plan!M24&lt;&gt;"","EDM",IF(CARVING_Plan!M24&lt;&gt;"","CARVING",IF(SPM_Plan!M24&lt;&gt;"","SPM","VTL"))))))))</f>
        <v/>
      </c>
    </row>
    <row r="25" customFormat="false" ht="15" hidden="false" customHeight="true" outlineLevel="0" collapsed="false">
      <c r="A25" s="1" t="str">
        <f aca="false">IF(OR(Job_Master!E25="",Job_Master!F25=""),"",IF(AND(Job_Master!E25&lt;=$E$2,Job_Master!F25&gt;=$B$2),Job_Master!A25,""))</f>
        <v>BJ-123</v>
      </c>
      <c r="B25" s="1" t="n">
        <f aca="false">IF($A25="","",Job_Master!B25)</f>
        <v>46</v>
      </c>
      <c r="C25" s="1" t="str">
        <f aca="false">IF($A25="","",Job_Master!C25)</f>
        <v>RW</v>
      </c>
      <c r="D25" s="1" t="str">
        <f aca="false">IF($A25="","",Job_Master!G25)</f>
        <v>High</v>
      </c>
      <c r="E25" s="1" t="str">
        <f aca="false">IF($A25="","",Job_Master!K25)</f>
        <v>Beta Ltd</v>
      </c>
      <c r="F25" s="1" t="str">
        <f aca="false">IF($A25="","",Job_Master!I25)</f>
        <v>On Hold</v>
      </c>
      <c r="G25" s="91" t="n">
        <f aca="false">IF($A25="","",Job_Master!E25)</f>
        <v>46141.8101851852</v>
      </c>
      <c r="H25" s="91" t="n">
        <f aca="false">IF($A25="","",Job_Master!F25)</f>
        <v>46345.1369047619</v>
      </c>
      <c r="I25" s="91" t="n">
        <f aca="false">IF($A25="","",Job_Master!J25)</f>
        <v>46375.1369047619</v>
      </c>
      <c r="J25" s="94" t="n">
        <f aca="false">IF(OR($A25="",$H25="",$I25=""),"",$I25-$H25)</f>
        <v>30</v>
      </c>
      <c r="K25" s="1" t="str">
        <f aca="false">IF($A25="","⚪",IF($J25&lt;0,"🔴",IF($J25&lt;7,"🟡","🟢")))</f>
        <v>🟢</v>
      </c>
      <c r="L25" s="1" t="str">
        <f aca="false">IF($A25="","",IF(QC_Plan!M25&lt;&gt;"","QC",IF(FID_Plan!M25&lt;&gt;"","FID",IF(VENT_Plan!M25&lt;&gt;"","VENT",IF(ENG_Plan!M25&lt;&gt;"","ENG",IF(EDM_Plan!M25&lt;&gt;"","EDM",IF(CARVING_Plan!M25&lt;&gt;"","CARVING",IF(SPM_Plan!M25&lt;&gt;"","SPM","VTL"))))))))</f>
        <v>QC</v>
      </c>
    </row>
    <row r="26" customFormat="false" ht="15" hidden="false" customHeight="true" outlineLevel="0" collapsed="false">
      <c r="A26" s="1" t="str">
        <f aca="false">IF(OR(Job_Master!E26="",Job_Master!F26=""),"",IF(AND(Job_Master!E26&lt;=$E$2,Job_Master!F26&gt;=$B$2),Job_Master!A26,""))</f>
        <v/>
      </c>
      <c r="B26" s="1" t="str">
        <f aca="false">IF($A26="","",Job_Master!B26)</f>
        <v/>
      </c>
      <c r="C26" s="1" t="str">
        <f aca="false">IF($A26="","",Job_Master!C26)</f>
        <v/>
      </c>
      <c r="D26" s="1" t="str">
        <f aca="false">IF($A26="","",Job_Master!G26)</f>
        <v/>
      </c>
      <c r="E26" s="1" t="str">
        <f aca="false">IF($A26="","",Job_Master!K26)</f>
        <v/>
      </c>
      <c r="F26" s="1" t="str">
        <f aca="false">IF($A26="","",Job_Master!I26)</f>
        <v/>
      </c>
      <c r="G26" s="91" t="str">
        <f aca="false">IF($A26="","",Job_Master!E26)</f>
        <v/>
      </c>
      <c r="H26" s="91" t="str">
        <f aca="false">IF($A26="","",Job_Master!F26)</f>
        <v/>
      </c>
      <c r="I26" s="91" t="str">
        <f aca="false">IF($A26="","",Job_Master!J26)</f>
        <v/>
      </c>
      <c r="J26" s="94" t="str">
        <f aca="false">IF(OR($A26="",$H26="",$I26=""),"",$I26-$H26)</f>
        <v/>
      </c>
      <c r="K26" s="1" t="str">
        <f aca="false">IF($A26="","⚪",IF($J26&lt;0,"🔴",IF($J26&lt;7,"🟡","🟢")))</f>
        <v>⚪</v>
      </c>
      <c r="L26" s="1" t="str">
        <f aca="false">IF($A26="","",IF(QC_Plan!M26&lt;&gt;"","QC",IF(FID_Plan!M26&lt;&gt;"","FID",IF(VENT_Plan!M26&lt;&gt;"","VENT",IF(ENG_Plan!M26&lt;&gt;"","ENG",IF(EDM_Plan!M26&lt;&gt;"","EDM",IF(CARVING_Plan!M26&lt;&gt;"","CARVING",IF(SPM_Plan!M26&lt;&gt;"","SPM","VTL"))))))))</f>
        <v/>
      </c>
    </row>
    <row r="27" customFormat="false" ht="15" hidden="false" customHeight="true" outlineLevel="0" collapsed="false">
      <c r="A27" s="1" t="str">
        <f aca="false">IF(OR(Job_Master!E27="",Job_Master!F27=""),"",IF(AND(Job_Master!E27&lt;=$E$2,Job_Master!F27&gt;=$B$2),Job_Master!A27,""))</f>
        <v/>
      </c>
      <c r="B27" s="1" t="str">
        <f aca="false">IF($A27="","",Job_Master!B27)</f>
        <v/>
      </c>
      <c r="C27" s="1" t="str">
        <f aca="false">IF($A27="","",Job_Master!C27)</f>
        <v/>
      </c>
      <c r="D27" s="1" t="str">
        <f aca="false">IF($A27="","",Job_Master!G27)</f>
        <v/>
      </c>
      <c r="E27" s="1" t="str">
        <f aca="false">IF($A27="","",Job_Master!K27)</f>
        <v/>
      </c>
      <c r="F27" s="1" t="str">
        <f aca="false">IF($A27="","",Job_Master!I27)</f>
        <v/>
      </c>
      <c r="G27" s="91" t="str">
        <f aca="false">IF($A27="","",Job_Master!E27)</f>
        <v/>
      </c>
      <c r="H27" s="91" t="str">
        <f aca="false">IF($A27="","",Job_Master!F27)</f>
        <v/>
      </c>
      <c r="I27" s="91" t="str">
        <f aca="false">IF($A27="","",Job_Master!J27)</f>
        <v/>
      </c>
      <c r="J27" s="94" t="str">
        <f aca="false">IF(OR($A27="",$H27="",$I27=""),"",$I27-$H27)</f>
        <v/>
      </c>
      <c r="K27" s="1" t="str">
        <f aca="false">IF($A27="","⚪",IF($J27&lt;0,"🔴",IF($J27&lt;7,"🟡","🟢")))</f>
        <v>⚪</v>
      </c>
      <c r="L27" s="1" t="str">
        <f aca="false">IF($A27="","",IF(QC_Plan!M27&lt;&gt;"","QC",IF(FID_Plan!M27&lt;&gt;"","FID",IF(VENT_Plan!M27&lt;&gt;"","VENT",IF(ENG_Plan!M27&lt;&gt;"","ENG",IF(EDM_Plan!M27&lt;&gt;"","EDM",IF(CARVING_Plan!M27&lt;&gt;"","CARVING",IF(SPM_Plan!M27&lt;&gt;"","SPM","VTL"))))))))</f>
        <v/>
      </c>
    </row>
    <row r="28" customFormat="false" ht="15" hidden="false" customHeight="true" outlineLevel="0" collapsed="false">
      <c r="A28" s="1" t="str">
        <f aca="false">IF(OR(Job_Master!E28="",Job_Master!F28=""),"",IF(AND(Job_Master!E28&lt;=$E$2,Job_Master!F28&gt;=$B$2),Job_Master!A28,""))</f>
        <v/>
      </c>
      <c r="B28" s="1" t="str">
        <f aca="false">IF($A28="","",Job_Master!B28)</f>
        <v/>
      </c>
      <c r="C28" s="1" t="str">
        <f aca="false">IF($A28="","",Job_Master!C28)</f>
        <v/>
      </c>
      <c r="D28" s="1" t="str">
        <f aca="false">IF($A28="","",Job_Master!G28)</f>
        <v/>
      </c>
      <c r="E28" s="1" t="str">
        <f aca="false">IF($A28="","",Job_Master!K28)</f>
        <v/>
      </c>
      <c r="F28" s="1" t="str">
        <f aca="false">IF($A28="","",Job_Master!I28)</f>
        <v/>
      </c>
      <c r="G28" s="91" t="str">
        <f aca="false">IF($A28="","",Job_Master!E28)</f>
        <v/>
      </c>
      <c r="H28" s="91" t="str">
        <f aca="false">IF($A28="","",Job_Master!F28)</f>
        <v/>
      </c>
      <c r="I28" s="91" t="str">
        <f aca="false">IF($A28="","",Job_Master!J28)</f>
        <v/>
      </c>
      <c r="J28" s="94" t="str">
        <f aca="false">IF(OR($A28="",$H28="",$I28=""),"",$I28-$H28)</f>
        <v/>
      </c>
      <c r="K28" s="1" t="str">
        <f aca="false">IF($A28="","⚪",IF($J28&lt;0,"🔴",IF($J28&lt;7,"🟡","🟢")))</f>
        <v>⚪</v>
      </c>
      <c r="L28" s="1" t="str">
        <f aca="false">IF($A28="","",IF(QC_Plan!M28&lt;&gt;"","QC",IF(FID_Plan!M28&lt;&gt;"","FID",IF(VENT_Plan!M28&lt;&gt;"","VENT",IF(ENG_Plan!M28&lt;&gt;"","ENG",IF(EDM_Plan!M28&lt;&gt;"","EDM",IF(CARVING_Plan!M28&lt;&gt;"","CARVING",IF(SPM_Plan!M28&lt;&gt;"","SPM","VTL"))))))))</f>
        <v/>
      </c>
    </row>
    <row r="29" customFormat="false" ht="15" hidden="false" customHeight="true" outlineLevel="0" collapsed="false">
      <c r="A29" s="1" t="str">
        <f aca="false">IF(OR(Job_Master!E29="",Job_Master!F29=""),"",IF(AND(Job_Master!E29&lt;=$E$2,Job_Master!F29&gt;=$B$2),Job_Master!A29,""))</f>
        <v/>
      </c>
      <c r="B29" s="1" t="str">
        <f aca="false">IF($A29="","",Job_Master!B29)</f>
        <v/>
      </c>
      <c r="C29" s="1" t="str">
        <f aca="false">IF($A29="","",Job_Master!C29)</f>
        <v/>
      </c>
      <c r="D29" s="1" t="str">
        <f aca="false">IF($A29="","",Job_Master!G29)</f>
        <v/>
      </c>
      <c r="E29" s="1" t="str">
        <f aca="false">IF($A29="","",Job_Master!K29)</f>
        <v/>
      </c>
      <c r="F29" s="1" t="str">
        <f aca="false">IF($A29="","",Job_Master!I29)</f>
        <v/>
      </c>
      <c r="G29" s="91" t="str">
        <f aca="false">IF($A29="","",Job_Master!E29)</f>
        <v/>
      </c>
      <c r="H29" s="91" t="str">
        <f aca="false">IF($A29="","",Job_Master!F29)</f>
        <v/>
      </c>
      <c r="I29" s="91" t="str">
        <f aca="false">IF($A29="","",Job_Master!J29)</f>
        <v/>
      </c>
      <c r="J29" s="94" t="str">
        <f aca="false">IF(OR($A29="",$H29="",$I29=""),"",$I29-$H29)</f>
        <v/>
      </c>
      <c r="K29" s="1" t="str">
        <f aca="false">IF($A29="","⚪",IF($J29&lt;0,"🔴",IF($J29&lt;7,"🟡","🟢")))</f>
        <v>⚪</v>
      </c>
      <c r="L29" s="1" t="str">
        <f aca="false">IF($A29="","",IF(QC_Plan!M29&lt;&gt;"","QC",IF(FID_Plan!M29&lt;&gt;"","FID",IF(VENT_Plan!M29&lt;&gt;"","VENT",IF(ENG_Plan!M29&lt;&gt;"","ENG",IF(EDM_Plan!M29&lt;&gt;"","EDM",IF(CARVING_Plan!M29&lt;&gt;"","CARVING",IF(SPM_Plan!M29&lt;&gt;"","SPM","VTL"))))))))</f>
        <v/>
      </c>
    </row>
    <row r="30" customFormat="false" ht="15" hidden="false" customHeight="true" outlineLevel="0" collapsed="false">
      <c r="A30" s="1" t="str">
        <f aca="false">IF(OR(Job_Master!E30="",Job_Master!F30=""),"",IF(AND(Job_Master!E30&lt;=$E$2,Job_Master!F30&gt;=$B$2),Job_Master!A30,""))</f>
        <v/>
      </c>
      <c r="B30" s="1" t="str">
        <f aca="false">IF($A30="","",Job_Master!B30)</f>
        <v/>
      </c>
      <c r="C30" s="1" t="str">
        <f aca="false">IF($A30="","",Job_Master!C30)</f>
        <v/>
      </c>
      <c r="D30" s="1" t="str">
        <f aca="false">IF($A30="","",Job_Master!G30)</f>
        <v/>
      </c>
      <c r="E30" s="1" t="str">
        <f aca="false">IF($A30="","",Job_Master!K30)</f>
        <v/>
      </c>
      <c r="F30" s="1" t="str">
        <f aca="false">IF($A30="","",Job_Master!I30)</f>
        <v/>
      </c>
      <c r="G30" s="91" t="str">
        <f aca="false">IF($A30="","",Job_Master!E30)</f>
        <v/>
      </c>
      <c r="H30" s="91" t="str">
        <f aca="false">IF($A30="","",Job_Master!F30)</f>
        <v/>
      </c>
      <c r="I30" s="91" t="str">
        <f aca="false">IF($A30="","",Job_Master!J30)</f>
        <v/>
      </c>
      <c r="J30" s="94" t="str">
        <f aca="false">IF(OR($A30="",$H30="",$I30=""),"",$I30-$H30)</f>
        <v/>
      </c>
      <c r="K30" s="1" t="str">
        <f aca="false">IF($A30="","⚪",IF($J30&lt;0,"🔴",IF($J30&lt;7,"🟡","🟢")))</f>
        <v>⚪</v>
      </c>
      <c r="L30" s="1" t="str">
        <f aca="false">IF($A30="","",IF(QC_Plan!M30&lt;&gt;"","QC",IF(FID_Plan!M30&lt;&gt;"","FID",IF(VENT_Plan!M30&lt;&gt;"","VENT",IF(ENG_Plan!M30&lt;&gt;"","ENG",IF(EDM_Plan!M30&lt;&gt;"","EDM",IF(CARVING_Plan!M30&lt;&gt;"","CARVING",IF(SPM_Plan!M30&lt;&gt;"","SPM","VTL"))))))))</f>
        <v/>
      </c>
    </row>
    <row r="31" customFormat="false" ht="15" hidden="false" customHeight="true" outlineLevel="0" collapsed="false">
      <c r="A31" s="1" t="str">
        <f aca="false">IF(OR(Job_Master!E31="",Job_Master!F31=""),"",IF(AND(Job_Master!E31&lt;=$E$2,Job_Master!F31&gt;=$B$2),Job_Master!A31,""))</f>
        <v/>
      </c>
      <c r="B31" s="1" t="str">
        <f aca="false">IF($A31="","",Job_Master!B31)</f>
        <v/>
      </c>
      <c r="C31" s="1" t="str">
        <f aca="false">IF($A31="","",Job_Master!C31)</f>
        <v/>
      </c>
      <c r="D31" s="1" t="str">
        <f aca="false">IF($A31="","",Job_Master!G31)</f>
        <v/>
      </c>
      <c r="E31" s="1" t="str">
        <f aca="false">IF($A31="","",Job_Master!K31)</f>
        <v/>
      </c>
      <c r="F31" s="1" t="str">
        <f aca="false">IF($A31="","",Job_Master!I31)</f>
        <v/>
      </c>
      <c r="G31" s="91" t="str">
        <f aca="false">IF($A31="","",Job_Master!E31)</f>
        <v/>
      </c>
      <c r="H31" s="91" t="str">
        <f aca="false">IF($A31="","",Job_Master!F31)</f>
        <v/>
      </c>
      <c r="I31" s="91" t="str">
        <f aca="false">IF($A31="","",Job_Master!J31)</f>
        <v/>
      </c>
      <c r="J31" s="94" t="str">
        <f aca="false">IF(OR($A31="",$H31="",$I31=""),"",$I31-$H31)</f>
        <v/>
      </c>
      <c r="K31" s="1" t="str">
        <f aca="false">IF($A31="","⚪",IF($J31&lt;0,"🔴",IF($J31&lt;7,"🟡","🟢")))</f>
        <v>⚪</v>
      </c>
      <c r="L31" s="1" t="str">
        <f aca="false">IF($A31="","",IF(QC_Plan!M31&lt;&gt;"","QC",IF(FID_Plan!M31&lt;&gt;"","FID",IF(VENT_Plan!M31&lt;&gt;"","VENT",IF(ENG_Plan!M31&lt;&gt;"","ENG",IF(EDM_Plan!M31&lt;&gt;"","EDM",IF(CARVING_Plan!M31&lt;&gt;"","CARVING",IF(SPM_Plan!M31&lt;&gt;"","SPM","VTL"))))))))</f>
        <v/>
      </c>
    </row>
    <row r="32" customFormat="false" ht="15" hidden="false" customHeight="true" outlineLevel="0" collapsed="false">
      <c r="A32" s="1" t="str">
        <f aca="false">IF(OR(Job_Master!E32="",Job_Master!F32=""),"",IF(AND(Job_Master!E32&lt;=$E$2,Job_Master!F32&gt;=$B$2),Job_Master!A32,""))</f>
        <v/>
      </c>
      <c r="B32" s="1" t="str">
        <f aca="false">IF($A32="","",Job_Master!B32)</f>
        <v/>
      </c>
      <c r="C32" s="1" t="str">
        <f aca="false">IF($A32="","",Job_Master!C32)</f>
        <v/>
      </c>
      <c r="D32" s="1" t="str">
        <f aca="false">IF($A32="","",Job_Master!G32)</f>
        <v/>
      </c>
      <c r="E32" s="1" t="str">
        <f aca="false">IF($A32="","",Job_Master!K32)</f>
        <v/>
      </c>
      <c r="F32" s="1" t="str">
        <f aca="false">IF($A32="","",Job_Master!I32)</f>
        <v/>
      </c>
      <c r="G32" s="91" t="str">
        <f aca="false">IF($A32="","",Job_Master!E32)</f>
        <v/>
      </c>
      <c r="H32" s="91" t="str">
        <f aca="false">IF($A32="","",Job_Master!F32)</f>
        <v/>
      </c>
      <c r="I32" s="91" t="str">
        <f aca="false">IF($A32="","",Job_Master!J32)</f>
        <v/>
      </c>
      <c r="J32" s="94" t="str">
        <f aca="false">IF(OR($A32="",$H32="",$I32=""),"",$I32-$H32)</f>
        <v/>
      </c>
      <c r="K32" s="1" t="str">
        <f aca="false">IF($A32="","⚪",IF($J32&lt;0,"🔴",IF($J32&lt;7,"🟡","🟢")))</f>
        <v>⚪</v>
      </c>
      <c r="L32" s="1" t="str">
        <f aca="false">IF($A32="","",IF(QC_Plan!M32&lt;&gt;"","QC",IF(FID_Plan!M32&lt;&gt;"","FID",IF(VENT_Plan!M32&lt;&gt;"","VENT",IF(ENG_Plan!M32&lt;&gt;"","ENG",IF(EDM_Plan!M32&lt;&gt;"","EDM",IF(CARVING_Plan!M32&lt;&gt;"","CARVING",IF(SPM_Plan!M32&lt;&gt;"","SPM","VTL"))))))))</f>
        <v/>
      </c>
    </row>
    <row r="33" customFormat="false" ht="15" hidden="false" customHeight="true" outlineLevel="0" collapsed="false">
      <c r="A33" s="1" t="str">
        <f aca="false">IF(OR(Job_Master!E33="",Job_Master!F33=""),"",IF(AND(Job_Master!E33&lt;=$E$2,Job_Master!F33&gt;=$B$2),Job_Master!A33,""))</f>
        <v/>
      </c>
      <c r="B33" s="1" t="str">
        <f aca="false">IF($A33="","",Job_Master!B33)</f>
        <v/>
      </c>
      <c r="C33" s="1" t="str">
        <f aca="false">IF($A33="","",Job_Master!C33)</f>
        <v/>
      </c>
      <c r="D33" s="1" t="str">
        <f aca="false">IF($A33="","",Job_Master!G33)</f>
        <v/>
      </c>
      <c r="E33" s="1" t="str">
        <f aca="false">IF($A33="","",Job_Master!K33)</f>
        <v/>
      </c>
      <c r="F33" s="1" t="str">
        <f aca="false">IF($A33="","",Job_Master!I33)</f>
        <v/>
      </c>
      <c r="G33" s="91" t="str">
        <f aca="false">IF($A33="","",Job_Master!E33)</f>
        <v/>
      </c>
      <c r="H33" s="91" t="str">
        <f aca="false">IF($A33="","",Job_Master!F33)</f>
        <v/>
      </c>
      <c r="I33" s="91" t="str">
        <f aca="false">IF($A33="","",Job_Master!J33)</f>
        <v/>
      </c>
      <c r="J33" s="94" t="str">
        <f aca="false">IF(OR($A33="",$H33="",$I33=""),"",$I33-$H33)</f>
        <v/>
      </c>
      <c r="K33" s="1" t="str">
        <f aca="false">IF($A33="","⚪",IF($J33&lt;0,"🔴",IF($J33&lt;7,"🟡","🟢")))</f>
        <v>⚪</v>
      </c>
      <c r="L33" s="1" t="str">
        <f aca="false">IF($A33="","",IF(QC_Plan!M33&lt;&gt;"","QC",IF(FID_Plan!M33&lt;&gt;"","FID",IF(VENT_Plan!M33&lt;&gt;"","VENT",IF(ENG_Plan!M33&lt;&gt;"","ENG",IF(EDM_Plan!M33&lt;&gt;"","EDM",IF(CARVING_Plan!M33&lt;&gt;"","CARVING",IF(SPM_Plan!M33&lt;&gt;"","SPM","VTL"))))))))</f>
        <v/>
      </c>
    </row>
    <row r="34" customFormat="false" ht="15" hidden="false" customHeight="true" outlineLevel="0" collapsed="false">
      <c r="A34" s="1" t="str">
        <f aca="false">IF(OR(Job_Master!E34="",Job_Master!F34=""),"",IF(AND(Job_Master!E34&lt;=$E$2,Job_Master!F34&gt;=$B$2),Job_Master!A34,""))</f>
        <v/>
      </c>
      <c r="B34" s="1" t="str">
        <f aca="false">IF($A34="","",Job_Master!B34)</f>
        <v/>
      </c>
      <c r="C34" s="1" t="str">
        <f aca="false">IF($A34="","",Job_Master!C34)</f>
        <v/>
      </c>
      <c r="D34" s="1" t="str">
        <f aca="false">IF($A34="","",Job_Master!G34)</f>
        <v/>
      </c>
      <c r="E34" s="1" t="str">
        <f aca="false">IF($A34="","",Job_Master!K34)</f>
        <v/>
      </c>
      <c r="F34" s="1" t="str">
        <f aca="false">IF($A34="","",Job_Master!I34)</f>
        <v/>
      </c>
      <c r="G34" s="91" t="str">
        <f aca="false">IF($A34="","",Job_Master!E34)</f>
        <v/>
      </c>
      <c r="H34" s="91" t="str">
        <f aca="false">IF($A34="","",Job_Master!F34)</f>
        <v/>
      </c>
      <c r="I34" s="91" t="str">
        <f aca="false">IF($A34="","",Job_Master!J34)</f>
        <v/>
      </c>
      <c r="J34" s="94" t="str">
        <f aca="false">IF(OR($A34="",$H34="",$I34=""),"",$I34-$H34)</f>
        <v/>
      </c>
      <c r="K34" s="1" t="str">
        <f aca="false">IF($A34="","⚪",IF($J34&lt;0,"🔴",IF($J34&lt;7,"🟡","🟢")))</f>
        <v>⚪</v>
      </c>
      <c r="L34" s="1" t="str">
        <f aca="false">IF($A34="","",IF(QC_Plan!M34&lt;&gt;"","QC",IF(FID_Plan!M34&lt;&gt;"","FID",IF(VENT_Plan!M34&lt;&gt;"","VENT",IF(ENG_Plan!M34&lt;&gt;"","ENG",IF(EDM_Plan!M34&lt;&gt;"","EDM",IF(CARVING_Plan!M34&lt;&gt;"","CARVING",IF(SPM_Plan!M34&lt;&gt;"","SPM","VTL"))))))))</f>
        <v/>
      </c>
    </row>
    <row r="35" customFormat="false" ht="15" hidden="false" customHeight="true" outlineLevel="0" collapsed="false">
      <c r="A35" s="1" t="str">
        <f aca="false">IF(OR(Job_Master!E35="",Job_Master!F35=""),"",IF(AND(Job_Master!E35&lt;=$E$2,Job_Master!F35&gt;=$B$2),Job_Master!A35,""))</f>
        <v/>
      </c>
      <c r="B35" s="1" t="str">
        <f aca="false">IF($A35="","",Job_Master!B35)</f>
        <v/>
      </c>
      <c r="C35" s="1" t="str">
        <f aca="false">IF($A35="","",Job_Master!C35)</f>
        <v/>
      </c>
      <c r="D35" s="1" t="str">
        <f aca="false">IF($A35="","",Job_Master!G35)</f>
        <v/>
      </c>
      <c r="E35" s="1" t="str">
        <f aca="false">IF($A35="","",Job_Master!K35)</f>
        <v/>
      </c>
      <c r="F35" s="1" t="str">
        <f aca="false">IF($A35="","",Job_Master!I35)</f>
        <v/>
      </c>
      <c r="G35" s="91" t="str">
        <f aca="false">IF($A35="","",Job_Master!E35)</f>
        <v/>
      </c>
      <c r="H35" s="91" t="str">
        <f aca="false">IF($A35="","",Job_Master!F35)</f>
        <v/>
      </c>
      <c r="I35" s="91" t="str">
        <f aca="false">IF($A35="","",Job_Master!J35)</f>
        <v/>
      </c>
      <c r="J35" s="94" t="str">
        <f aca="false">IF(OR($A35="",$H35="",$I35=""),"",$I35-$H35)</f>
        <v/>
      </c>
      <c r="K35" s="1" t="str">
        <f aca="false">IF($A35="","⚪",IF($J35&lt;0,"🔴",IF($J35&lt;7,"🟡","🟢")))</f>
        <v>⚪</v>
      </c>
      <c r="L35" s="1" t="str">
        <f aca="false">IF($A35="","",IF(QC_Plan!M35&lt;&gt;"","QC",IF(FID_Plan!M35&lt;&gt;"","FID",IF(VENT_Plan!M35&lt;&gt;"","VENT",IF(ENG_Plan!M35&lt;&gt;"","ENG",IF(EDM_Plan!M35&lt;&gt;"","EDM",IF(CARVING_Plan!M35&lt;&gt;"","CARVING",IF(SPM_Plan!M35&lt;&gt;"","SPM","VTL"))))))))</f>
        <v/>
      </c>
    </row>
    <row r="36" customFormat="false" ht="15" hidden="false" customHeight="true" outlineLevel="0" collapsed="false">
      <c r="A36" s="1" t="str">
        <f aca="false">IF(OR(Job_Master!E36="",Job_Master!F36=""),"",IF(AND(Job_Master!E36&lt;=$E$2,Job_Master!F36&gt;=$B$2),Job_Master!A36,""))</f>
        <v/>
      </c>
      <c r="B36" s="1" t="str">
        <f aca="false">IF($A36="","",Job_Master!B36)</f>
        <v/>
      </c>
      <c r="C36" s="1" t="str">
        <f aca="false">IF($A36="","",Job_Master!C36)</f>
        <v/>
      </c>
      <c r="D36" s="1" t="str">
        <f aca="false">IF($A36="","",Job_Master!G36)</f>
        <v/>
      </c>
      <c r="E36" s="1" t="str">
        <f aca="false">IF($A36="","",Job_Master!K36)</f>
        <v/>
      </c>
      <c r="F36" s="1" t="str">
        <f aca="false">IF($A36="","",Job_Master!I36)</f>
        <v/>
      </c>
      <c r="G36" s="91" t="str">
        <f aca="false">IF($A36="","",Job_Master!E36)</f>
        <v/>
      </c>
      <c r="H36" s="91" t="str">
        <f aca="false">IF($A36="","",Job_Master!F36)</f>
        <v/>
      </c>
      <c r="I36" s="91" t="str">
        <f aca="false">IF($A36="","",Job_Master!J36)</f>
        <v/>
      </c>
      <c r="J36" s="94" t="str">
        <f aca="false">IF(OR($A36="",$H36="",$I36=""),"",$I36-$H36)</f>
        <v/>
      </c>
      <c r="K36" s="1" t="str">
        <f aca="false">IF($A36="","⚪",IF($J36&lt;0,"🔴",IF($J36&lt;7,"🟡","🟢")))</f>
        <v>⚪</v>
      </c>
      <c r="L36" s="1" t="str">
        <f aca="false">IF($A36="","",IF(QC_Plan!M36&lt;&gt;"","QC",IF(FID_Plan!M36&lt;&gt;"","FID",IF(VENT_Plan!M36&lt;&gt;"","VENT",IF(ENG_Plan!M36&lt;&gt;"","ENG",IF(EDM_Plan!M36&lt;&gt;"","EDM",IF(CARVING_Plan!M36&lt;&gt;"","CARVING",IF(SPM_Plan!M36&lt;&gt;"","SPM","VTL"))))))))</f>
        <v/>
      </c>
    </row>
    <row r="37" customFormat="false" ht="15" hidden="false" customHeight="true" outlineLevel="0" collapsed="false">
      <c r="A37" s="1" t="str">
        <f aca="false">IF(OR(Job_Master!E37="",Job_Master!F37=""),"",IF(AND(Job_Master!E37&lt;=$E$2,Job_Master!F37&gt;=$B$2),Job_Master!A37,""))</f>
        <v/>
      </c>
      <c r="B37" s="1" t="str">
        <f aca="false">IF($A37="","",Job_Master!B37)</f>
        <v/>
      </c>
      <c r="C37" s="1" t="str">
        <f aca="false">IF($A37="","",Job_Master!C37)</f>
        <v/>
      </c>
      <c r="D37" s="1" t="str">
        <f aca="false">IF($A37="","",Job_Master!G37)</f>
        <v/>
      </c>
      <c r="E37" s="1" t="str">
        <f aca="false">IF($A37="","",Job_Master!K37)</f>
        <v/>
      </c>
      <c r="F37" s="1" t="str">
        <f aca="false">IF($A37="","",Job_Master!I37)</f>
        <v/>
      </c>
      <c r="G37" s="91" t="str">
        <f aca="false">IF($A37="","",Job_Master!E37)</f>
        <v/>
      </c>
      <c r="H37" s="91" t="str">
        <f aca="false">IF($A37="","",Job_Master!F37)</f>
        <v/>
      </c>
      <c r="I37" s="91" t="str">
        <f aca="false">IF($A37="","",Job_Master!J37)</f>
        <v/>
      </c>
      <c r="J37" s="94" t="str">
        <f aca="false">IF(OR($A37="",$H37="",$I37=""),"",$I37-$H37)</f>
        <v/>
      </c>
      <c r="K37" s="1" t="str">
        <f aca="false">IF($A37="","⚪",IF($J37&lt;0,"🔴",IF($J37&lt;7,"🟡","🟢")))</f>
        <v>⚪</v>
      </c>
      <c r="L37" s="1" t="str">
        <f aca="false">IF($A37="","",IF(QC_Plan!M37&lt;&gt;"","QC",IF(FID_Plan!M37&lt;&gt;"","FID",IF(VENT_Plan!M37&lt;&gt;"","VENT",IF(ENG_Plan!M37&lt;&gt;"","ENG",IF(EDM_Plan!M37&lt;&gt;"","EDM",IF(CARVING_Plan!M37&lt;&gt;"","CARVING",IF(SPM_Plan!M37&lt;&gt;"","SPM","VTL"))))))))</f>
        <v/>
      </c>
    </row>
    <row r="38" customFormat="false" ht="15" hidden="false" customHeight="true" outlineLevel="0" collapsed="false">
      <c r="A38" s="1" t="str">
        <f aca="false">IF(OR(Job_Master!E38="",Job_Master!F38=""),"",IF(AND(Job_Master!E38&lt;=$E$2,Job_Master!F38&gt;=$B$2),Job_Master!A38,""))</f>
        <v/>
      </c>
      <c r="B38" s="1" t="str">
        <f aca="false">IF($A38="","",Job_Master!B38)</f>
        <v/>
      </c>
      <c r="C38" s="1" t="str">
        <f aca="false">IF($A38="","",Job_Master!C38)</f>
        <v/>
      </c>
      <c r="D38" s="1" t="str">
        <f aca="false">IF($A38="","",Job_Master!G38)</f>
        <v/>
      </c>
      <c r="E38" s="1" t="str">
        <f aca="false">IF($A38="","",Job_Master!K38)</f>
        <v/>
      </c>
      <c r="F38" s="1" t="str">
        <f aca="false">IF($A38="","",Job_Master!I38)</f>
        <v/>
      </c>
      <c r="G38" s="91" t="str">
        <f aca="false">IF($A38="","",Job_Master!E38)</f>
        <v/>
      </c>
      <c r="H38" s="91" t="str">
        <f aca="false">IF($A38="","",Job_Master!F38)</f>
        <v/>
      </c>
      <c r="I38" s="91" t="str">
        <f aca="false">IF($A38="","",Job_Master!J38)</f>
        <v/>
      </c>
      <c r="J38" s="94" t="str">
        <f aca="false">IF(OR($A38="",$H38="",$I38=""),"",$I38-$H38)</f>
        <v/>
      </c>
      <c r="K38" s="1" t="str">
        <f aca="false">IF($A38="","⚪",IF($J38&lt;0,"🔴",IF($J38&lt;7,"🟡","🟢")))</f>
        <v>⚪</v>
      </c>
      <c r="L38" s="1" t="str">
        <f aca="false">IF($A38="","",IF(QC_Plan!M38&lt;&gt;"","QC",IF(FID_Plan!M38&lt;&gt;"","FID",IF(VENT_Plan!M38&lt;&gt;"","VENT",IF(ENG_Plan!M38&lt;&gt;"","ENG",IF(EDM_Plan!M38&lt;&gt;"","EDM",IF(CARVING_Plan!M38&lt;&gt;"","CARVING",IF(SPM_Plan!M38&lt;&gt;"","SPM","VTL"))))))))</f>
        <v/>
      </c>
    </row>
    <row r="39" customFormat="false" ht="15" hidden="false" customHeight="true" outlineLevel="0" collapsed="false">
      <c r="A39" s="1" t="str">
        <f aca="false">IF(OR(Job_Master!E39="",Job_Master!F39=""),"",IF(AND(Job_Master!E39&lt;=$E$2,Job_Master!F39&gt;=$B$2),Job_Master!A39,""))</f>
        <v/>
      </c>
      <c r="B39" s="1" t="str">
        <f aca="false">IF($A39="","",Job_Master!B39)</f>
        <v/>
      </c>
      <c r="C39" s="1" t="str">
        <f aca="false">IF($A39="","",Job_Master!C39)</f>
        <v/>
      </c>
      <c r="D39" s="1" t="str">
        <f aca="false">IF($A39="","",Job_Master!G39)</f>
        <v/>
      </c>
      <c r="E39" s="1" t="str">
        <f aca="false">IF($A39="","",Job_Master!K39)</f>
        <v/>
      </c>
      <c r="F39" s="1" t="str">
        <f aca="false">IF($A39="","",Job_Master!I39)</f>
        <v/>
      </c>
      <c r="G39" s="91" t="str">
        <f aca="false">IF($A39="","",Job_Master!E39)</f>
        <v/>
      </c>
      <c r="H39" s="91" t="str">
        <f aca="false">IF($A39="","",Job_Master!F39)</f>
        <v/>
      </c>
      <c r="I39" s="91" t="str">
        <f aca="false">IF($A39="","",Job_Master!J39)</f>
        <v/>
      </c>
      <c r="J39" s="94" t="str">
        <f aca="false">IF(OR($A39="",$H39="",$I39=""),"",$I39-$H39)</f>
        <v/>
      </c>
      <c r="K39" s="1" t="str">
        <f aca="false">IF($A39="","⚪",IF($J39&lt;0,"🔴",IF($J39&lt;7,"🟡","🟢")))</f>
        <v>⚪</v>
      </c>
      <c r="L39" s="1" t="str">
        <f aca="false">IF($A39="","",IF(QC_Plan!M39&lt;&gt;"","QC",IF(FID_Plan!M39&lt;&gt;"","FID",IF(VENT_Plan!M39&lt;&gt;"","VENT",IF(ENG_Plan!M39&lt;&gt;"","ENG",IF(EDM_Plan!M39&lt;&gt;"","EDM",IF(CARVING_Plan!M39&lt;&gt;"","CARVING",IF(SPM_Plan!M39&lt;&gt;"","SPM","VTL"))))))))</f>
        <v/>
      </c>
    </row>
    <row r="40" customFormat="false" ht="15" hidden="false" customHeight="true" outlineLevel="0" collapsed="false">
      <c r="A40" s="1" t="str">
        <f aca="false">IF(OR(Job_Master!E40="",Job_Master!F40=""),"",IF(AND(Job_Master!E40&lt;=$E$2,Job_Master!F40&gt;=$B$2),Job_Master!A40,""))</f>
        <v/>
      </c>
      <c r="B40" s="1" t="str">
        <f aca="false">IF($A40="","",Job_Master!B40)</f>
        <v/>
      </c>
      <c r="C40" s="1" t="str">
        <f aca="false">IF($A40="","",Job_Master!C40)</f>
        <v/>
      </c>
      <c r="D40" s="1" t="str">
        <f aca="false">IF($A40="","",Job_Master!G40)</f>
        <v/>
      </c>
      <c r="E40" s="1" t="str">
        <f aca="false">IF($A40="","",Job_Master!K40)</f>
        <v/>
      </c>
      <c r="F40" s="1" t="str">
        <f aca="false">IF($A40="","",Job_Master!I40)</f>
        <v/>
      </c>
      <c r="G40" s="91" t="str">
        <f aca="false">IF($A40="","",Job_Master!E40)</f>
        <v/>
      </c>
      <c r="H40" s="91" t="str">
        <f aca="false">IF($A40="","",Job_Master!F40)</f>
        <v/>
      </c>
      <c r="I40" s="91" t="str">
        <f aca="false">IF($A40="","",Job_Master!J40)</f>
        <v/>
      </c>
      <c r="J40" s="94" t="str">
        <f aca="false">IF(OR($A40="",$H40="",$I40=""),"",$I40-$H40)</f>
        <v/>
      </c>
      <c r="K40" s="1" t="str">
        <f aca="false">IF($A40="","⚪",IF($J40&lt;0,"🔴",IF($J40&lt;7,"🟡","🟢")))</f>
        <v>⚪</v>
      </c>
      <c r="L40" s="1" t="str">
        <f aca="false">IF($A40="","",IF(QC_Plan!M40&lt;&gt;"","QC",IF(FID_Plan!M40&lt;&gt;"","FID",IF(VENT_Plan!M40&lt;&gt;"","VENT",IF(ENG_Plan!M40&lt;&gt;"","ENG",IF(EDM_Plan!M40&lt;&gt;"","EDM",IF(CARVING_Plan!M40&lt;&gt;"","CARVING",IF(SPM_Plan!M40&lt;&gt;"","SPM","VTL"))))))))</f>
        <v/>
      </c>
    </row>
    <row r="41" customFormat="false" ht="15" hidden="false" customHeight="true" outlineLevel="0" collapsed="false">
      <c r="A41" s="1" t="str">
        <f aca="false">IF(OR(Job_Master!E41="",Job_Master!F41=""),"",IF(AND(Job_Master!E41&lt;=$E$2,Job_Master!F41&gt;=$B$2),Job_Master!A41,""))</f>
        <v/>
      </c>
      <c r="B41" s="1" t="str">
        <f aca="false">IF($A41="","",Job_Master!B41)</f>
        <v/>
      </c>
      <c r="C41" s="1" t="str">
        <f aca="false">IF($A41="","",Job_Master!C41)</f>
        <v/>
      </c>
      <c r="D41" s="1" t="str">
        <f aca="false">IF($A41="","",Job_Master!G41)</f>
        <v/>
      </c>
      <c r="E41" s="1" t="str">
        <f aca="false">IF($A41="","",Job_Master!K41)</f>
        <v/>
      </c>
      <c r="F41" s="1" t="str">
        <f aca="false">IF($A41="","",Job_Master!I41)</f>
        <v/>
      </c>
      <c r="G41" s="91" t="str">
        <f aca="false">IF($A41="","",Job_Master!E41)</f>
        <v/>
      </c>
      <c r="H41" s="91" t="str">
        <f aca="false">IF($A41="","",Job_Master!F41)</f>
        <v/>
      </c>
      <c r="I41" s="91" t="str">
        <f aca="false">IF($A41="","",Job_Master!J41)</f>
        <v/>
      </c>
      <c r="J41" s="94" t="str">
        <f aca="false">IF(OR($A41="",$H41="",$I41=""),"",$I41-$H41)</f>
        <v/>
      </c>
      <c r="K41" s="1" t="str">
        <f aca="false">IF($A41="","⚪",IF($J41&lt;0,"🔴",IF($J41&lt;7,"🟡","🟢")))</f>
        <v>⚪</v>
      </c>
      <c r="L41" s="1" t="str">
        <f aca="false">IF($A41="","",IF(QC_Plan!M41&lt;&gt;"","QC",IF(FID_Plan!M41&lt;&gt;"","FID",IF(VENT_Plan!M41&lt;&gt;"","VENT",IF(ENG_Plan!M41&lt;&gt;"","ENG",IF(EDM_Plan!M41&lt;&gt;"","EDM",IF(CARVING_Plan!M41&lt;&gt;"","CARVING",IF(SPM_Plan!M41&lt;&gt;"","SPM","VTL"))))))))</f>
        <v/>
      </c>
    </row>
    <row r="42" customFormat="false" ht="15" hidden="false" customHeight="true" outlineLevel="0" collapsed="false">
      <c r="A42" s="1" t="str">
        <f aca="false">IF(OR(Job_Master!E42="",Job_Master!F42=""),"",IF(AND(Job_Master!E42&lt;=$E$2,Job_Master!F42&gt;=$B$2),Job_Master!A42,""))</f>
        <v/>
      </c>
      <c r="B42" s="1" t="str">
        <f aca="false">IF($A42="","",Job_Master!B42)</f>
        <v/>
      </c>
      <c r="C42" s="1" t="str">
        <f aca="false">IF($A42="","",Job_Master!C42)</f>
        <v/>
      </c>
      <c r="D42" s="1" t="str">
        <f aca="false">IF($A42="","",Job_Master!G42)</f>
        <v/>
      </c>
      <c r="E42" s="1" t="str">
        <f aca="false">IF($A42="","",Job_Master!K42)</f>
        <v/>
      </c>
      <c r="F42" s="1" t="str">
        <f aca="false">IF($A42="","",Job_Master!I42)</f>
        <v/>
      </c>
      <c r="G42" s="91" t="str">
        <f aca="false">IF($A42="","",Job_Master!E42)</f>
        <v/>
      </c>
      <c r="H42" s="91" t="str">
        <f aca="false">IF($A42="","",Job_Master!F42)</f>
        <v/>
      </c>
      <c r="I42" s="91" t="str">
        <f aca="false">IF($A42="","",Job_Master!J42)</f>
        <v/>
      </c>
      <c r="J42" s="94" t="str">
        <f aca="false">IF(OR($A42="",$H42="",$I42=""),"",$I42-$H42)</f>
        <v/>
      </c>
      <c r="K42" s="1" t="str">
        <f aca="false">IF($A42="","⚪",IF($J42&lt;0,"🔴",IF($J42&lt;7,"🟡","🟢")))</f>
        <v>⚪</v>
      </c>
      <c r="L42" s="1" t="str">
        <f aca="false">IF($A42="","",IF(QC_Plan!M42&lt;&gt;"","QC",IF(FID_Plan!M42&lt;&gt;"","FID",IF(VENT_Plan!M42&lt;&gt;"","VENT",IF(ENG_Plan!M42&lt;&gt;"","ENG",IF(EDM_Plan!M42&lt;&gt;"","EDM",IF(CARVING_Plan!M42&lt;&gt;"","CARVING",IF(SPM_Plan!M42&lt;&gt;"","SPM","VTL"))))))))</f>
        <v/>
      </c>
    </row>
    <row r="43" customFormat="false" ht="15" hidden="false" customHeight="true" outlineLevel="0" collapsed="false">
      <c r="A43" s="1" t="str">
        <f aca="false">IF(OR(Job_Master!E43="",Job_Master!F43=""),"",IF(AND(Job_Master!E43&lt;=$E$2,Job_Master!F43&gt;=$B$2),Job_Master!A43,""))</f>
        <v/>
      </c>
      <c r="B43" s="1" t="str">
        <f aca="false">IF($A43="","",Job_Master!B43)</f>
        <v/>
      </c>
      <c r="C43" s="1" t="str">
        <f aca="false">IF($A43="","",Job_Master!C43)</f>
        <v/>
      </c>
      <c r="D43" s="1" t="str">
        <f aca="false">IF($A43="","",Job_Master!G43)</f>
        <v/>
      </c>
      <c r="E43" s="1" t="str">
        <f aca="false">IF($A43="","",Job_Master!K43)</f>
        <v/>
      </c>
      <c r="F43" s="1" t="str">
        <f aca="false">IF($A43="","",Job_Master!I43)</f>
        <v/>
      </c>
      <c r="G43" s="91" t="str">
        <f aca="false">IF($A43="","",Job_Master!E43)</f>
        <v/>
      </c>
      <c r="H43" s="91" t="str">
        <f aca="false">IF($A43="","",Job_Master!F43)</f>
        <v/>
      </c>
      <c r="I43" s="91" t="str">
        <f aca="false">IF($A43="","",Job_Master!J43)</f>
        <v/>
      </c>
      <c r="J43" s="94" t="str">
        <f aca="false">IF(OR($A43="",$H43="",$I43=""),"",$I43-$H43)</f>
        <v/>
      </c>
      <c r="K43" s="1" t="str">
        <f aca="false">IF($A43="","⚪",IF($J43&lt;0,"🔴",IF($J43&lt;7,"🟡","🟢")))</f>
        <v>⚪</v>
      </c>
      <c r="L43" s="1" t="str">
        <f aca="false">IF($A43="","",IF(QC_Plan!M43&lt;&gt;"","QC",IF(FID_Plan!M43&lt;&gt;"","FID",IF(VENT_Plan!M43&lt;&gt;"","VENT",IF(ENG_Plan!M43&lt;&gt;"","ENG",IF(EDM_Plan!M43&lt;&gt;"","EDM",IF(CARVING_Plan!M43&lt;&gt;"","CARVING",IF(SPM_Plan!M43&lt;&gt;"","SPM","VTL"))))))))</f>
        <v/>
      </c>
    </row>
    <row r="44" customFormat="false" ht="15" hidden="false" customHeight="true" outlineLevel="0" collapsed="false">
      <c r="A44" s="1" t="str">
        <f aca="false">IF(OR(Job_Master!E44="",Job_Master!F44=""),"",IF(AND(Job_Master!E44&lt;=$E$2,Job_Master!F44&gt;=$B$2),Job_Master!A44,""))</f>
        <v/>
      </c>
      <c r="B44" s="1" t="str">
        <f aca="false">IF($A44="","",Job_Master!B44)</f>
        <v/>
      </c>
      <c r="C44" s="1" t="str">
        <f aca="false">IF($A44="","",Job_Master!C44)</f>
        <v/>
      </c>
      <c r="D44" s="1" t="str">
        <f aca="false">IF($A44="","",Job_Master!G44)</f>
        <v/>
      </c>
      <c r="E44" s="1" t="str">
        <f aca="false">IF($A44="","",Job_Master!K44)</f>
        <v/>
      </c>
      <c r="F44" s="1" t="str">
        <f aca="false">IF($A44="","",Job_Master!I44)</f>
        <v/>
      </c>
      <c r="G44" s="91" t="str">
        <f aca="false">IF($A44="","",Job_Master!E44)</f>
        <v/>
      </c>
      <c r="H44" s="91" t="str">
        <f aca="false">IF($A44="","",Job_Master!F44)</f>
        <v/>
      </c>
      <c r="I44" s="91" t="str">
        <f aca="false">IF($A44="","",Job_Master!J44)</f>
        <v/>
      </c>
      <c r="J44" s="94" t="str">
        <f aca="false">IF(OR($A44="",$H44="",$I44=""),"",$I44-$H44)</f>
        <v/>
      </c>
      <c r="K44" s="1" t="str">
        <f aca="false">IF($A44="","⚪",IF($J44&lt;0,"🔴",IF($J44&lt;7,"🟡","🟢")))</f>
        <v>⚪</v>
      </c>
      <c r="L44" s="1" t="str">
        <f aca="false">IF($A44="","",IF(QC_Plan!M44&lt;&gt;"","QC",IF(FID_Plan!M44&lt;&gt;"","FID",IF(VENT_Plan!M44&lt;&gt;"","VENT",IF(ENG_Plan!M44&lt;&gt;"","ENG",IF(EDM_Plan!M44&lt;&gt;"","EDM",IF(CARVING_Plan!M44&lt;&gt;"","CARVING",IF(SPM_Plan!M44&lt;&gt;"","SPM","VTL"))))))))</f>
        <v/>
      </c>
    </row>
    <row r="45" customFormat="false" ht="15" hidden="false" customHeight="true" outlineLevel="0" collapsed="false">
      <c r="A45" s="1" t="str">
        <f aca="false">IF(OR(Job_Master!E45="",Job_Master!F45=""),"",IF(AND(Job_Master!E45&lt;=$E$2,Job_Master!F45&gt;=$B$2),Job_Master!A45,""))</f>
        <v/>
      </c>
      <c r="B45" s="1" t="str">
        <f aca="false">IF($A45="","",Job_Master!B45)</f>
        <v/>
      </c>
      <c r="C45" s="1" t="str">
        <f aca="false">IF($A45="","",Job_Master!C45)</f>
        <v/>
      </c>
      <c r="D45" s="1" t="str">
        <f aca="false">IF($A45="","",Job_Master!G45)</f>
        <v/>
      </c>
      <c r="E45" s="1" t="str">
        <f aca="false">IF($A45="","",Job_Master!K45)</f>
        <v/>
      </c>
      <c r="F45" s="1" t="str">
        <f aca="false">IF($A45="","",Job_Master!I45)</f>
        <v/>
      </c>
      <c r="G45" s="91" t="str">
        <f aca="false">IF($A45="","",Job_Master!E45)</f>
        <v/>
      </c>
      <c r="H45" s="91" t="str">
        <f aca="false">IF($A45="","",Job_Master!F45)</f>
        <v/>
      </c>
      <c r="I45" s="91" t="str">
        <f aca="false">IF($A45="","",Job_Master!J45)</f>
        <v/>
      </c>
      <c r="J45" s="94" t="str">
        <f aca="false">IF(OR($A45="",$H45="",$I45=""),"",$I45-$H45)</f>
        <v/>
      </c>
      <c r="K45" s="1" t="str">
        <f aca="false">IF($A45="","⚪",IF($J45&lt;0,"🔴",IF($J45&lt;7,"🟡","🟢")))</f>
        <v>⚪</v>
      </c>
      <c r="L45" s="1" t="str">
        <f aca="false">IF($A45="","",IF(QC_Plan!M45&lt;&gt;"","QC",IF(FID_Plan!M45&lt;&gt;"","FID",IF(VENT_Plan!M45&lt;&gt;"","VENT",IF(ENG_Plan!M45&lt;&gt;"","ENG",IF(EDM_Plan!M45&lt;&gt;"","EDM",IF(CARVING_Plan!M45&lt;&gt;"","CARVING",IF(SPM_Plan!M45&lt;&gt;"","SPM","VTL"))))))))</f>
        <v/>
      </c>
    </row>
    <row r="46" customFormat="false" ht="15" hidden="false" customHeight="true" outlineLevel="0" collapsed="false">
      <c r="A46" s="1" t="str">
        <f aca="false">IF(OR(Job_Master!E46="",Job_Master!F46=""),"",IF(AND(Job_Master!E46&lt;=$E$2,Job_Master!F46&gt;=$B$2),Job_Master!A46,""))</f>
        <v/>
      </c>
      <c r="B46" s="1" t="str">
        <f aca="false">IF($A46="","",Job_Master!B46)</f>
        <v/>
      </c>
      <c r="C46" s="1" t="str">
        <f aca="false">IF($A46="","",Job_Master!C46)</f>
        <v/>
      </c>
      <c r="D46" s="1" t="str">
        <f aca="false">IF($A46="","",Job_Master!G46)</f>
        <v/>
      </c>
      <c r="E46" s="1" t="str">
        <f aca="false">IF($A46="","",Job_Master!K46)</f>
        <v/>
      </c>
      <c r="F46" s="1" t="str">
        <f aca="false">IF($A46="","",Job_Master!I46)</f>
        <v/>
      </c>
      <c r="G46" s="91" t="str">
        <f aca="false">IF($A46="","",Job_Master!E46)</f>
        <v/>
      </c>
      <c r="H46" s="91" t="str">
        <f aca="false">IF($A46="","",Job_Master!F46)</f>
        <v/>
      </c>
      <c r="I46" s="91" t="str">
        <f aca="false">IF($A46="","",Job_Master!J46)</f>
        <v/>
      </c>
      <c r="J46" s="94" t="str">
        <f aca="false">IF(OR($A46="",$H46="",$I46=""),"",$I46-$H46)</f>
        <v/>
      </c>
      <c r="K46" s="1" t="str">
        <f aca="false">IF($A46="","⚪",IF($J46&lt;0,"🔴",IF($J46&lt;7,"🟡","🟢")))</f>
        <v>⚪</v>
      </c>
      <c r="L46" s="1" t="str">
        <f aca="false">IF($A46="","",IF(QC_Plan!M46&lt;&gt;"","QC",IF(FID_Plan!M46&lt;&gt;"","FID",IF(VENT_Plan!M46&lt;&gt;"","VENT",IF(ENG_Plan!M46&lt;&gt;"","ENG",IF(EDM_Plan!M46&lt;&gt;"","EDM",IF(CARVING_Plan!M46&lt;&gt;"","CARVING",IF(SPM_Plan!M46&lt;&gt;"","SPM","VTL"))))))))</f>
        <v/>
      </c>
    </row>
    <row r="47" customFormat="false" ht="15" hidden="false" customHeight="true" outlineLevel="0" collapsed="false">
      <c r="A47" s="1" t="str">
        <f aca="false">IF(OR(Job_Master!E47="",Job_Master!F47=""),"",IF(AND(Job_Master!E47&lt;=$E$2,Job_Master!F47&gt;=$B$2),Job_Master!A47,""))</f>
        <v/>
      </c>
      <c r="B47" s="1" t="str">
        <f aca="false">IF($A47="","",Job_Master!B47)</f>
        <v/>
      </c>
      <c r="C47" s="1" t="str">
        <f aca="false">IF($A47="","",Job_Master!C47)</f>
        <v/>
      </c>
      <c r="D47" s="1" t="str">
        <f aca="false">IF($A47="","",Job_Master!G47)</f>
        <v/>
      </c>
      <c r="E47" s="1" t="str">
        <f aca="false">IF($A47="","",Job_Master!K47)</f>
        <v/>
      </c>
      <c r="F47" s="1" t="str">
        <f aca="false">IF($A47="","",Job_Master!I47)</f>
        <v/>
      </c>
      <c r="G47" s="91" t="str">
        <f aca="false">IF($A47="","",Job_Master!E47)</f>
        <v/>
      </c>
      <c r="H47" s="91" t="str">
        <f aca="false">IF($A47="","",Job_Master!F47)</f>
        <v/>
      </c>
      <c r="I47" s="91" t="str">
        <f aca="false">IF($A47="","",Job_Master!J47)</f>
        <v/>
      </c>
      <c r="J47" s="94" t="str">
        <f aca="false">IF(OR($A47="",$H47="",$I47=""),"",$I47-$H47)</f>
        <v/>
      </c>
      <c r="K47" s="1" t="str">
        <f aca="false">IF($A47="","⚪",IF($J47&lt;0,"🔴",IF($J47&lt;7,"🟡","🟢")))</f>
        <v>⚪</v>
      </c>
      <c r="L47" s="1" t="str">
        <f aca="false">IF($A47="","",IF(QC_Plan!M47&lt;&gt;"","QC",IF(FID_Plan!M47&lt;&gt;"","FID",IF(VENT_Plan!M47&lt;&gt;"","VENT",IF(ENG_Plan!M47&lt;&gt;"","ENG",IF(EDM_Plan!M47&lt;&gt;"","EDM",IF(CARVING_Plan!M47&lt;&gt;"","CARVING",IF(SPM_Plan!M47&lt;&gt;"","SPM","VTL"))))))))</f>
        <v/>
      </c>
    </row>
    <row r="48" customFormat="false" ht="15" hidden="false" customHeight="true" outlineLevel="0" collapsed="false">
      <c r="A48" s="1" t="str">
        <f aca="false">IF(OR(Job_Master!E48="",Job_Master!F48=""),"",IF(AND(Job_Master!E48&lt;=$E$2,Job_Master!F48&gt;=$B$2),Job_Master!A48,""))</f>
        <v/>
      </c>
      <c r="B48" s="1" t="str">
        <f aca="false">IF($A48="","",Job_Master!B48)</f>
        <v/>
      </c>
      <c r="C48" s="1" t="str">
        <f aca="false">IF($A48="","",Job_Master!C48)</f>
        <v/>
      </c>
      <c r="D48" s="1" t="str">
        <f aca="false">IF($A48="","",Job_Master!G48)</f>
        <v/>
      </c>
      <c r="E48" s="1" t="str">
        <f aca="false">IF($A48="","",Job_Master!K48)</f>
        <v/>
      </c>
      <c r="F48" s="1" t="str">
        <f aca="false">IF($A48="","",Job_Master!I48)</f>
        <v/>
      </c>
      <c r="G48" s="91" t="str">
        <f aca="false">IF($A48="","",Job_Master!E48)</f>
        <v/>
      </c>
      <c r="H48" s="91" t="str">
        <f aca="false">IF($A48="","",Job_Master!F48)</f>
        <v/>
      </c>
      <c r="I48" s="91" t="str">
        <f aca="false">IF($A48="","",Job_Master!J48)</f>
        <v/>
      </c>
      <c r="J48" s="94" t="str">
        <f aca="false">IF(OR($A48="",$H48="",$I48=""),"",$I48-$H48)</f>
        <v/>
      </c>
      <c r="K48" s="1" t="str">
        <f aca="false">IF($A48="","⚪",IF($J48&lt;0,"🔴",IF($J48&lt;7,"🟡","🟢")))</f>
        <v>⚪</v>
      </c>
      <c r="L48" s="1" t="str">
        <f aca="false">IF($A48="","",IF(QC_Plan!M48&lt;&gt;"","QC",IF(FID_Plan!M48&lt;&gt;"","FID",IF(VENT_Plan!M48&lt;&gt;"","VENT",IF(ENG_Plan!M48&lt;&gt;"","ENG",IF(EDM_Plan!M48&lt;&gt;"","EDM",IF(CARVING_Plan!M48&lt;&gt;"","CARVING",IF(SPM_Plan!M48&lt;&gt;"","SPM","VTL"))))))))</f>
        <v/>
      </c>
    </row>
    <row r="49" customFormat="false" ht="15" hidden="false" customHeight="true" outlineLevel="0" collapsed="false">
      <c r="A49" s="1" t="str">
        <f aca="false">IF(OR(Job_Master!E49="",Job_Master!F49=""),"",IF(AND(Job_Master!E49&lt;=$E$2,Job_Master!F49&gt;=$B$2),Job_Master!A49,""))</f>
        <v/>
      </c>
      <c r="B49" s="1" t="str">
        <f aca="false">IF($A49="","",Job_Master!B49)</f>
        <v/>
      </c>
      <c r="C49" s="1" t="str">
        <f aca="false">IF($A49="","",Job_Master!C49)</f>
        <v/>
      </c>
      <c r="D49" s="1" t="str">
        <f aca="false">IF($A49="","",Job_Master!G49)</f>
        <v/>
      </c>
      <c r="E49" s="1" t="str">
        <f aca="false">IF($A49="","",Job_Master!K49)</f>
        <v/>
      </c>
      <c r="F49" s="1" t="str">
        <f aca="false">IF($A49="","",Job_Master!I49)</f>
        <v/>
      </c>
      <c r="G49" s="91" t="str">
        <f aca="false">IF($A49="","",Job_Master!E49)</f>
        <v/>
      </c>
      <c r="H49" s="91" t="str">
        <f aca="false">IF($A49="","",Job_Master!F49)</f>
        <v/>
      </c>
      <c r="I49" s="91" t="str">
        <f aca="false">IF($A49="","",Job_Master!J49)</f>
        <v/>
      </c>
      <c r="J49" s="94" t="str">
        <f aca="false">IF(OR($A49="",$H49="",$I49=""),"",$I49-$H49)</f>
        <v/>
      </c>
      <c r="K49" s="1" t="str">
        <f aca="false">IF($A49="","⚪",IF($J49&lt;0,"🔴",IF($J49&lt;7,"🟡","🟢")))</f>
        <v>⚪</v>
      </c>
      <c r="L49" s="1" t="str">
        <f aca="false">IF($A49="","",IF(QC_Plan!M49&lt;&gt;"","QC",IF(FID_Plan!M49&lt;&gt;"","FID",IF(VENT_Plan!M49&lt;&gt;"","VENT",IF(ENG_Plan!M49&lt;&gt;"","ENG",IF(EDM_Plan!M49&lt;&gt;"","EDM",IF(CARVING_Plan!M49&lt;&gt;"","CARVING",IF(SPM_Plan!M49&lt;&gt;"","SPM","VTL"))))))))</f>
        <v/>
      </c>
    </row>
    <row r="50" customFormat="false" ht="15" hidden="false" customHeight="true" outlineLevel="0" collapsed="false">
      <c r="A50" s="1" t="str">
        <f aca="false">IF(OR(Job_Master!E50="",Job_Master!F50=""),"",IF(AND(Job_Master!E50&lt;=$E$2,Job_Master!F50&gt;=$B$2),Job_Master!A50,""))</f>
        <v/>
      </c>
      <c r="B50" s="1" t="str">
        <f aca="false">IF($A50="","",Job_Master!B50)</f>
        <v/>
      </c>
      <c r="C50" s="1" t="str">
        <f aca="false">IF($A50="","",Job_Master!C50)</f>
        <v/>
      </c>
      <c r="D50" s="1" t="str">
        <f aca="false">IF($A50="","",Job_Master!G50)</f>
        <v/>
      </c>
      <c r="E50" s="1" t="str">
        <f aca="false">IF($A50="","",Job_Master!K50)</f>
        <v/>
      </c>
      <c r="F50" s="1" t="str">
        <f aca="false">IF($A50="","",Job_Master!I50)</f>
        <v/>
      </c>
      <c r="G50" s="91" t="str">
        <f aca="false">IF($A50="","",Job_Master!E50)</f>
        <v/>
      </c>
      <c r="H50" s="91" t="str">
        <f aca="false">IF($A50="","",Job_Master!F50)</f>
        <v/>
      </c>
      <c r="I50" s="91" t="str">
        <f aca="false">IF($A50="","",Job_Master!J50)</f>
        <v/>
      </c>
      <c r="J50" s="94" t="str">
        <f aca="false">IF(OR($A50="",$H50="",$I50=""),"",$I50-$H50)</f>
        <v/>
      </c>
      <c r="K50" s="1" t="str">
        <f aca="false">IF($A50="","⚪",IF($J50&lt;0,"🔴",IF($J50&lt;7,"🟡","🟢")))</f>
        <v>⚪</v>
      </c>
      <c r="L50" s="1" t="str">
        <f aca="false">IF($A50="","",IF(QC_Plan!M50&lt;&gt;"","QC",IF(FID_Plan!M50&lt;&gt;"","FID",IF(VENT_Plan!M50&lt;&gt;"","VENT",IF(ENG_Plan!M50&lt;&gt;"","ENG",IF(EDM_Plan!M50&lt;&gt;"","EDM",IF(CARVING_Plan!M50&lt;&gt;"","CARVING",IF(SPM_Plan!M50&lt;&gt;"","SPM","VTL"))))))))</f>
        <v/>
      </c>
    </row>
    <row r="51" customFormat="false" ht="15" hidden="false" customHeight="true" outlineLevel="0" collapsed="false">
      <c r="A51" s="1" t="str">
        <f aca="false">IF(OR(Job_Master!E51="",Job_Master!F51=""),"",IF(AND(Job_Master!E51&lt;=$E$2,Job_Master!F51&gt;=$B$2),Job_Master!A51,""))</f>
        <v/>
      </c>
      <c r="B51" s="1" t="str">
        <f aca="false">IF($A51="","",Job_Master!B51)</f>
        <v/>
      </c>
      <c r="C51" s="1" t="str">
        <f aca="false">IF($A51="","",Job_Master!C51)</f>
        <v/>
      </c>
      <c r="D51" s="1" t="str">
        <f aca="false">IF($A51="","",Job_Master!G51)</f>
        <v/>
      </c>
      <c r="E51" s="1" t="str">
        <f aca="false">IF($A51="","",Job_Master!K51)</f>
        <v/>
      </c>
      <c r="F51" s="1" t="str">
        <f aca="false">IF($A51="","",Job_Master!I51)</f>
        <v/>
      </c>
      <c r="G51" s="91" t="str">
        <f aca="false">IF($A51="","",Job_Master!E51)</f>
        <v/>
      </c>
      <c r="H51" s="91" t="str">
        <f aca="false">IF($A51="","",Job_Master!F51)</f>
        <v/>
      </c>
      <c r="I51" s="91" t="str">
        <f aca="false">IF($A51="","",Job_Master!J51)</f>
        <v/>
      </c>
      <c r="J51" s="94" t="str">
        <f aca="false">IF(OR($A51="",$H51="",$I51=""),"",$I51-$H51)</f>
        <v/>
      </c>
      <c r="K51" s="1" t="str">
        <f aca="false">IF($A51="","⚪",IF($J51&lt;0,"🔴",IF($J51&lt;7,"🟡","🟢")))</f>
        <v>⚪</v>
      </c>
      <c r="L51" s="1" t="str">
        <f aca="false">IF($A51="","",IF(QC_Plan!M51&lt;&gt;"","QC",IF(FID_Plan!M51&lt;&gt;"","FID",IF(VENT_Plan!M51&lt;&gt;"","VENT",IF(ENG_Plan!M51&lt;&gt;"","ENG",IF(EDM_Plan!M51&lt;&gt;"","EDM",IF(CARVING_Plan!M51&lt;&gt;"","CARVING",IF(SPM_Plan!M51&lt;&gt;"","SPM","VTL"))))))))</f>
        <v/>
      </c>
    </row>
    <row r="52" customFormat="false" ht="15" hidden="false" customHeight="true" outlineLevel="0" collapsed="false">
      <c r="A52" s="1" t="str">
        <f aca="false">IF(OR(Job_Master!E52="",Job_Master!F52=""),"",IF(AND(Job_Master!E52&lt;=$E$2,Job_Master!F52&gt;=$B$2),Job_Master!A52,""))</f>
        <v/>
      </c>
      <c r="B52" s="1" t="str">
        <f aca="false">IF($A52="","",Job_Master!B52)</f>
        <v/>
      </c>
      <c r="C52" s="1" t="str">
        <f aca="false">IF($A52="","",Job_Master!C52)</f>
        <v/>
      </c>
      <c r="D52" s="1" t="str">
        <f aca="false">IF($A52="","",Job_Master!G52)</f>
        <v/>
      </c>
      <c r="E52" s="1" t="str">
        <f aca="false">IF($A52="","",Job_Master!K52)</f>
        <v/>
      </c>
      <c r="F52" s="1" t="str">
        <f aca="false">IF($A52="","",Job_Master!I52)</f>
        <v/>
      </c>
      <c r="G52" s="91" t="str">
        <f aca="false">IF($A52="","",Job_Master!E52)</f>
        <v/>
      </c>
      <c r="H52" s="91" t="str">
        <f aca="false">IF($A52="","",Job_Master!F52)</f>
        <v/>
      </c>
      <c r="I52" s="91" t="str">
        <f aca="false">IF($A52="","",Job_Master!J52)</f>
        <v/>
      </c>
      <c r="J52" s="94" t="str">
        <f aca="false">IF(OR($A52="",$H52="",$I52=""),"",$I52-$H52)</f>
        <v/>
      </c>
      <c r="K52" s="1" t="str">
        <f aca="false">IF($A52="","⚪",IF($J52&lt;0,"🔴",IF($J52&lt;7,"🟡","🟢")))</f>
        <v>⚪</v>
      </c>
      <c r="L52" s="1" t="str">
        <f aca="false">IF($A52="","",IF(QC_Plan!M52&lt;&gt;"","QC",IF(FID_Plan!M52&lt;&gt;"","FID",IF(VENT_Plan!M52&lt;&gt;"","VENT",IF(ENG_Plan!M52&lt;&gt;"","ENG",IF(EDM_Plan!M52&lt;&gt;"","EDM",IF(CARVING_Plan!M52&lt;&gt;"","CARVING",IF(SPM_Plan!M52&lt;&gt;"","SPM","VTL"))))))))</f>
        <v/>
      </c>
    </row>
    <row r="53" customFormat="false" ht="15" hidden="false" customHeight="true" outlineLevel="0" collapsed="false">
      <c r="A53" s="1" t="str">
        <f aca="false">IF(OR(Job_Master!E53="",Job_Master!F53=""),"",IF(AND(Job_Master!E53&lt;=$E$2,Job_Master!F53&gt;=$B$2),Job_Master!A53,""))</f>
        <v/>
      </c>
      <c r="B53" s="1" t="str">
        <f aca="false">IF($A53="","",Job_Master!B53)</f>
        <v/>
      </c>
      <c r="C53" s="1" t="str">
        <f aca="false">IF($A53="","",Job_Master!C53)</f>
        <v/>
      </c>
      <c r="D53" s="1" t="str">
        <f aca="false">IF($A53="","",Job_Master!G53)</f>
        <v/>
      </c>
      <c r="E53" s="1" t="str">
        <f aca="false">IF($A53="","",Job_Master!K53)</f>
        <v/>
      </c>
      <c r="F53" s="1" t="str">
        <f aca="false">IF($A53="","",Job_Master!I53)</f>
        <v/>
      </c>
      <c r="G53" s="91" t="str">
        <f aca="false">IF($A53="","",Job_Master!E53)</f>
        <v/>
      </c>
      <c r="H53" s="91" t="str">
        <f aca="false">IF($A53="","",Job_Master!F53)</f>
        <v/>
      </c>
      <c r="I53" s="91" t="str">
        <f aca="false">IF($A53="","",Job_Master!J53)</f>
        <v/>
      </c>
      <c r="J53" s="94" t="str">
        <f aca="false">IF(OR($A53="",$H53="",$I53=""),"",$I53-$H53)</f>
        <v/>
      </c>
      <c r="K53" s="1" t="str">
        <f aca="false">IF($A53="","⚪",IF($J53&lt;0,"🔴",IF($J53&lt;7,"🟡","🟢")))</f>
        <v>⚪</v>
      </c>
      <c r="L53" s="1" t="str">
        <f aca="false">IF($A53="","",IF(QC_Plan!M53&lt;&gt;"","QC",IF(FID_Plan!M53&lt;&gt;"","FID",IF(VENT_Plan!M53&lt;&gt;"","VENT",IF(ENG_Plan!M53&lt;&gt;"","ENG",IF(EDM_Plan!M53&lt;&gt;"","EDM",IF(CARVING_Plan!M53&lt;&gt;"","CARVING",IF(SPM_Plan!M53&lt;&gt;"","SPM","VTL"))))))))</f>
        <v/>
      </c>
    </row>
    <row r="54" customFormat="false" ht="15" hidden="false" customHeight="true" outlineLevel="0" collapsed="false">
      <c r="A54" s="1" t="str">
        <f aca="false">IF(OR(Job_Master!E54="",Job_Master!F54=""),"",IF(AND(Job_Master!E54&lt;=$E$2,Job_Master!F54&gt;=$B$2),Job_Master!A54,""))</f>
        <v/>
      </c>
      <c r="B54" s="1" t="str">
        <f aca="false">IF($A54="","",Job_Master!B54)</f>
        <v/>
      </c>
      <c r="C54" s="1" t="str">
        <f aca="false">IF($A54="","",Job_Master!C54)</f>
        <v/>
      </c>
      <c r="D54" s="1" t="str">
        <f aca="false">IF($A54="","",Job_Master!G54)</f>
        <v/>
      </c>
      <c r="E54" s="1" t="str">
        <f aca="false">IF($A54="","",Job_Master!K54)</f>
        <v/>
      </c>
      <c r="F54" s="1" t="str">
        <f aca="false">IF($A54="","",Job_Master!I54)</f>
        <v/>
      </c>
      <c r="G54" s="91" t="str">
        <f aca="false">IF($A54="","",Job_Master!E54)</f>
        <v/>
      </c>
      <c r="H54" s="91" t="str">
        <f aca="false">IF($A54="","",Job_Master!F54)</f>
        <v/>
      </c>
      <c r="I54" s="91" t="str">
        <f aca="false">IF($A54="","",Job_Master!J54)</f>
        <v/>
      </c>
      <c r="J54" s="94" t="str">
        <f aca="false">IF(OR($A54="",$H54="",$I54=""),"",$I54-$H54)</f>
        <v/>
      </c>
      <c r="K54" s="1" t="str">
        <f aca="false">IF($A54="","⚪",IF($J54&lt;0,"🔴",IF($J54&lt;7,"🟡","🟢")))</f>
        <v>⚪</v>
      </c>
      <c r="L54" s="1" t="str">
        <f aca="false">IF($A54="","",IF(QC_Plan!M54&lt;&gt;"","QC",IF(FID_Plan!M54&lt;&gt;"","FID",IF(VENT_Plan!M54&lt;&gt;"","VENT",IF(ENG_Plan!M54&lt;&gt;"","ENG",IF(EDM_Plan!M54&lt;&gt;"","EDM",IF(CARVING_Plan!M54&lt;&gt;"","CARVING",IF(SPM_Plan!M54&lt;&gt;"","SPM","VTL"))))))))</f>
        <v/>
      </c>
    </row>
    <row r="55" customFormat="false" ht="15" hidden="false" customHeight="true" outlineLevel="0" collapsed="false">
      <c r="A55" s="1" t="str">
        <f aca="false">IF(OR(Job_Master!E55="",Job_Master!F55=""),"",IF(AND(Job_Master!E55&lt;=$E$2,Job_Master!F55&gt;=$B$2),Job_Master!A55,""))</f>
        <v/>
      </c>
      <c r="B55" s="1" t="str">
        <f aca="false">IF($A55="","",Job_Master!B55)</f>
        <v/>
      </c>
      <c r="C55" s="1" t="str">
        <f aca="false">IF($A55="","",Job_Master!C55)</f>
        <v/>
      </c>
      <c r="D55" s="1" t="str">
        <f aca="false">IF($A55="","",Job_Master!G55)</f>
        <v/>
      </c>
      <c r="E55" s="1" t="str">
        <f aca="false">IF($A55="","",Job_Master!K55)</f>
        <v/>
      </c>
      <c r="F55" s="1" t="str">
        <f aca="false">IF($A55="","",Job_Master!I55)</f>
        <v/>
      </c>
      <c r="G55" s="91" t="str">
        <f aca="false">IF($A55="","",Job_Master!E55)</f>
        <v/>
      </c>
      <c r="H55" s="91" t="str">
        <f aca="false">IF($A55="","",Job_Master!F55)</f>
        <v/>
      </c>
      <c r="I55" s="91" t="str">
        <f aca="false">IF($A55="","",Job_Master!J55)</f>
        <v/>
      </c>
      <c r="J55" s="94" t="str">
        <f aca="false">IF(OR($A55="",$H55="",$I55=""),"",$I55-$H55)</f>
        <v/>
      </c>
      <c r="K55" s="1" t="str">
        <f aca="false">IF($A55="","⚪",IF($J55&lt;0,"🔴",IF($J55&lt;7,"🟡","🟢")))</f>
        <v>⚪</v>
      </c>
      <c r="L55" s="1" t="str">
        <f aca="false">IF($A55="","",IF(QC_Plan!M55&lt;&gt;"","QC",IF(FID_Plan!M55&lt;&gt;"","FID",IF(VENT_Plan!M55&lt;&gt;"","VENT",IF(ENG_Plan!M55&lt;&gt;"","ENG",IF(EDM_Plan!M55&lt;&gt;"","EDM",IF(CARVING_Plan!M55&lt;&gt;"","CARVING",IF(SPM_Plan!M55&lt;&gt;"","SPM","VTL"))))))))</f>
        <v/>
      </c>
    </row>
    <row r="56" customFormat="false" ht="15" hidden="false" customHeight="true" outlineLevel="0" collapsed="false">
      <c r="A56" s="1" t="str">
        <f aca="false">IF(OR(Job_Master!E56="",Job_Master!F56=""),"",IF(AND(Job_Master!E56&lt;=$E$2,Job_Master!F56&gt;=$B$2),Job_Master!A56,""))</f>
        <v/>
      </c>
      <c r="B56" s="1" t="str">
        <f aca="false">IF($A56="","",Job_Master!B56)</f>
        <v/>
      </c>
      <c r="C56" s="1" t="str">
        <f aca="false">IF($A56="","",Job_Master!C56)</f>
        <v/>
      </c>
      <c r="D56" s="1" t="str">
        <f aca="false">IF($A56="","",Job_Master!G56)</f>
        <v/>
      </c>
      <c r="E56" s="1" t="str">
        <f aca="false">IF($A56="","",Job_Master!K56)</f>
        <v/>
      </c>
      <c r="F56" s="1" t="str">
        <f aca="false">IF($A56="","",Job_Master!I56)</f>
        <v/>
      </c>
      <c r="G56" s="91" t="str">
        <f aca="false">IF($A56="","",Job_Master!E56)</f>
        <v/>
      </c>
      <c r="H56" s="91" t="str">
        <f aca="false">IF($A56="","",Job_Master!F56)</f>
        <v/>
      </c>
      <c r="I56" s="91" t="str">
        <f aca="false">IF($A56="","",Job_Master!J56)</f>
        <v/>
      </c>
      <c r="J56" s="94" t="str">
        <f aca="false">IF(OR($A56="",$H56="",$I56=""),"",$I56-$H56)</f>
        <v/>
      </c>
      <c r="K56" s="1" t="str">
        <f aca="false">IF($A56="","⚪",IF($J56&lt;0,"🔴",IF($J56&lt;7,"🟡","🟢")))</f>
        <v>⚪</v>
      </c>
      <c r="L56" s="1" t="str">
        <f aca="false">IF($A56="","",IF(QC_Plan!M56&lt;&gt;"","QC",IF(FID_Plan!M56&lt;&gt;"","FID",IF(VENT_Plan!M56&lt;&gt;"","VENT",IF(ENG_Plan!M56&lt;&gt;"","ENG",IF(EDM_Plan!M56&lt;&gt;"","EDM",IF(CARVING_Plan!M56&lt;&gt;"","CARVING",IF(SPM_Plan!M56&lt;&gt;"","SPM","VTL"))))))))</f>
        <v/>
      </c>
    </row>
    <row r="57" customFormat="false" ht="15" hidden="false" customHeight="true" outlineLevel="0" collapsed="false">
      <c r="A57" s="1" t="str">
        <f aca="false">IF(OR(Job_Master!E57="",Job_Master!F57=""),"",IF(AND(Job_Master!E57&lt;=$E$2,Job_Master!F57&gt;=$B$2),Job_Master!A57,""))</f>
        <v/>
      </c>
      <c r="B57" s="1" t="str">
        <f aca="false">IF($A57="","",Job_Master!B57)</f>
        <v/>
      </c>
      <c r="C57" s="1" t="str">
        <f aca="false">IF($A57="","",Job_Master!C57)</f>
        <v/>
      </c>
      <c r="D57" s="1" t="str">
        <f aca="false">IF($A57="","",Job_Master!G57)</f>
        <v/>
      </c>
      <c r="E57" s="1" t="str">
        <f aca="false">IF($A57="","",Job_Master!K57)</f>
        <v/>
      </c>
      <c r="F57" s="1" t="str">
        <f aca="false">IF($A57="","",Job_Master!I57)</f>
        <v/>
      </c>
      <c r="G57" s="91" t="str">
        <f aca="false">IF($A57="","",Job_Master!E57)</f>
        <v/>
      </c>
      <c r="H57" s="91" t="str">
        <f aca="false">IF($A57="","",Job_Master!F57)</f>
        <v/>
      </c>
      <c r="I57" s="91" t="str">
        <f aca="false">IF($A57="","",Job_Master!J57)</f>
        <v/>
      </c>
      <c r="J57" s="94" t="str">
        <f aca="false">IF(OR($A57="",$H57="",$I57=""),"",$I57-$H57)</f>
        <v/>
      </c>
      <c r="K57" s="1" t="str">
        <f aca="false">IF($A57="","⚪",IF($J57&lt;0,"🔴",IF($J57&lt;7,"🟡","🟢")))</f>
        <v>⚪</v>
      </c>
      <c r="L57" s="1" t="str">
        <f aca="false">IF($A57="","",IF(QC_Plan!M57&lt;&gt;"","QC",IF(FID_Plan!M57&lt;&gt;"","FID",IF(VENT_Plan!M57&lt;&gt;"","VENT",IF(ENG_Plan!M57&lt;&gt;"","ENG",IF(EDM_Plan!M57&lt;&gt;"","EDM",IF(CARVING_Plan!M57&lt;&gt;"","CARVING",IF(SPM_Plan!M57&lt;&gt;"","SPM","VTL"))))))))</f>
        <v/>
      </c>
    </row>
    <row r="58" customFormat="false" ht="15" hidden="false" customHeight="true" outlineLevel="0" collapsed="false">
      <c r="A58" s="1" t="str">
        <f aca="false">IF(OR(Job_Master!E58="",Job_Master!F58=""),"",IF(AND(Job_Master!E58&lt;=$E$2,Job_Master!F58&gt;=$B$2),Job_Master!A58,""))</f>
        <v/>
      </c>
      <c r="B58" s="1" t="str">
        <f aca="false">IF($A58="","",Job_Master!B58)</f>
        <v/>
      </c>
      <c r="C58" s="1" t="str">
        <f aca="false">IF($A58="","",Job_Master!C58)</f>
        <v/>
      </c>
      <c r="D58" s="1" t="str">
        <f aca="false">IF($A58="","",Job_Master!G58)</f>
        <v/>
      </c>
      <c r="E58" s="1" t="str">
        <f aca="false">IF($A58="","",Job_Master!K58)</f>
        <v/>
      </c>
      <c r="F58" s="1" t="str">
        <f aca="false">IF($A58="","",Job_Master!I58)</f>
        <v/>
      </c>
      <c r="G58" s="91" t="str">
        <f aca="false">IF($A58="","",Job_Master!E58)</f>
        <v/>
      </c>
      <c r="H58" s="91" t="str">
        <f aca="false">IF($A58="","",Job_Master!F58)</f>
        <v/>
      </c>
      <c r="I58" s="91" t="str">
        <f aca="false">IF($A58="","",Job_Master!J58)</f>
        <v/>
      </c>
      <c r="J58" s="94" t="str">
        <f aca="false">IF(OR($A58="",$H58="",$I58=""),"",$I58-$H58)</f>
        <v/>
      </c>
      <c r="K58" s="1" t="str">
        <f aca="false">IF($A58="","⚪",IF($J58&lt;0,"🔴",IF($J58&lt;7,"🟡","🟢")))</f>
        <v>⚪</v>
      </c>
      <c r="L58" s="1" t="str">
        <f aca="false">IF($A58="","",IF(QC_Plan!M58&lt;&gt;"","QC",IF(FID_Plan!M58&lt;&gt;"","FID",IF(VENT_Plan!M58&lt;&gt;"","VENT",IF(ENG_Plan!M58&lt;&gt;"","ENG",IF(EDM_Plan!M58&lt;&gt;"","EDM",IF(CARVING_Plan!M58&lt;&gt;"","CARVING",IF(SPM_Plan!M58&lt;&gt;"","SPM","VTL"))))))))</f>
        <v/>
      </c>
    </row>
    <row r="59" customFormat="false" ht="15" hidden="false" customHeight="true" outlineLevel="0" collapsed="false">
      <c r="A59" s="1" t="str">
        <f aca="false">IF(OR(Job_Master!E59="",Job_Master!F59=""),"",IF(AND(Job_Master!E59&lt;=$E$2,Job_Master!F59&gt;=$B$2),Job_Master!A59,""))</f>
        <v/>
      </c>
      <c r="B59" s="1" t="str">
        <f aca="false">IF($A59="","",Job_Master!B59)</f>
        <v/>
      </c>
      <c r="C59" s="1" t="str">
        <f aca="false">IF($A59="","",Job_Master!C59)</f>
        <v/>
      </c>
      <c r="D59" s="1" t="str">
        <f aca="false">IF($A59="","",Job_Master!G59)</f>
        <v/>
      </c>
      <c r="E59" s="1" t="str">
        <f aca="false">IF($A59="","",Job_Master!K59)</f>
        <v/>
      </c>
      <c r="F59" s="1" t="str">
        <f aca="false">IF($A59="","",Job_Master!I59)</f>
        <v/>
      </c>
      <c r="G59" s="91" t="str">
        <f aca="false">IF($A59="","",Job_Master!E59)</f>
        <v/>
      </c>
      <c r="H59" s="91" t="str">
        <f aca="false">IF($A59="","",Job_Master!F59)</f>
        <v/>
      </c>
      <c r="I59" s="91" t="str">
        <f aca="false">IF($A59="","",Job_Master!J59)</f>
        <v/>
      </c>
      <c r="J59" s="94" t="str">
        <f aca="false">IF(OR($A59="",$H59="",$I59=""),"",$I59-$H59)</f>
        <v/>
      </c>
      <c r="K59" s="1" t="str">
        <f aca="false">IF($A59="","⚪",IF($J59&lt;0,"🔴",IF($J59&lt;7,"🟡","🟢")))</f>
        <v>⚪</v>
      </c>
      <c r="L59" s="1" t="str">
        <f aca="false">IF($A59="","",IF(QC_Plan!M59&lt;&gt;"","QC",IF(FID_Plan!M59&lt;&gt;"","FID",IF(VENT_Plan!M59&lt;&gt;"","VENT",IF(ENG_Plan!M59&lt;&gt;"","ENG",IF(EDM_Plan!M59&lt;&gt;"","EDM",IF(CARVING_Plan!M59&lt;&gt;"","CARVING",IF(SPM_Plan!M59&lt;&gt;"","SPM","VTL"))))))))</f>
        <v/>
      </c>
    </row>
    <row r="60" customFormat="false" ht="15" hidden="false" customHeight="true" outlineLevel="0" collapsed="false">
      <c r="A60" s="1" t="str">
        <f aca="false">IF(OR(Job_Master!E60="",Job_Master!F60=""),"",IF(AND(Job_Master!E60&lt;=$E$2,Job_Master!F60&gt;=$B$2),Job_Master!A60,""))</f>
        <v/>
      </c>
      <c r="B60" s="1" t="str">
        <f aca="false">IF($A60="","",Job_Master!B60)</f>
        <v/>
      </c>
      <c r="C60" s="1" t="str">
        <f aca="false">IF($A60="","",Job_Master!C60)</f>
        <v/>
      </c>
      <c r="D60" s="1" t="str">
        <f aca="false">IF($A60="","",Job_Master!G60)</f>
        <v/>
      </c>
      <c r="E60" s="1" t="str">
        <f aca="false">IF($A60="","",Job_Master!K60)</f>
        <v/>
      </c>
      <c r="F60" s="1" t="str">
        <f aca="false">IF($A60="","",Job_Master!I60)</f>
        <v/>
      </c>
      <c r="G60" s="91" t="str">
        <f aca="false">IF($A60="","",Job_Master!E60)</f>
        <v/>
      </c>
      <c r="H60" s="91" t="str">
        <f aca="false">IF($A60="","",Job_Master!F60)</f>
        <v/>
      </c>
      <c r="I60" s="91" t="str">
        <f aca="false">IF($A60="","",Job_Master!J60)</f>
        <v/>
      </c>
      <c r="J60" s="94" t="str">
        <f aca="false">IF(OR($A60="",$H60="",$I60=""),"",$I60-$H60)</f>
        <v/>
      </c>
      <c r="K60" s="1" t="str">
        <f aca="false">IF($A60="","⚪",IF($J60&lt;0,"🔴",IF($J60&lt;7,"🟡","🟢")))</f>
        <v>⚪</v>
      </c>
      <c r="L60" s="1" t="str">
        <f aca="false">IF($A60="","",IF(QC_Plan!M60&lt;&gt;"","QC",IF(FID_Plan!M60&lt;&gt;"","FID",IF(VENT_Plan!M60&lt;&gt;"","VENT",IF(ENG_Plan!M60&lt;&gt;"","ENG",IF(EDM_Plan!M60&lt;&gt;"","EDM",IF(CARVING_Plan!M60&lt;&gt;"","CARVING",IF(SPM_Plan!M60&lt;&gt;"","SPM","VTL"))))))))</f>
        <v/>
      </c>
    </row>
    <row r="61" customFormat="false" ht="15" hidden="false" customHeight="true" outlineLevel="0" collapsed="false">
      <c r="A61" s="1" t="str">
        <f aca="false">IF(OR(Job_Master!E61="",Job_Master!F61=""),"",IF(AND(Job_Master!E61&lt;=$E$2,Job_Master!F61&gt;=$B$2),Job_Master!A61,""))</f>
        <v/>
      </c>
      <c r="B61" s="1" t="str">
        <f aca="false">IF($A61="","",Job_Master!B61)</f>
        <v/>
      </c>
      <c r="C61" s="1" t="str">
        <f aca="false">IF($A61="","",Job_Master!C61)</f>
        <v/>
      </c>
      <c r="D61" s="1" t="str">
        <f aca="false">IF($A61="","",Job_Master!G61)</f>
        <v/>
      </c>
      <c r="E61" s="1" t="str">
        <f aca="false">IF($A61="","",Job_Master!K61)</f>
        <v/>
      </c>
      <c r="F61" s="1" t="str">
        <f aca="false">IF($A61="","",Job_Master!I61)</f>
        <v/>
      </c>
      <c r="G61" s="91" t="str">
        <f aca="false">IF($A61="","",Job_Master!E61)</f>
        <v/>
      </c>
      <c r="H61" s="91" t="str">
        <f aca="false">IF($A61="","",Job_Master!F61)</f>
        <v/>
      </c>
      <c r="I61" s="91" t="str">
        <f aca="false">IF($A61="","",Job_Master!J61)</f>
        <v/>
      </c>
      <c r="J61" s="94" t="str">
        <f aca="false">IF(OR($A61="",$H61="",$I61=""),"",$I61-$H61)</f>
        <v/>
      </c>
      <c r="K61" s="1" t="str">
        <f aca="false">IF($A61="","⚪",IF($J61&lt;0,"🔴",IF($J61&lt;7,"🟡","🟢")))</f>
        <v>⚪</v>
      </c>
      <c r="L61" s="1" t="str">
        <f aca="false">IF($A61="","",IF(QC_Plan!M61&lt;&gt;"","QC",IF(FID_Plan!M61&lt;&gt;"","FID",IF(VENT_Plan!M61&lt;&gt;"","VENT",IF(ENG_Plan!M61&lt;&gt;"","ENG",IF(EDM_Plan!M61&lt;&gt;"","EDM",IF(CARVING_Plan!M61&lt;&gt;"","CARVING",IF(SPM_Plan!M61&lt;&gt;"","SPM","VTL"))))))))</f>
        <v/>
      </c>
    </row>
    <row r="62" customFormat="false" ht="15" hidden="false" customHeight="true" outlineLevel="0" collapsed="false">
      <c r="A62" s="1" t="str">
        <f aca="false">IF(OR(Job_Master!E62="",Job_Master!F62=""),"",IF(AND(Job_Master!E62&lt;=$E$2,Job_Master!F62&gt;=$B$2),Job_Master!A62,""))</f>
        <v/>
      </c>
      <c r="B62" s="1" t="str">
        <f aca="false">IF($A62="","",Job_Master!B62)</f>
        <v/>
      </c>
      <c r="C62" s="1" t="str">
        <f aca="false">IF($A62="","",Job_Master!C62)</f>
        <v/>
      </c>
      <c r="D62" s="1" t="str">
        <f aca="false">IF($A62="","",Job_Master!G62)</f>
        <v/>
      </c>
      <c r="E62" s="1" t="str">
        <f aca="false">IF($A62="","",Job_Master!K62)</f>
        <v/>
      </c>
      <c r="F62" s="1" t="str">
        <f aca="false">IF($A62="","",Job_Master!I62)</f>
        <v/>
      </c>
      <c r="G62" s="91" t="str">
        <f aca="false">IF($A62="","",Job_Master!E62)</f>
        <v/>
      </c>
      <c r="H62" s="91" t="str">
        <f aca="false">IF($A62="","",Job_Master!F62)</f>
        <v/>
      </c>
      <c r="I62" s="91" t="str">
        <f aca="false">IF($A62="","",Job_Master!J62)</f>
        <v/>
      </c>
      <c r="J62" s="94" t="str">
        <f aca="false">IF(OR($A62="",$H62="",$I62=""),"",$I62-$H62)</f>
        <v/>
      </c>
      <c r="K62" s="1" t="str">
        <f aca="false">IF($A62="","⚪",IF($J62&lt;0,"🔴",IF($J62&lt;7,"🟡","🟢")))</f>
        <v>⚪</v>
      </c>
      <c r="L62" s="1" t="str">
        <f aca="false">IF($A62="","",IF(QC_Plan!M62&lt;&gt;"","QC",IF(FID_Plan!M62&lt;&gt;"","FID",IF(VENT_Plan!M62&lt;&gt;"","VENT",IF(ENG_Plan!M62&lt;&gt;"","ENG",IF(EDM_Plan!M62&lt;&gt;"","EDM",IF(CARVING_Plan!M62&lt;&gt;"","CARVING",IF(SPM_Plan!M62&lt;&gt;"","SPM","VTL"))))))))</f>
        <v/>
      </c>
    </row>
    <row r="63" customFormat="false" ht="15" hidden="false" customHeight="true" outlineLevel="0" collapsed="false">
      <c r="A63" s="1" t="str">
        <f aca="false">IF(OR(Job_Master!E63="",Job_Master!F63=""),"",IF(AND(Job_Master!E63&lt;=$E$2,Job_Master!F63&gt;=$B$2),Job_Master!A63,""))</f>
        <v/>
      </c>
      <c r="B63" s="1" t="str">
        <f aca="false">IF($A63="","",Job_Master!B63)</f>
        <v/>
      </c>
      <c r="C63" s="1" t="str">
        <f aca="false">IF($A63="","",Job_Master!C63)</f>
        <v/>
      </c>
      <c r="D63" s="1" t="str">
        <f aca="false">IF($A63="","",Job_Master!G63)</f>
        <v/>
      </c>
      <c r="E63" s="1" t="str">
        <f aca="false">IF($A63="","",Job_Master!K63)</f>
        <v/>
      </c>
      <c r="F63" s="1" t="str">
        <f aca="false">IF($A63="","",Job_Master!I63)</f>
        <v/>
      </c>
      <c r="G63" s="91" t="str">
        <f aca="false">IF($A63="","",Job_Master!E63)</f>
        <v/>
      </c>
      <c r="H63" s="91" t="str">
        <f aca="false">IF($A63="","",Job_Master!F63)</f>
        <v/>
      </c>
      <c r="I63" s="91" t="str">
        <f aca="false">IF($A63="","",Job_Master!J63)</f>
        <v/>
      </c>
      <c r="J63" s="94" t="str">
        <f aca="false">IF(OR($A63="",$H63="",$I63=""),"",$I63-$H63)</f>
        <v/>
      </c>
      <c r="K63" s="1" t="str">
        <f aca="false">IF($A63="","⚪",IF($J63&lt;0,"🔴",IF($J63&lt;7,"🟡","🟢")))</f>
        <v>⚪</v>
      </c>
      <c r="L63" s="1" t="str">
        <f aca="false">IF($A63="","",IF(QC_Plan!M63&lt;&gt;"","QC",IF(FID_Plan!M63&lt;&gt;"","FID",IF(VENT_Plan!M63&lt;&gt;"","VENT",IF(ENG_Plan!M63&lt;&gt;"","ENG",IF(EDM_Plan!M63&lt;&gt;"","EDM",IF(CARVING_Plan!M63&lt;&gt;"","CARVING",IF(SPM_Plan!M63&lt;&gt;"","SPM","VTL"))))))))</f>
        <v/>
      </c>
    </row>
    <row r="64" customFormat="false" ht="15" hidden="false" customHeight="true" outlineLevel="0" collapsed="false">
      <c r="A64" s="1" t="str">
        <f aca="false">IF(OR(Job_Master!E64="",Job_Master!F64=""),"",IF(AND(Job_Master!E64&lt;=$E$2,Job_Master!F64&gt;=$B$2),Job_Master!A64,""))</f>
        <v/>
      </c>
      <c r="B64" s="1" t="str">
        <f aca="false">IF($A64="","",Job_Master!B64)</f>
        <v/>
      </c>
      <c r="C64" s="1" t="str">
        <f aca="false">IF($A64="","",Job_Master!C64)</f>
        <v/>
      </c>
      <c r="D64" s="1" t="str">
        <f aca="false">IF($A64="","",Job_Master!G64)</f>
        <v/>
      </c>
      <c r="E64" s="1" t="str">
        <f aca="false">IF($A64="","",Job_Master!K64)</f>
        <v/>
      </c>
      <c r="F64" s="1" t="str">
        <f aca="false">IF($A64="","",Job_Master!I64)</f>
        <v/>
      </c>
      <c r="G64" s="91" t="str">
        <f aca="false">IF($A64="","",Job_Master!E64)</f>
        <v/>
      </c>
      <c r="H64" s="91" t="str">
        <f aca="false">IF($A64="","",Job_Master!F64)</f>
        <v/>
      </c>
      <c r="I64" s="91" t="str">
        <f aca="false">IF($A64="","",Job_Master!J64)</f>
        <v/>
      </c>
      <c r="J64" s="94" t="str">
        <f aca="false">IF(OR($A64="",$H64="",$I64=""),"",$I64-$H64)</f>
        <v/>
      </c>
      <c r="K64" s="1" t="str">
        <f aca="false">IF($A64="","⚪",IF($J64&lt;0,"🔴",IF($J64&lt;7,"🟡","🟢")))</f>
        <v>⚪</v>
      </c>
      <c r="L64" s="1" t="str">
        <f aca="false">IF($A64="","",IF(QC_Plan!M64&lt;&gt;"","QC",IF(FID_Plan!M64&lt;&gt;"","FID",IF(VENT_Plan!M64&lt;&gt;"","VENT",IF(ENG_Plan!M64&lt;&gt;"","ENG",IF(EDM_Plan!M64&lt;&gt;"","EDM",IF(CARVING_Plan!M64&lt;&gt;"","CARVING",IF(SPM_Plan!M64&lt;&gt;"","SPM","VTL"))))))))</f>
        <v/>
      </c>
    </row>
    <row r="65" customFormat="false" ht="15" hidden="false" customHeight="true" outlineLevel="0" collapsed="false">
      <c r="A65" s="1" t="str">
        <f aca="false">IF(OR(Job_Master!E65="",Job_Master!F65=""),"",IF(AND(Job_Master!E65&lt;=$E$2,Job_Master!F65&gt;=$B$2),Job_Master!A65,""))</f>
        <v/>
      </c>
      <c r="B65" s="1" t="str">
        <f aca="false">IF($A65="","",Job_Master!B65)</f>
        <v/>
      </c>
      <c r="C65" s="1" t="str">
        <f aca="false">IF($A65="","",Job_Master!C65)</f>
        <v/>
      </c>
      <c r="D65" s="1" t="str">
        <f aca="false">IF($A65="","",Job_Master!G65)</f>
        <v/>
      </c>
      <c r="E65" s="1" t="str">
        <f aca="false">IF($A65="","",Job_Master!K65)</f>
        <v/>
      </c>
      <c r="F65" s="1" t="str">
        <f aca="false">IF($A65="","",Job_Master!I65)</f>
        <v/>
      </c>
      <c r="G65" s="91" t="str">
        <f aca="false">IF($A65="","",Job_Master!E65)</f>
        <v/>
      </c>
      <c r="H65" s="91" t="str">
        <f aca="false">IF($A65="","",Job_Master!F65)</f>
        <v/>
      </c>
      <c r="I65" s="91" t="str">
        <f aca="false">IF($A65="","",Job_Master!J65)</f>
        <v/>
      </c>
      <c r="J65" s="94" t="str">
        <f aca="false">IF(OR($A65="",$H65="",$I65=""),"",$I65-$H65)</f>
        <v/>
      </c>
      <c r="K65" s="1" t="str">
        <f aca="false">IF($A65="","⚪",IF($J65&lt;0,"🔴",IF($J65&lt;7,"🟡","🟢")))</f>
        <v>⚪</v>
      </c>
      <c r="L65" s="1" t="str">
        <f aca="false">IF($A65="","",IF(QC_Plan!M65&lt;&gt;"","QC",IF(FID_Plan!M65&lt;&gt;"","FID",IF(VENT_Plan!M65&lt;&gt;"","VENT",IF(ENG_Plan!M65&lt;&gt;"","ENG",IF(EDM_Plan!M65&lt;&gt;"","EDM",IF(CARVING_Plan!M65&lt;&gt;"","CARVING",IF(SPM_Plan!M65&lt;&gt;"","SPM","VTL"))))))))</f>
        <v/>
      </c>
    </row>
    <row r="66" customFormat="false" ht="15" hidden="false" customHeight="true" outlineLevel="0" collapsed="false">
      <c r="A66" s="1" t="str">
        <f aca="false">IF(OR(Job_Master!E66="",Job_Master!F66=""),"",IF(AND(Job_Master!E66&lt;=$E$2,Job_Master!F66&gt;=$B$2),Job_Master!A66,""))</f>
        <v/>
      </c>
      <c r="B66" s="1" t="str">
        <f aca="false">IF($A66="","",Job_Master!B66)</f>
        <v/>
      </c>
      <c r="C66" s="1" t="str">
        <f aca="false">IF($A66="","",Job_Master!C66)</f>
        <v/>
      </c>
      <c r="D66" s="1" t="str">
        <f aca="false">IF($A66="","",Job_Master!G66)</f>
        <v/>
      </c>
      <c r="E66" s="1" t="str">
        <f aca="false">IF($A66="","",Job_Master!K66)</f>
        <v/>
      </c>
      <c r="F66" s="1" t="str">
        <f aca="false">IF($A66="","",Job_Master!I66)</f>
        <v/>
      </c>
      <c r="G66" s="91" t="str">
        <f aca="false">IF($A66="","",Job_Master!E66)</f>
        <v/>
      </c>
      <c r="H66" s="91" t="str">
        <f aca="false">IF($A66="","",Job_Master!F66)</f>
        <v/>
      </c>
      <c r="I66" s="91" t="str">
        <f aca="false">IF($A66="","",Job_Master!J66)</f>
        <v/>
      </c>
      <c r="J66" s="94" t="str">
        <f aca="false">IF(OR($A66="",$H66="",$I66=""),"",$I66-$H66)</f>
        <v/>
      </c>
      <c r="K66" s="1" t="str">
        <f aca="false">IF($A66="","⚪",IF($J66&lt;0,"🔴",IF($J66&lt;7,"🟡","🟢")))</f>
        <v>⚪</v>
      </c>
      <c r="L66" s="1" t="str">
        <f aca="false">IF($A66="","",IF(QC_Plan!M66&lt;&gt;"","QC",IF(FID_Plan!M66&lt;&gt;"","FID",IF(VENT_Plan!M66&lt;&gt;"","VENT",IF(ENG_Plan!M66&lt;&gt;"","ENG",IF(EDM_Plan!M66&lt;&gt;"","EDM",IF(CARVING_Plan!M66&lt;&gt;"","CARVING",IF(SPM_Plan!M66&lt;&gt;"","SPM","VTL"))))))))</f>
        <v/>
      </c>
    </row>
    <row r="67" customFormat="false" ht="15" hidden="false" customHeight="true" outlineLevel="0" collapsed="false">
      <c r="A67" s="1" t="str">
        <f aca="false">IF(OR(Job_Master!E67="",Job_Master!F67=""),"",IF(AND(Job_Master!E67&lt;=$E$2,Job_Master!F67&gt;=$B$2),Job_Master!A67,""))</f>
        <v/>
      </c>
      <c r="B67" s="1" t="str">
        <f aca="false">IF($A67="","",Job_Master!B67)</f>
        <v/>
      </c>
      <c r="C67" s="1" t="str">
        <f aca="false">IF($A67="","",Job_Master!C67)</f>
        <v/>
      </c>
      <c r="D67" s="1" t="str">
        <f aca="false">IF($A67="","",Job_Master!G67)</f>
        <v/>
      </c>
      <c r="E67" s="1" t="str">
        <f aca="false">IF($A67="","",Job_Master!K67)</f>
        <v/>
      </c>
      <c r="F67" s="1" t="str">
        <f aca="false">IF($A67="","",Job_Master!I67)</f>
        <v/>
      </c>
      <c r="G67" s="91" t="str">
        <f aca="false">IF($A67="","",Job_Master!E67)</f>
        <v/>
      </c>
      <c r="H67" s="91" t="str">
        <f aca="false">IF($A67="","",Job_Master!F67)</f>
        <v/>
      </c>
      <c r="I67" s="91" t="str">
        <f aca="false">IF($A67="","",Job_Master!J67)</f>
        <v/>
      </c>
      <c r="J67" s="94" t="str">
        <f aca="false">IF(OR($A67="",$H67="",$I67=""),"",$I67-$H67)</f>
        <v/>
      </c>
      <c r="K67" s="1" t="str">
        <f aca="false">IF($A67="","⚪",IF($J67&lt;0,"🔴",IF($J67&lt;7,"🟡","🟢")))</f>
        <v>⚪</v>
      </c>
      <c r="L67" s="1" t="str">
        <f aca="false">IF($A67="","",IF(QC_Plan!M67&lt;&gt;"","QC",IF(FID_Plan!M67&lt;&gt;"","FID",IF(VENT_Plan!M67&lt;&gt;"","VENT",IF(ENG_Plan!M67&lt;&gt;"","ENG",IF(EDM_Plan!M67&lt;&gt;"","EDM",IF(CARVING_Plan!M67&lt;&gt;"","CARVING",IF(SPM_Plan!M67&lt;&gt;"","SPM","VTL"))))))))</f>
        <v/>
      </c>
    </row>
    <row r="68" customFormat="false" ht="15" hidden="false" customHeight="true" outlineLevel="0" collapsed="false">
      <c r="A68" s="1" t="str">
        <f aca="false">IF(OR(Job_Master!E68="",Job_Master!F68=""),"",IF(AND(Job_Master!E68&lt;=$E$2,Job_Master!F68&gt;=$B$2),Job_Master!A68,""))</f>
        <v/>
      </c>
      <c r="B68" s="1" t="str">
        <f aca="false">IF($A68="","",Job_Master!B68)</f>
        <v/>
      </c>
      <c r="C68" s="1" t="str">
        <f aca="false">IF($A68="","",Job_Master!C68)</f>
        <v/>
      </c>
      <c r="D68" s="1" t="str">
        <f aca="false">IF($A68="","",Job_Master!G68)</f>
        <v/>
      </c>
      <c r="E68" s="1" t="str">
        <f aca="false">IF($A68="","",Job_Master!K68)</f>
        <v/>
      </c>
      <c r="F68" s="1" t="str">
        <f aca="false">IF($A68="","",Job_Master!I68)</f>
        <v/>
      </c>
      <c r="G68" s="91" t="str">
        <f aca="false">IF($A68="","",Job_Master!E68)</f>
        <v/>
      </c>
      <c r="H68" s="91" t="str">
        <f aca="false">IF($A68="","",Job_Master!F68)</f>
        <v/>
      </c>
      <c r="I68" s="91" t="str">
        <f aca="false">IF($A68="","",Job_Master!J68)</f>
        <v/>
      </c>
      <c r="J68" s="94" t="str">
        <f aca="false">IF(OR($A68="",$H68="",$I68=""),"",$I68-$H68)</f>
        <v/>
      </c>
      <c r="K68" s="1" t="str">
        <f aca="false">IF($A68="","⚪",IF($J68&lt;0,"🔴",IF($J68&lt;7,"🟡","🟢")))</f>
        <v>⚪</v>
      </c>
      <c r="L68" s="1" t="str">
        <f aca="false">IF($A68="","",IF(QC_Plan!M68&lt;&gt;"","QC",IF(FID_Plan!M68&lt;&gt;"","FID",IF(VENT_Plan!M68&lt;&gt;"","VENT",IF(ENG_Plan!M68&lt;&gt;"","ENG",IF(EDM_Plan!M68&lt;&gt;"","EDM",IF(CARVING_Plan!M68&lt;&gt;"","CARVING",IF(SPM_Plan!M68&lt;&gt;"","SPM","VTL"))))))))</f>
        <v/>
      </c>
    </row>
    <row r="69" customFormat="false" ht="15" hidden="false" customHeight="true" outlineLevel="0" collapsed="false">
      <c r="A69" s="1" t="str">
        <f aca="false">IF(OR(Job_Master!E69="",Job_Master!F69=""),"",IF(AND(Job_Master!E69&lt;=$E$2,Job_Master!F69&gt;=$B$2),Job_Master!A69,""))</f>
        <v/>
      </c>
      <c r="B69" s="1" t="str">
        <f aca="false">IF($A69="","",Job_Master!B69)</f>
        <v/>
      </c>
      <c r="C69" s="1" t="str">
        <f aca="false">IF($A69="","",Job_Master!C69)</f>
        <v/>
      </c>
      <c r="D69" s="1" t="str">
        <f aca="false">IF($A69="","",Job_Master!G69)</f>
        <v/>
      </c>
      <c r="E69" s="1" t="str">
        <f aca="false">IF($A69="","",Job_Master!K69)</f>
        <v/>
      </c>
      <c r="F69" s="1" t="str">
        <f aca="false">IF($A69="","",Job_Master!I69)</f>
        <v/>
      </c>
      <c r="G69" s="91" t="str">
        <f aca="false">IF($A69="","",Job_Master!E69)</f>
        <v/>
      </c>
      <c r="H69" s="91" t="str">
        <f aca="false">IF($A69="","",Job_Master!F69)</f>
        <v/>
      </c>
      <c r="I69" s="91" t="str">
        <f aca="false">IF($A69="","",Job_Master!J69)</f>
        <v/>
      </c>
      <c r="J69" s="94" t="str">
        <f aca="false">IF(OR($A69="",$H69="",$I69=""),"",$I69-$H69)</f>
        <v/>
      </c>
      <c r="K69" s="1" t="str">
        <f aca="false">IF($A69="","⚪",IF($J69&lt;0,"🔴",IF($J69&lt;7,"🟡","🟢")))</f>
        <v>⚪</v>
      </c>
      <c r="L69" s="1" t="str">
        <f aca="false">IF($A69="","",IF(QC_Plan!M69&lt;&gt;"","QC",IF(FID_Plan!M69&lt;&gt;"","FID",IF(VENT_Plan!M69&lt;&gt;"","VENT",IF(ENG_Plan!M69&lt;&gt;"","ENG",IF(EDM_Plan!M69&lt;&gt;"","EDM",IF(CARVING_Plan!M69&lt;&gt;"","CARVING",IF(SPM_Plan!M69&lt;&gt;"","SPM","VTL"))))))))</f>
        <v/>
      </c>
    </row>
    <row r="70" customFormat="false" ht="15" hidden="false" customHeight="true" outlineLevel="0" collapsed="false">
      <c r="A70" s="1" t="str">
        <f aca="false">IF(OR(Job_Master!E70="",Job_Master!F70=""),"",IF(AND(Job_Master!E70&lt;=$E$2,Job_Master!F70&gt;=$B$2),Job_Master!A70,""))</f>
        <v/>
      </c>
      <c r="B70" s="1" t="str">
        <f aca="false">IF($A70="","",Job_Master!B70)</f>
        <v/>
      </c>
      <c r="C70" s="1" t="str">
        <f aca="false">IF($A70="","",Job_Master!C70)</f>
        <v/>
      </c>
      <c r="D70" s="1" t="str">
        <f aca="false">IF($A70="","",Job_Master!G70)</f>
        <v/>
      </c>
      <c r="E70" s="1" t="str">
        <f aca="false">IF($A70="","",Job_Master!K70)</f>
        <v/>
      </c>
      <c r="F70" s="1" t="str">
        <f aca="false">IF($A70="","",Job_Master!I70)</f>
        <v/>
      </c>
      <c r="G70" s="91" t="str">
        <f aca="false">IF($A70="","",Job_Master!E70)</f>
        <v/>
      </c>
      <c r="H70" s="91" t="str">
        <f aca="false">IF($A70="","",Job_Master!F70)</f>
        <v/>
      </c>
      <c r="I70" s="91" t="str">
        <f aca="false">IF($A70="","",Job_Master!J70)</f>
        <v/>
      </c>
      <c r="J70" s="94" t="str">
        <f aca="false">IF(OR($A70="",$H70="",$I70=""),"",$I70-$H70)</f>
        <v/>
      </c>
      <c r="K70" s="1" t="str">
        <f aca="false">IF($A70="","⚪",IF($J70&lt;0,"🔴",IF($J70&lt;7,"🟡","🟢")))</f>
        <v>⚪</v>
      </c>
      <c r="L70" s="1" t="str">
        <f aca="false">IF($A70="","",IF(QC_Plan!M70&lt;&gt;"","QC",IF(FID_Plan!M70&lt;&gt;"","FID",IF(VENT_Plan!M70&lt;&gt;"","VENT",IF(ENG_Plan!M70&lt;&gt;"","ENG",IF(EDM_Plan!M70&lt;&gt;"","EDM",IF(CARVING_Plan!M70&lt;&gt;"","CARVING",IF(SPM_Plan!M70&lt;&gt;"","SPM","VTL"))))))))</f>
        <v/>
      </c>
    </row>
    <row r="71" customFormat="false" ht="15" hidden="false" customHeight="true" outlineLevel="0" collapsed="false">
      <c r="A71" s="1" t="str">
        <f aca="false">IF(OR(Job_Master!E71="",Job_Master!F71=""),"",IF(AND(Job_Master!E71&lt;=$E$2,Job_Master!F71&gt;=$B$2),Job_Master!A71,""))</f>
        <v/>
      </c>
      <c r="B71" s="1" t="str">
        <f aca="false">IF($A71="","",Job_Master!B71)</f>
        <v/>
      </c>
      <c r="C71" s="1" t="str">
        <f aca="false">IF($A71="","",Job_Master!C71)</f>
        <v/>
      </c>
      <c r="D71" s="1" t="str">
        <f aca="false">IF($A71="","",Job_Master!G71)</f>
        <v/>
      </c>
      <c r="E71" s="1" t="str">
        <f aca="false">IF($A71="","",Job_Master!K71)</f>
        <v/>
      </c>
      <c r="F71" s="1" t="str">
        <f aca="false">IF($A71="","",Job_Master!I71)</f>
        <v/>
      </c>
      <c r="G71" s="91" t="str">
        <f aca="false">IF($A71="","",Job_Master!E71)</f>
        <v/>
      </c>
      <c r="H71" s="91" t="str">
        <f aca="false">IF($A71="","",Job_Master!F71)</f>
        <v/>
      </c>
      <c r="I71" s="91" t="str">
        <f aca="false">IF($A71="","",Job_Master!J71)</f>
        <v/>
      </c>
      <c r="J71" s="94" t="str">
        <f aca="false">IF(OR($A71="",$H71="",$I71=""),"",$I71-$H71)</f>
        <v/>
      </c>
      <c r="K71" s="1" t="str">
        <f aca="false">IF($A71="","⚪",IF($J71&lt;0,"🔴",IF($J71&lt;7,"🟡","🟢")))</f>
        <v>⚪</v>
      </c>
      <c r="L71" s="1" t="str">
        <f aca="false">IF($A71="","",IF(QC_Plan!M71&lt;&gt;"","QC",IF(FID_Plan!M71&lt;&gt;"","FID",IF(VENT_Plan!M71&lt;&gt;"","VENT",IF(ENG_Plan!M71&lt;&gt;"","ENG",IF(EDM_Plan!M71&lt;&gt;"","EDM",IF(CARVING_Plan!M71&lt;&gt;"","CARVING",IF(SPM_Plan!M71&lt;&gt;"","SPM","VTL"))))))))</f>
        <v/>
      </c>
    </row>
    <row r="72" customFormat="false" ht="15" hidden="false" customHeight="true" outlineLevel="0" collapsed="false">
      <c r="A72" s="1" t="str">
        <f aca="false">IF(OR(Job_Master!E72="",Job_Master!F72=""),"",IF(AND(Job_Master!E72&lt;=$E$2,Job_Master!F72&gt;=$B$2),Job_Master!A72,""))</f>
        <v/>
      </c>
      <c r="B72" s="1" t="str">
        <f aca="false">IF($A72="","",Job_Master!B72)</f>
        <v/>
      </c>
      <c r="C72" s="1" t="str">
        <f aca="false">IF($A72="","",Job_Master!C72)</f>
        <v/>
      </c>
      <c r="D72" s="1" t="str">
        <f aca="false">IF($A72="","",Job_Master!G72)</f>
        <v/>
      </c>
      <c r="E72" s="1" t="str">
        <f aca="false">IF($A72="","",Job_Master!K72)</f>
        <v/>
      </c>
      <c r="F72" s="1" t="str">
        <f aca="false">IF($A72="","",Job_Master!I72)</f>
        <v/>
      </c>
      <c r="G72" s="91" t="str">
        <f aca="false">IF($A72="","",Job_Master!E72)</f>
        <v/>
      </c>
      <c r="H72" s="91" t="str">
        <f aca="false">IF($A72="","",Job_Master!F72)</f>
        <v/>
      </c>
      <c r="I72" s="91" t="str">
        <f aca="false">IF($A72="","",Job_Master!J72)</f>
        <v/>
      </c>
      <c r="J72" s="94" t="str">
        <f aca="false">IF(OR($A72="",$H72="",$I72=""),"",$I72-$H72)</f>
        <v/>
      </c>
      <c r="K72" s="1" t="str">
        <f aca="false">IF($A72="","⚪",IF($J72&lt;0,"🔴",IF($J72&lt;7,"🟡","🟢")))</f>
        <v>⚪</v>
      </c>
      <c r="L72" s="1" t="str">
        <f aca="false">IF($A72="","",IF(QC_Plan!M72&lt;&gt;"","QC",IF(FID_Plan!M72&lt;&gt;"","FID",IF(VENT_Plan!M72&lt;&gt;"","VENT",IF(ENG_Plan!M72&lt;&gt;"","ENG",IF(EDM_Plan!M72&lt;&gt;"","EDM",IF(CARVING_Plan!M72&lt;&gt;"","CARVING",IF(SPM_Plan!M72&lt;&gt;"","SPM","VTL"))))))))</f>
        <v/>
      </c>
    </row>
    <row r="73" customFormat="false" ht="15" hidden="false" customHeight="true" outlineLevel="0" collapsed="false">
      <c r="A73" s="1" t="str">
        <f aca="false">IF(OR(Job_Master!E73="",Job_Master!F73=""),"",IF(AND(Job_Master!E73&lt;=$E$2,Job_Master!F73&gt;=$B$2),Job_Master!A73,""))</f>
        <v/>
      </c>
      <c r="B73" s="1" t="str">
        <f aca="false">IF($A73="","",Job_Master!B73)</f>
        <v/>
      </c>
      <c r="C73" s="1" t="str">
        <f aca="false">IF($A73="","",Job_Master!C73)</f>
        <v/>
      </c>
      <c r="D73" s="1" t="str">
        <f aca="false">IF($A73="","",Job_Master!G73)</f>
        <v/>
      </c>
      <c r="E73" s="1" t="str">
        <f aca="false">IF($A73="","",Job_Master!K73)</f>
        <v/>
      </c>
      <c r="F73" s="1" t="str">
        <f aca="false">IF($A73="","",Job_Master!I73)</f>
        <v/>
      </c>
      <c r="G73" s="91" t="str">
        <f aca="false">IF($A73="","",Job_Master!E73)</f>
        <v/>
      </c>
      <c r="H73" s="91" t="str">
        <f aca="false">IF($A73="","",Job_Master!F73)</f>
        <v/>
      </c>
      <c r="I73" s="91" t="str">
        <f aca="false">IF($A73="","",Job_Master!J73)</f>
        <v/>
      </c>
      <c r="J73" s="94" t="str">
        <f aca="false">IF(OR($A73="",$H73="",$I73=""),"",$I73-$H73)</f>
        <v/>
      </c>
      <c r="K73" s="1" t="str">
        <f aca="false">IF($A73="","⚪",IF($J73&lt;0,"🔴",IF($J73&lt;7,"🟡","🟢")))</f>
        <v>⚪</v>
      </c>
      <c r="L73" s="1" t="str">
        <f aca="false">IF($A73="","",IF(QC_Plan!M73&lt;&gt;"","QC",IF(FID_Plan!M73&lt;&gt;"","FID",IF(VENT_Plan!M73&lt;&gt;"","VENT",IF(ENG_Plan!M73&lt;&gt;"","ENG",IF(EDM_Plan!M73&lt;&gt;"","EDM",IF(CARVING_Plan!M73&lt;&gt;"","CARVING",IF(SPM_Plan!M73&lt;&gt;"","SPM","VTL"))))))))</f>
        <v/>
      </c>
    </row>
  </sheetData>
  <mergeCells count="1">
    <mergeCell ref="A1:M1"/>
  </mergeCells>
  <conditionalFormatting sqref="D4:D74">
    <cfRule type="expression" priority="2" aboveAverage="0" equalAverage="0" bottom="0" percent="0" rank="0" text="" dxfId="0">
      <formula>$D4="High"</formula>
    </cfRule>
    <cfRule type="expression" priority="3" aboveAverage="0" equalAverage="0" bottom="0" percent="0" rank="0" text="" dxfId="1">
      <formula>$D4="Medium"</formula>
    </cfRule>
    <cfRule type="expression" priority="4" aboveAverage="0" equalAverage="0" bottom="0" percent="0" rank="0" text="" dxfId="2">
      <formula>$D4="Low"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I3" activeCellId="0" sqref="I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20"/>
  </cols>
  <sheetData>
    <row r="1" customFormat="false" ht="25.5" hidden="false" customHeight="true" outlineLevel="0" collapsed="false">
      <c r="A1" s="107" t="s">
        <v>330</v>
      </c>
      <c r="B1" s="107"/>
      <c r="C1" s="107"/>
      <c r="D1" s="107"/>
      <c r="E1" s="107"/>
      <c r="F1" s="107"/>
      <c r="G1" s="107"/>
      <c r="H1" s="107"/>
      <c r="I1" s="107"/>
      <c r="J1" s="107"/>
    </row>
    <row r="2" customFormat="false" ht="23.25" hidden="false" customHeight="true" outlineLevel="0" collapsed="false">
      <c r="A2" s="108" t="s">
        <v>137</v>
      </c>
      <c r="B2" s="108" t="s">
        <v>11</v>
      </c>
      <c r="C2" s="108" t="s">
        <v>10</v>
      </c>
      <c r="D2" s="108" t="s">
        <v>138</v>
      </c>
      <c r="E2" s="109" t="s">
        <v>331</v>
      </c>
      <c r="F2" s="110" t="s">
        <v>332</v>
      </c>
      <c r="G2" s="110" t="s">
        <v>333</v>
      </c>
      <c r="H2" s="111" t="s">
        <v>334</v>
      </c>
      <c r="I2" s="111" t="s">
        <v>36</v>
      </c>
      <c r="J2" s="112" t="s">
        <v>300</v>
      </c>
    </row>
    <row r="3" customFormat="false" ht="15" hidden="false" customHeight="true" outlineLevel="0" collapsed="false">
      <c r="A3" s="1" t="str">
        <f aca="false">Job_Master!A4</f>
        <v>BJ-104</v>
      </c>
      <c r="B3" s="1" t="n">
        <f aca="false">Job_Master!B4</f>
        <v>28</v>
      </c>
      <c r="C3" s="1" t="str">
        <f aca="false">Job_Master!C4</f>
        <v>2P</v>
      </c>
      <c r="D3" s="1" t="n">
        <f aca="false">Job_Master!D4</f>
        <v>2</v>
      </c>
      <c r="E3" s="1" t="s">
        <v>335</v>
      </c>
      <c r="F3" s="1" t="n">
        <v>22</v>
      </c>
      <c r="G3" s="1" t="n">
        <f aca="false">Job_Master!D4</f>
        <v>2</v>
      </c>
      <c r="H3" s="1" t="n">
        <f aca="false">F3-G3</f>
        <v>20</v>
      </c>
      <c r="I3" s="1" t="str">
        <f aca="false">IF(F3&lt;=0,"🔴 Out of Stock",IF(F3&lt;G3,"🟡 Low Stock","🟢 OK"))</f>
        <v>🟢 OK</v>
      </c>
    </row>
    <row r="4" customFormat="false" ht="15" hidden="false" customHeight="true" outlineLevel="0" collapsed="false">
      <c r="A4" s="1" t="str">
        <f aca="false">Job_Master!A5</f>
        <v>BJ-101</v>
      </c>
      <c r="B4" s="1" t="n">
        <f aca="false">Job_Master!B5</f>
        <v>42</v>
      </c>
      <c r="C4" s="1" t="str">
        <f aca="false">Job_Master!C5</f>
        <v>SOL</v>
      </c>
      <c r="D4" s="1" t="n">
        <f aca="false">Job_Master!D5</f>
        <v>4</v>
      </c>
      <c r="E4" s="1" t="s">
        <v>335</v>
      </c>
      <c r="F4" s="1" t="n">
        <v>2</v>
      </c>
      <c r="G4" s="1" t="n">
        <f aca="false">Job_Master!D5</f>
        <v>4</v>
      </c>
      <c r="H4" s="1" t="n">
        <f aca="false">F4-G4</f>
        <v>-2</v>
      </c>
      <c r="I4" s="1" t="str">
        <f aca="false">IF(F4&lt;=0,"🔴 Out of Stock",IF(F4&lt;G4,"🟡 Low Stock","🟢 OK"))</f>
        <v>🟡 Low Stock</v>
      </c>
    </row>
    <row r="5" customFormat="false" ht="15" hidden="false" customHeight="true" outlineLevel="0" collapsed="false">
      <c r="A5" s="1" t="str">
        <f aca="false">Job_Master!A6</f>
        <v>BJ-105</v>
      </c>
      <c r="B5" s="1" t="n">
        <f aca="false">Job_Master!B6</f>
        <v>28</v>
      </c>
      <c r="C5" s="1" t="str">
        <f aca="false">Job_Master!C6</f>
        <v>RW</v>
      </c>
      <c r="D5" s="1" t="n">
        <f aca="false">Job_Master!D6</f>
        <v>2</v>
      </c>
      <c r="E5" s="1" t="s">
        <v>336</v>
      </c>
      <c r="F5" s="1" t="n">
        <v>10</v>
      </c>
      <c r="G5" s="1" t="n">
        <f aca="false">Job_Master!D6</f>
        <v>2</v>
      </c>
      <c r="H5" s="1" t="n">
        <f aca="false">F5-G5</f>
        <v>8</v>
      </c>
      <c r="I5" s="1" t="str">
        <f aca="false">IF(F5&lt;=0,"🔴 Out of Stock",IF(F5&lt;G5,"🟡 Low Stock","🟢 OK"))</f>
        <v>🟢 OK</v>
      </c>
    </row>
    <row r="6" customFormat="false" ht="15" hidden="false" customHeight="true" outlineLevel="0" collapsed="false">
      <c r="A6" s="1" t="str">
        <f aca="false">Job_Master!A7</f>
        <v>BJ-100</v>
      </c>
      <c r="B6" s="1" t="n">
        <f aca="false">Job_Master!B7</f>
        <v>25</v>
      </c>
      <c r="C6" s="1" t="str">
        <f aca="false">Job_Master!C7</f>
        <v>SEG</v>
      </c>
      <c r="D6" s="1" t="n">
        <f aca="false">Job_Master!D7</f>
        <v>6</v>
      </c>
      <c r="E6" s="1" t="s">
        <v>336</v>
      </c>
      <c r="F6" s="1" t="n">
        <v>9</v>
      </c>
      <c r="G6" s="1" t="n">
        <f aca="false">Job_Master!D7</f>
        <v>6</v>
      </c>
      <c r="H6" s="1" t="n">
        <f aca="false">F6-G6</f>
        <v>3</v>
      </c>
      <c r="I6" s="1" t="str">
        <f aca="false">IF(F6&lt;=0,"🔴 Out of Stock",IF(F6&lt;G6,"🟡 Low Stock","🟢 OK"))</f>
        <v>🟢 OK</v>
      </c>
    </row>
    <row r="7" customFormat="false" ht="15" hidden="false" customHeight="true" outlineLevel="0" collapsed="false">
      <c r="A7" s="1" t="str">
        <f aca="false">Job_Master!A8</f>
        <v>BJ-102</v>
      </c>
      <c r="B7" s="1" t="n">
        <f aca="false">Job_Master!B8</f>
        <v>34</v>
      </c>
      <c r="C7" s="1" t="str">
        <f aca="false">Job_Master!C8</f>
        <v>SEG</v>
      </c>
      <c r="D7" s="1" t="n">
        <f aca="false">Job_Master!D8</f>
        <v>6</v>
      </c>
      <c r="E7" s="1" t="s">
        <v>335</v>
      </c>
      <c r="F7" s="1" t="n">
        <v>25</v>
      </c>
      <c r="G7" s="1" t="n">
        <f aca="false">Job_Master!D8</f>
        <v>6</v>
      </c>
      <c r="H7" s="1" t="n">
        <f aca="false">F7-G7</f>
        <v>19</v>
      </c>
      <c r="I7" s="1" t="str">
        <f aca="false">IF(F7&lt;=0,"🔴 Out of Stock",IF(F7&lt;G7,"🟡 Low Stock","🟢 OK"))</f>
        <v>🟢 OK</v>
      </c>
    </row>
    <row r="8" customFormat="false" ht="15" hidden="false" customHeight="true" outlineLevel="0" collapsed="false">
      <c r="A8" s="1" t="str">
        <f aca="false">Job_Master!A9</f>
        <v>BJ-103</v>
      </c>
      <c r="B8" s="1" t="n">
        <f aca="false">Job_Master!B9</f>
        <v>20</v>
      </c>
      <c r="C8" s="1" t="str">
        <f aca="false">Job_Master!C9</f>
        <v>RW</v>
      </c>
      <c r="D8" s="1" t="n">
        <f aca="false">Job_Master!D9</f>
        <v>2</v>
      </c>
      <c r="E8" s="1" t="s">
        <v>337</v>
      </c>
      <c r="F8" s="1" t="n">
        <v>23</v>
      </c>
      <c r="G8" s="1" t="n">
        <f aca="false">Job_Master!D9</f>
        <v>2</v>
      </c>
      <c r="H8" s="1" t="n">
        <f aca="false">F8-G8</f>
        <v>21</v>
      </c>
      <c r="I8" s="1" t="str">
        <f aca="false">IF(F8&lt;=0,"🔴 Out of Stock",IF(F8&lt;G8,"🟡 Low Stock","🟢 OK"))</f>
        <v>🟢 OK</v>
      </c>
    </row>
    <row r="9" customFormat="false" ht="15" hidden="false" customHeight="true" outlineLevel="0" collapsed="false">
      <c r="A9" s="1" t="str">
        <f aca="false">Job_Master!A10</f>
        <v>BJ-108</v>
      </c>
      <c r="B9" s="1" t="n">
        <f aca="false">Job_Master!B10</f>
        <v>70</v>
      </c>
      <c r="C9" s="1" t="str">
        <f aca="false">Job_Master!C10</f>
        <v>RW</v>
      </c>
      <c r="D9" s="1" t="n">
        <f aca="false">Job_Master!D10</f>
        <v>2</v>
      </c>
      <c r="E9" s="1" t="s">
        <v>338</v>
      </c>
      <c r="F9" s="1" t="n">
        <v>19</v>
      </c>
      <c r="G9" s="1" t="n">
        <f aca="false">Job_Master!D10</f>
        <v>2</v>
      </c>
      <c r="H9" s="1" t="n">
        <f aca="false">F9-G9</f>
        <v>17</v>
      </c>
      <c r="I9" s="1" t="str">
        <f aca="false">IF(F9&lt;=0,"🔴 Out of Stock",IF(F9&lt;G9,"🟡 Low Stock","🟢 OK"))</f>
        <v>🟢 OK</v>
      </c>
    </row>
    <row r="10" customFormat="false" ht="15" hidden="false" customHeight="true" outlineLevel="0" collapsed="false">
      <c r="A10" s="1" t="str">
        <f aca="false">Job_Master!A11</f>
        <v>BJ-106</v>
      </c>
      <c r="B10" s="1" t="n">
        <f aca="false">Job_Master!B11</f>
        <v>15</v>
      </c>
      <c r="C10" s="1" t="str">
        <f aca="false">Job_Master!C11</f>
        <v>RW</v>
      </c>
      <c r="D10" s="1" t="n">
        <f aca="false">Job_Master!D11</f>
        <v>2</v>
      </c>
      <c r="E10" s="1" t="s">
        <v>339</v>
      </c>
      <c r="F10" s="1" t="n">
        <v>20</v>
      </c>
      <c r="G10" s="1" t="n">
        <f aca="false">Job_Master!D11</f>
        <v>2</v>
      </c>
      <c r="H10" s="1" t="n">
        <f aca="false">F10-G10</f>
        <v>18</v>
      </c>
      <c r="I10" s="1" t="str">
        <f aca="false">IF(F10&lt;=0,"🔴 Out of Stock",IF(F10&lt;G10,"🟡 Low Stock","🟢 OK"))</f>
        <v>🟢 OK</v>
      </c>
    </row>
    <row r="11" customFormat="false" ht="15" hidden="false" customHeight="true" outlineLevel="0" collapsed="false">
      <c r="A11" s="1" t="str">
        <f aca="false">Job_Master!A12</f>
        <v>BJ-109</v>
      </c>
      <c r="B11" s="1" t="n">
        <f aca="false">Job_Master!B12</f>
        <v>30</v>
      </c>
      <c r="C11" s="1" t="str">
        <f aca="false">Job_Master!C12</f>
        <v>RW</v>
      </c>
      <c r="D11" s="1" t="n">
        <f aca="false">Job_Master!D12</f>
        <v>2</v>
      </c>
      <c r="E11" s="1" t="s">
        <v>336</v>
      </c>
      <c r="F11" s="1" t="n">
        <v>3</v>
      </c>
      <c r="G11" s="1" t="n">
        <f aca="false">Job_Master!D12</f>
        <v>2</v>
      </c>
      <c r="H11" s="1" t="n">
        <f aca="false">F11-G11</f>
        <v>1</v>
      </c>
      <c r="I11" s="1" t="str">
        <f aca="false">IF(F11&lt;=0,"🔴 Out of Stock",IF(F11&lt;G11,"🟡 Low Stock","🟢 OK"))</f>
        <v>🟢 OK</v>
      </c>
    </row>
    <row r="12" customFormat="false" ht="15" hidden="false" customHeight="true" outlineLevel="0" collapsed="false">
      <c r="A12" s="1" t="str">
        <f aca="false">Job_Master!A13</f>
        <v>BJ-110</v>
      </c>
      <c r="B12" s="1" t="n">
        <f aca="false">Job_Master!B13</f>
        <v>17</v>
      </c>
      <c r="C12" s="1" t="str">
        <f aca="false">Job_Master!C13</f>
        <v>2P</v>
      </c>
      <c r="D12" s="1" t="n">
        <f aca="false">Job_Master!D13</f>
        <v>2</v>
      </c>
      <c r="E12" s="1" t="s">
        <v>337</v>
      </c>
      <c r="F12" s="1" t="n">
        <v>4</v>
      </c>
      <c r="G12" s="1" t="n">
        <f aca="false">Job_Master!D13</f>
        <v>2</v>
      </c>
      <c r="H12" s="1" t="n">
        <f aca="false">F12-G12</f>
        <v>2</v>
      </c>
      <c r="I12" s="1" t="str">
        <f aca="false">IF(F12&lt;=0,"🔴 Out of Stock",IF(F12&lt;G12,"🟡 Low Stock","🟢 OK"))</f>
        <v>🟢 OK</v>
      </c>
    </row>
    <row r="13" customFormat="false" ht="15" hidden="false" customHeight="true" outlineLevel="0" collapsed="false">
      <c r="A13" s="1" t="str">
        <f aca="false">Job_Master!A14</f>
        <v>BJ-111</v>
      </c>
      <c r="B13" s="1" t="n">
        <f aca="false">Job_Master!B14</f>
        <v>25</v>
      </c>
      <c r="C13" s="1" t="str">
        <f aca="false">Job_Master!C14</f>
        <v>RW</v>
      </c>
      <c r="D13" s="1" t="n">
        <f aca="false">Job_Master!D14</f>
        <v>2</v>
      </c>
      <c r="E13" s="1" t="s">
        <v>336</v>
      </c>
      <c r="F13" s="1" t="n">
        <v>9</v>
      </c>
      <c r="G13" s="1" t="n">
        <f aca="false">Job_Master!D14</f>
        <v>2</v>
      </c>
      <c r="H13" s="1" t="n">
        <f aca="false">F13-G13</f>
        <v>7</v>
      </c>
      <c r="I13" s="1" t="str">
        <f aca="false">IF(F13&lt;=0,"🔴 Out of Stock",IF(F13&lt;G13,"🟡 Low Stock","🟢 OK"))</f>
        <v>🟢 OK</v>
      </c>
    </row>
    <row r="14" customFormat="false" ht="15" hidden="false" customHeight="true" outlineLevel="0" collapsed="false">
      <c r="A14" s="1" t="str">
        <f aca="false">Job_Master!A15</f>
        <v>BJ-107</v>
      </c>
      <c r="B14" s="1" t="n">
        <f aca="false">Job_Master!B15</f>
        <v>20</v>
      </c>
      <c r="C14" s="1" t="str">
        <f aca="false">Job_Master!C15</f>
        <v>SEG</v>
      </c>
      <c r="D14" s="1" t="n">
        <f aca="false">Job_Master!D15</f>
        <v>6</v>
      </c>
      <c r="E14" s="1" t="s">
        <v>337</v>
      </c>
      <c r="F14" s="1" t="n">
        <v>21</v>
      </c>
      <c r="G14" s="1" t="n">
        <f aca="false">Job_Master!D15</f>
        <v>6</v>
      </c>
      <c r="H14" s="1" t="n">
        <f aca="false">F14-G14</f>
        <v>15</v>
      </c>
      <c r="I14" s="1" t="str">
        <f aca="false">IF(F14&lt;=0,"🔴 Out of Stock",IF(F14&lt;G14,"🟡 Low Stock","🟢 OK"))</f>
        <v>🟢 OK</v>
      </c>
    </row>
    <row r="15" customFormat="false" ht="15" hidden="false" customHeight="true" outlineLevel="0" collapsed="false">
      <c r="A15" s="1" t="str">
        <f aca="false">Job_Master!A16</f>
        <v>BJ-112</v>
      </c>
      <c r="B15" s="1" t="n">
        <f aca="false">Job_Master!B16</f>
        <v>17</v>
      </c>
      <c r="C15" s="1" t="str">
        <f aca="false">Job_Master!C16</f>
        <v>2P</v>
      </c>
      <c r="D15" s="1" t="n">
        <f aca="false">Job_Master!D16</f>
        <v>2</v>
      </c>
      <c r="E15" s="1" t="s">
        <v>337</v>
      </c>
      <c r="F15" s="1" t="n">
        <v>19</v>
      </c>
      <c r="G15" s="1" t="n">
        <f aca="false">Job_Master!D16</f>
        <v>2</v>
      </c>
      <c r="H15" s="1" t="n">
        <f aca="false">F15-G15</f>
        <v>17</v>
      </c>
      <c r="I15" s="1" t="str">
        <f aca="false">IF(F15&lt;=0,"🔴 Out of Stock",IF(F15&lt;G15,"🟡 Low Stock","🟢 OK"))</f>
        <v>🟢 OK</v>
      </c>
    </row>
    <row r="16" customFormat="false" ht="15" hidden="false" customHeight="true" outlineLevel="0" collapsed="false">
      <c r="A16" s="1" t="str">
        <f aca="false">Job_Master!A17</f>
        <v>BJ-114</v>
      </c>
      <c r="B16" s="1" t="n">
        <f aca="false">Job_Master!B17</f>
        <v>50</v>
      </c>
      <c r="C16" s="1" t="str">
        <f aca="false">Job_Master!C17</f>
        <v>SEG</v>
      </c>
      <c r="D16" s="1" t="n">
        <f aca="false">Job_Master!D17</f>
        <v>6</v>
      </c>
      <c r="E16" s="1" t="s">
        <v>335</v>
      </c>
      <c r="F16" s="1" t="n">
        <v>24</v>
      </c>
      <c r="G16" s="1" t="n">
        <f aca="false">Job_Master!D17</f>
        <v>6</v>
      </c>
      <c r="H16" s="1" t="n">
        <f aca="false">F16-G16</f>
        <v>18</v>
      </c>
      <c r="I16" s="1" t="str">
        <f aca="false">IF(F16&lt;=0,"🔴 Out of Stock",IF(F16&lt;G16,"🟡 Low Stock","🟢 OK"))</f>
        <v>🟢 OK</v>
      </c>
    </row>
    <row r="17" customFormat="false" ht="15" hidden="false" customHeight="true" outlineLevel="0" collapsed="false">
      <c r="A17" s="1" t="str">
        <f aca="false">Job_Master!A18</f>
        <v>BJ-115</v>
      </c>
      <c r="B17" s="1" t="n">
        <f aca="false">Job_Master!B18</f>
        <v>46</v>
      </c>
      <c r="C17" s="1" t="str">
        <f aca="false">Job_Master!C18</f>
        <v>2P</v>
      </c>
      <c r="D17" s="1" t="n">
        <f aca="false">Job_Master!D18</f>
        <v>2</v>
      </c>
      <c r="E17" s="1" t="s">
        <v>335</v>
      </c>
      <c r="F17" s="1" t="n">
        <v>24</v>
      </c>
      <c r="G17" s="1" t="n">
        <f aca="false">Job_Master!D18</f>
        <v>2</v>
      </c>
      <c r="H17" s="1" t="n">
        <f aca="false">F17-G17</f>
        <v>22</v>
      </c>
      <c r="I17" s="1" t="str">
        <f aca="false">IF(F17&lt;=0,"🔴 Out of Stock",IF(F17&lt;G17,"🟡 Low Stock","🟢 OK"))</f>
        <v>🟢 OK</v>
      </c>
    </row>
    <row r="18" customFormat="false" ht="15" hidden="false" customHeight="true" outlineLevel="0" collapsed="false">
      <c r="A18" s="1" t="str">
        <f aca="false">Job_Master!A19</f>
        <v>BJ-116</v>
      </c>
      <c r="B18" s="1" t="n">
        <f aca="false">Job_Master!B19</f>
        <v>54</v>
      </c>
      <c r="C18" s="1" t="str">
        <f aca="false">Job_Master!C19</f>
        <v>2P</v>
      </c>
      <c r="D18" s="1" t="n">
        <f aca="false">Job_Master!D19</f>
        <v>2</v>
      </c>
      <c r="E18" s="1" t="s">
        <v>338</v>
      </c>
      <c r="F18" s="1" t="n">
        <v>15</v>
      </c>
      <c r="G18" s="1" t="n">
        <f aca="false">Job_Master!D19</f>
        <v>2</v>
      </c>
      <c r="H18" s="1" t="n">
        <f aca="false">F18-G18</f>
        <v>13</v>
      </c>
      <c r="I18" s="1" t="str">
        <f aca="false">IF(F18&lt;=0,"🔴 Out of Stock",IF(F18&lt;G18,"🟡 Low Stock","🟢 OK"))</f>
        <v>🟢 OK</v>
      </c>
    </row>
    <row r="19" customFormat="false" ht="15" hidden="false" customHeight="true" outlineLevel="0" collapsed="false">
      <c r="A19" s="1" t="str">
        <f aca="false">Job_Master!A20</f>
        <v>BJ-118</v>
      </c>
      <c r="B19" s="1" t="n">
        <f aca="false">Job_Master!B20</f>
        <v>28</v>
      </c>
      <c r="C19" s="1" t="str">
        <f aca="false">Job_Master!C20</f>
        <v>SOL</v>
      </c>
      <c r="D19" s="1" t="n">
        <f aca="false">Job_Master!D20</f>
        <v>4</v>
      </c>
      <c r="E19" s="1" t="s">
        <v>336</v>
      </c>
      <c r="F19" s="1" t="n">
        <v>16</v>
      </c>
      <c r="G19" s="1" t="n">
        <f aca="false">Job_Master!D20</f>
        <v>4</v>
      </c>
      <c r="H19" s="1" t="n">
        <f aca="false">F19-G19</f>
        <v>12</v>
      </c>
      <c r="I19" s="1" t="str">
        <f aca="false">IF(F19&lt;=0,"🔴 Out of Stock",IF(F19&lt;G19,"🟡 Low Stock","🟢 OK"))</f>
        <v>🟢 OK</v>
      </c>
    </row>
    <row r="20" customFormat="false" ht="15" hidden="false" customHeight="true" outlineLevel="0" collapsed="false">
      <c r="A20" s="1" t="str">
        <f aca="false">Job_Master!A21</f>
        <v>BJ-119</v>
      </c>
      <c r="B20" s="1" t="n">
        <f aca="false">Job_Master!B21</f>
        <v>63</v>
      </c>
      <c r="C20" s="1" t="str">
        <f aca="false">Job_Master!C21</f>
        <v>SOL</v>
      </c>
      <c r="D20" s="1" t="n">
        <f aca="false">Job_Master!D21</f>
        <v>4</v>
      </c>
      <c r="E20" s="1" t="s">
        <v>338</v>
      </c>
      <c r="F20" s="1" t="n">
        <v>10</v>
      </c>
      <c r="G20" s="1" t="n">
        <f aca="false">Job_Master!D21</f>
        <v>4</v>
      </c>
      <c r="H20" s="1" t="n">
        <f aca="false">F20-G20</f>
        <v>6</v>
      </c>
      <c r="I20" s="1" t="str">
        <f aca="false">IF(F20&lt;=0,"🔴 Out of Stock",IF(F20&lt;G20,"🟡 Low Stock","🟢 OK"))</f>
        <v>🟢 OK</v>
      </c>
    </row>
    <row r="21" customFormat="false" ht="15" hidden="false" customHeight="true" outlineLevel="0" collapsed="false">
      <c r="A21" s="1" t="str">
        <f aca="false">Job_Master!A22</f>
        <v>BJ-120</v>
      </c>
      <c r="B21" s="1" t="n">
        <f aca="false">Job_Master!B22</f>
        <v>46</v>
      </c>
      <c r="C21" s="1" t="str">
        <f aca="false">Job_Master!C22</f>
        <v>2P</v>
      </c>
      <c r="D21" s="1" t="n">
        <f aca="false">Job_Master!D22</f>
        <v>2</v>
      </c>
      <c r="E21" s="1" t="s">
        <v>335</v>
      </c>
      <c r="F21" s="1" t="n">
        <v>7</v>
      </c>
      <c r="G21" s="1" t="n">
        <f aca="false">Job_Master!D22</f>
        <v>2</v>
      </c>
      <c r="H21" s="1" t="n">
        <f aca="false">F21-G21</f>
        <v>5</v>
      </c>
      <c r="I21" s="1" t="str">
        <f aca="false">IF(F21&lt;=0,"🔴 Out of Stock",IF(F21&lt;G21,"🟡 Low Stock","🟢 OK"))</f>
        <v>🟢 OK</v>
      </c>
    </row>
    <row r="22" customFormat="false" ht="15" hidden="false" customHeight="true" outlineLevel="0" collapsed="false">
      <c r="A22" s="1" t="str">
        <f aca="false">Job_Master!A23</f>
        <v>BJ-113</v>
      </c>
      <c r="B22" s="1" t="n">
        <f aca="false">Job_Master!B23</f>
        <v>9</v>
      </c>
      <c r="C22" s="1" t="str">
        <f aca="false">Job_Master!C23</f>
        <v>SEG</v>
      </c>
      <c r="D22" s="1" t="n">
        <f aca="false">Job_Master!D23</f>
        <v>6</v>
      </c>
      <c r="E22" s="1" t="s">
        <v>339</v>
      </c>
      <c r="F22" s="1" t="n">
        <v>15</v>
      </c>
      <c r="G22" s="1" t="n">
        <f aca="false">Job_Master!D23</f>
        <v>6</v>
      </c>
      <c r="H22" s="1" t="n">
        <f aca="false">F22-G22</f>
        <v>9</v>
      </c>
      <c r="I22" s="1" t="str">
        <f aca="false">IF(F22&lt;=0,"🔴 Out of Stock",IF(F22&lt;G22,"🟡 Low Stock","🟢 OK"))</f>
        <v>🟢 OK</v>
      </c>
    </row>
    <row r="23" customFormat="false" ht="15" hidden="false" customHeight="true" outlineLevel="0" collapsed="false">
      <c r="A23" s="1" t="str">
        <f aca="false">Job_Master!A24</f>
        <v>BJ-121</v>
      </c>
      <c r="B23" s="1" t="n">
        <f aca="false">Job_Master!B24</f>
        <v>57</v>
      </c>
      <c r="C23" s="1" t="str">
        <f aca="false">Job_Master!C24</f>
        <v>RW</v>
      </c>
      <c r="D23" s="1" t="n">
        <f aca="false">Job_Master!D24</f>
        <v>2</v>
      </c>
      <c r="E23" s="1" t="s">
        <v>338</v>
      </c>
      <c r="F23" s="1" t="n">
        <v>10</v>
      </c>
      <c r="G23" s="1" t="n">
        <f aca="false">Job_Master!D24</f>
        <v>2</v>
      </c>
      <c r="H23" s="1" t="n">
        <f aca="false">F23-G23</f>
        <v>8</v>
      </c>
      <c r="I23" s="1" t="str">
        <f aca="false">IF(F23&lt;=0,"🔴 Out of Stock",IF(F23&lt;G23,"🟡 Low Stock","🟢 OK"))</f>
        <v>🟢 OK</v>
      </c>
    </row>
    <row r="24" customFormat="false" ht="15" hidden="false" customHeight="true" outlineLevel="0" collapsed="false">
      <c r="A24" s="1" t="str">
        <f aca="false">Job_Master!A25</f>
        <v>BJ-123</v>
      </c>
      <c r="B24" s="1" t="n">
        <f aca="false">Job_Master!B25</f>
        <v>46</v>
      </c>
      <c r="C24" s="1" t="str">
        <f aca="false">Job_Master!C25</f>
        <v>RW</v>
      </c>
      <c r="D24" s="1" t="n">
        <f aca="false">Job_Master!D25</f>
        <v>2</v>
      </c>
      <c r="E24" s="1" t="s">
        <v>335</v>
      </c>
      <c r="F24" s="1" t="n">
        <v>8</v>
      </c>
      <c r="G24" s="1" t="n">
        <f aca="false">Job_Master!D25</f>
        <v>2</v>
      </c>
      <c r="H24" s="1" t="n">
        <f aca="false">F24-G24</f>
        <v>6</v>
      </c>
      <c r="I24" s="1" t="str">
        <f aca="false">IF(F24&lt;=0,"🔴 Out of Stock",IF(F24&lt;G24,"🟡 Low Stock","🟢 OK"))</f>
        <v>🟢 OK</v>
      </c>
    </row>
    <row r="25" customFormat="false" ht="15" hidden="false" customHeight="true" outlineLevel="0" collapsed="false">
      <c r="A25" s="1" t="str">
        <f aca="false">Job_Master!A26</f>
        <v>BJ-117</v>
      </c>
      <c r="B25" s="1" t="n">
        <f aca="false">Job_Master!B26</f>
        <v>15</v>
      </c>
      <c r="C25" s="1" t="str">
        <f aca="false">Job_Master!C26</f>
        <v>RW</v>
      </c>
      <c r="D25" s="1" t="n">
        <f aca="false">Job_Master!D26</f>
        <v>2</v>
      </c>
      <c r="E25" s="1" t="s">
        <v>339</v>
      </c>
      <c r="F25" s="1" t="n">
        <v>5</v>
      </c>
      <c r="G25" s="1" t="n">
        <f aca="false">Job_Master!D26</f>
        <v>2</v>
      </c>
      <c r="H25" s="1" t="n">
        <f aca="false">F25-G25</f>
        <v>3</v>
      </c>
      <c r="I25" s="1" t="str">
        <f aca="false">IF(F25&lt;=0,"🔴 Out of Stock",IF(F25&lt;G25,"🟡 Low Stock","🟢 OK"))</f>
        <v>🟢 OK</v>
      </c>
    </row>
    <row r="26" customFormat="false" ht="15" hidden="false" customHeight="true" outlineLevel="0" collapsed="false">
      <c r="A26" s="1" t="str">
        <f aca="false">Job_Master!A27</f>
        <v>BJ-122</v>
      </c>
      <c r="B26" s="1" t="n">
        <f aca="false">Job_Master!B27</f>
        <v>54</v>
      </c>
      <c r="C26" s="1" t="str">
        <f aca="false">Job_Master!C27</f>
        <v>SOL</v>
      </c>
      <c r="D26" s="1" t="n">
        <f aca="false">Job_Master!D27</f>
        <v>4</v>
      </c>
      <c r="E26" s="1" t="s">
        <v>338</v>
      </c>
      <c r="F26" s="1" t="n">
        <v>14</v>
      </c>
      <c r="G26" s="1" t="n">
        <f aca="false">Job_Master!D27</f>
        <v>4</v>
      </c>
      <c r="H26" s="1" t="n">
        <f aca="false">F26-G26</f>
        <v>10</v>
      </c>
      <c r="I26" s="1" t="str">
        <f aca="false">IF(F26&lt;=0,"🔴 Out of Stock",IF(F26&lt;G26,"🟡 Low Stock","🟢 OK"))</f>
        <v>🟢 OK</v>
      </c>
    </row>
    <row r="27" customFormat="false" ht="15" hidden="false" customHeight="true" outlineLevel="0" collapsed="false">
      <c r="A27" s="1" t="str">
        <f aca="false">Job_Master!A28</f>
        <v>BJ-124</v>
      </c>
      <c r="B27" s="1" t="n">
        <f aca="false">Job_Master!B28</f>
        <v>42</v>
      </c>
      <c r="C27" s="1" t="str">
        <f aca="false">Job_Master!C28</f>
        <v>2P</v>
      </c>
      <c r="D27" s="1" t="n">
        <f aca="false">Job_Master!D28</f>
        <v>2</v>
      </c>
      <c r="E27" s="1" t="s">
        <v>335</v>
      </c>
      <c r="F27" s="1" t="n">
        <v>13</v>
      </c>
      <c r="G27" s="1" t="n">
        <f aca="false">Job_Master!D28</f>
        <v>2</v>
      </c>
      <c r="H27" s="1" t="n">
        <f aca="false">F27-G27</f>
        <v>11</v>
      </c>
      <c r="I27" s="1" t="str">
        <f aca="false">IF(F27&lt;=0,"🔴 Out of Stock",IF(F27&lt;G27,"🟡 Low Stock","🟢 OK"))</f>
        <v>🟢 OK</v>
      </c>
    </row>
    <row r="28" customFormat="false" ht="15" hidden="false" customHeight="true" outlineLevel="0" collapsed="false">
      <c r="A28" s="1" t="str">
        <f aca="false">Job_Master!A29</f>
        <v>BJ-126</v>
      </c>
      <c r="B28" s="1" t="n">
        <f aca="false">Job_Master!B29</f>
        <v>42</v>
      </c>
      <c r="C28" s="1" t="str">
        <f aca="false">Job_Master!C29</f>
        <v>2P</v>
      </c>
      <c r="D28" s="1" t="n">
        <f aca="false">Job_Master!D29</f>
        <v>2</v>
      </c>
      <c r="E28" s="1" t="s">
        <v>335</v>
      </c>
      <c r="F28" s="1" t="n">
        <v>21</v>
      </c>
      <c r="G28" s="1" t="n">
        <f aca="false">Job_Master!D29</f>
        <v>2</v>
      </c>
      <c r="H28" s="1" t="n">
        <f aca="false">F28-G28</f>
        <v>19</v>
      </c>
      <c r="I28" s="1" t="str">
        <f aca="false">IF(F28&lt;=0,"🔴 Out of Stock",IF(F28&lt;G28,"🟡 Low Stock","🟢 OK"))</f>
        <v>🟢 OK</v>
      </c>
    </row>
    <row r="29" customFormat="false" ht="15" hidden="false" customHeight="true" outlineLevel="0" collapsed="false">
      <c r="A29" s="1" t="str">
        <f aca="false">Job_Master!A30</f>
        <v>BJ-127</v>
      </c>
      <c r="B29" s="1" t="n">
        <f aca="false">Job_Master!B30</f>
        <v>15</v>
      </c>
      <c r="C29" s="1" t="str">
        <f aca="false">Job_Master!C30</f>
        <v>RW</v>
      </c>
      <c r="D29" s="1" t="n">
        <f aca="false">Job_Master!D30</f>
        <v>2</v>
      </c>
      <c r="E29" s="1" t="s">
        <v>339</v>
      </c>
      <c r="F29" s="1" t="n">
        <v>3</v>
      </c>
      <c r="G29" s="1" t="n">
        <f aca="false">Job_Master!D30</f>
        <v>2</v>
      </c>
      <c r="H29" s="1" t="n">
        <f aca="false">F29-G29</f>
        <v>1</v>
      </c>
      <c r="I29" s="1" t="str">
        <f aca="false">IF(F29&lt;=0,"🔴 Out of Stock",IF(F29&lt;G29,"🟡 Low Stock","🟢 OK"))</f>
        <v>🟢 OK</v>
      </c>
    </row>
    <row r="30" customFormat="false" ht="15" hidden="false" customHeight="true" outlineLevel="0" collapsed="false">
      <c r="A30" s="1" t="str">
        <f aca="false">Job_Master!A31</f>
        <v>BJ-128</v>
      </c>
      <c r="B30" s="1" t="n">
        <f aca="false">Job_Master!B31</f>
        <v>46</v>
      </c>
      <c r="C30" s="1" t="str">
        <f aca="false">Job_Master!C31</f>
        <v>2P</v>
      </c>
      <c r="D30" s="1" t="n">
        <f aca="false">Job_Master!D31</f>
        <v>2</v>
      </c>
      <c r="E30" s="1" t="s">
        <v>335</v>
      </c>
      <c r="F30" s="1" t="n">
        <v>16</v>
      </c>
      <c r="G30" s="1" t="n">
        <f aca="false">Job_Master!D31</f>
        <v>2</v>
      </c>
      <c r="H30" s="1" t="n">
        <f aca="false">F30-G30</f>
        <v>14</v>
      </c>
      <c r="I30" s="1" t="str">
        <f aca="false">IF(F30&lt;=0,"🔴 Out of Stock",IF(F30&lt;G30,"🟡 Low Stock","🟢 OK"))</f>
        <v>🟢 OK</v>
      </c>
    </row>
    <row r="31" customFormat="false" ht="15" hidden="false" customHeight="true" outlineLevel="0" collapsed="false">
      <c r="A31" s="1" t="str">
        <f aca="false">Job_Master!A32</f>
        <v>BJ-125</v>
      </c>
      <c r="B31" s="1" t="n">
        <f aca="false">Job_Master!B32</f>
        <v>25</v>
      </c>
      <c r="C31" s="1" t="str">
        <f aca="false">Job_Master!C32</f>
        <v>SEG</v>
      </c>
      <c r="D31" s="1" t="n">
        <f aca="false">Job_Master!D32</f>
        <v>6</v>
      </c>
      <c r="E31" s="1" t="s">
        <v>336</v>
      </c>
      <c r="F31" s="1" t="n">
        <v>5</v>
      </c>
      <c r="G31" s="1" t="n">
        <f aca="false">Job_Master!D32</f>
        <v>6</v>
      </c>
      <c r="H31" s="1" t="n">
        <f aca="false">F31-G31</f>
        <v>-1</v>
      </c>
      <c r="I31" s="1" t="str">
        <f aca="false">IF(F31&lt;=0,"🔴 Out of Stock",IF(F31&lt;G31,"🟡 Low Stock","🟢 OK"))</f>
        <v>🟡 Low Stock</v>
      </c>
    </row>
    <row r="32" customFormat="false" ht="15" hidden="false" customHeight="true" outlineLevel="0" collapsed="false">
      <c r="A32" s="1" t="str">
        <f aca="false">Job_Master!A33</f>
        <v>BJ-129</v>
      </c>
      <c r="B32" s="1" t="n">
        <f aca="false">Job_Master!B33</f>
        <v>9</v>
      </c>
      <c r="C32" s="1" t="str">
        <f aca="false">Job_Master!C33</f>
        <v>RW</v>
      </c>
      <c r="D32" s="1" t="n">
        <f aca="false">Job_Master!D33</f>
        <v>2</v>
      </c>
      <c r="E32" s="1" t="s">
        <v>339</v>
      </c>
      <c r="F32" s="1" t="n">
        <v>4</v>
      </c>
      <c r="G32" s="1" t="n">
        <f aca="false">Job_Master!D33</f>
        <v>2</v>
      </c>
      <c r="H32" s="1" t="n">
        <f aca="false">F32-G32</f>
        <v>2</v>
      </c>
      <c r="I32" s="1" t="str">
        <f aca="false">IF(F32&lt;=0,"🔴 Out of Stock",IF(F32&lt;G32,"🟡 Low Stock","🟢 OK"))</f>
        <v>🟢 OK</v>
      </c>
    </row>
    <row r="33" customFormat="false" ht="15" hidden="false" customHeight="true" outlineLevel="0" collapsed="false">
      <c r="A33" s="1" t="str">
        <f aca="false">Job_Master!A34</f>
        <v>BJ-130</v>
      </c>
      <c r="B33" s="1" t="n">
        <f aca="false">Job_Master!B34</f>
        <v>57</v>
      </c>
      <c r="C33" s="1" t="str">
        <f aca="false">Job_Master!C34</f>
        <v>RW</v>
      </c>
      <c r="D33" s="1" t="n">
        <f aca="false">Job_Master!D34</f>
        <v>2</v>
      </c>
      <c r="E33" s="1" t="s">
        <v>338</v>
      </c>
      <c r="F33" s="1" t="n">
        <v>11</v>
      </c>
      <c r="G33" s="1" t="n">
        <f aca="false">Job_Master!D34</f>
        <v>2</v>
      </c>
      <c r="H33" s="1" t="n">
        <f aca="false">F33-G33</f>
        <v>9</v>
      </c>
      <c r="I33" s="1" t="str">
        <f aca="false">IF(F33&lt;=0,"🔴 Out of Stock",IF(F33&lt;G33,"🟡 Low Stock","🟢 OK"))</f>
        <v>🟢 OK</v>
      </c>
    </row>
    <row r="34" customFormat="false" ht="15" hidden="false" customHeight="true" outlineLevel="0" collapsed="false">
      <c r="A34" s="1" t="str">
        <f aca="false">Job_Master!A35</f>
        <v>BJ-133</v>
      </c>
      <c r="B34" s="1" t="n">
        <f aca="false">Job_Master!B35</f>
        <v>25</v>
      </c>
      <c r="C34" s="1" t="str">
        <f aca="false">Job_Master!C35</f>
        <v>RW</v>
      </c>
      <c r="D34" s="1" t="n">
        <f aca="false">Job_Master!D35</f>
        <v>2</v>
      </c>
      <c r="E34" s="1" t="s">
        <v>336</v>
      </c>
      <c r="F34" s="1" t="n">
        <v>21</v>
      </c>
      <c r="G34" s="1" t="n">
        <f aca="false">Job_Master!D35</f>
        <v>2</v>
      </c>
      <c r="H34" s="1" t="n">
        <f aca="false">F34-G34</f>
        <v>19</v>
      </c>
      <c r="I34" s="1" t="str">
        <f aca="false">IF(F34&lt;=0,"🔴 Out of Stock",IF(F34&lt;G34,"🟡 Low Stock","🟢 OK"))</f>
        <v>🟢 OK</v>
      </c>
    </row>
    <row r="35" customFormat="false" ht="15" hidden="false" customHeight="true" outlineLevel="0" collapsed="false">
      <c r="A35" s="1" t="str">
        <f aca="false">Job_Master!A36</f>
        <v>BJ-131</v>
      </c>
      <c r="B35" s="1" t="n">
        <f aca="false">Job_Master!B36</f>
        <v>70</v>
      </c>
      <c r="C35" s="1" t="str">
        <f aca="false">Job_Master!C36</f>
        <v>2P</v>
      </c>
      <c r="D35" s="1" t="n">
        <f aca="false">Job_Master!D36</f>
        <v>2</v>
      </c>
      <c r="E35" s="1" t="s">
        <v>338</v>
      </c>
      <c r="F35" s="1" t="n">
        <v>20</v>
      </c>
      <c r="G35" s="1" t="n">
        <f aca="false">Job_Master!D36</f>
        <v>2</v>
      </c>
      <c r="H35" s="1" t="n">
        <f aca="false">F35-G35</f>
        <v>18</v>
      </c>
      <c r="I35" s="1" t="str">
        <f aca="false">IF(F35&lt;=0,"🔴 Out of Stock",IF(F35&lt;G35,"🟡 Low Stock","🟢 OK"))</f>
        <v>🟢 OK</v>
      </c>
    </row>
    <row r="36" customFormat="false" ht="15" hidden="false" customHeight="true" outlineLevel="0" collapsed="false">
      <c r="A36" s="1" t="str">
        <f aca="false">Job_Master!A37</f>
        <v>BJ-134</v>
      </c>
      <c r="B36" s="1" t="n">
        <f aca="false">Job_Master!B37</f>
        <v>15</v>
      </c>
      <c r="C36" s="1" t="str">
        <f aca="false">Job_Master!C37</f>
        <v>RW</v>
      </c>
      <c r="D36" s="1" t="n">
        <f aca="false">Job_Master!D37</f>
        <v>2</v>
      </c>
      <c r="E36" s="1" t="s">
        <v>339</v>
      </c>
      <c r="F36" s="1" t="n">
        <v>24</v>
      </c>
      <c r="G36" s="1" t="n">
        <f aca="false">Job_Master!D37</f>
        <v>2</v>
      </c>
      <c r="H36" s="1" t="n">
        <f aca="false">F36-G36</f>
        <v>22</v>
      </c>
      <c r="I36" s="1" t="str">
        <f aca="false">IF(F36&lt;=0,"🔴 Out of Stock",IF(F36&lt;G36,"🟡 Low Stock","🟢 OK"))</f>
        <v>🟢 OK</v>
      </c>
    </row>
    <row r="37" customFormat="false" ht="15" hidden="false" customHeight="true" outlineLevel="0" collapsed="false">
      <c r="A37" s="1" t="str">
        <f aca="false">Job_Master!A38</f>
        <v>BJ-135</v>
      </c>
      <c r="B37" s="1" t="n">
        <f aca="false">Job_Master!B38</f>
        <v>28</v>
      </c>
      <c r="C37" s="1" t="str">
        <f aca="false">Job_Master!C38</f>
        <v>2P</v>
      </c>
      <c r="D37" s="1" t="n">
        <f aca="false">Job_Master!D38</f>
        <v>2</v>
      </c>
      <c r="E37" s="1" t="s">
        <v>336</v>
      </c>
      <c r="F37" s="1" t="n">
        <v>3</v>
      </c>
      <c r="G37" s="1" t="n">
        <f aca="false">Job_Master!D38</f>
        <v>2</v>
      </c>
      <c r="H37" s="1" t="n">
        <f aca="false">F37-G37</f>
        <v>1</v>
      </c>
      <c r="I37" s="1" t="str">
        <f aca="false">IF(F37&lt;=0,"🔴 Out of Stock",IF(F37&lt;G37,"🟡 Low Stock","🟢 OK"))</f>
        <v>🟢 OK</v>
      </c>
    </row>
    <row r="38" customFormat="false" ht="15" hidden="false" customHeight="true" outlineLevel="0" collapsed="false">
      <c r="A38" s="1" t="str">
        <f aca="false">Job_Master!A39</f>
        <v>BJ-132</v>
      </c>
      <c r="B38" s="1" t="n">
        <f aca="false">Job_Master!B39</f>
        <v>57</v>
      </c>
      <c r="C38" s="1" t="str">
        <f aca="false">Job_Master!C39</f>
        <v>SOL</v>
      </c>
      <c r="D38" s="1" t="n">
        <f aca="false">Job_Master!D39</f>
        <v>4</v>
      </c>
      <c r="E38" s="1" t="s">
        <v>338</v>
      </c>
      <c r="F38" s="1" t="n">
        <v>9</v>
      </c>
      <c r="G38" s="1" t="n">
        <f aca="false">Job_Master!D39</f>
        <v>4</v>
      </c>
      <c r="H38" s="1" t="n">
        <f aca="false">F38-G38</f>
        <v>5</v>
      </c>
      <c r="I38" s="1" t="str">
        <f aca="false">IF(F38&lt;=0,"🔴 Out of Stock",IF(F38&lt;G38,"🟡 Low Stock","🟢 OK"))</f>
        <v>🟢 OK</v>
      </c>
    </row>
    <row r="39" customFormat="false" ht="15" hidden="false" customHeight="true" outlineLevel="0" collapsed="false">
      <c r="A39" s="1" t="str">
        <f aca="false">Job_Master!A40</f>
        <v>BJ-136</v>
      </c>
      <c r="B39" s="1" t="n">
        <f aca="false">Job_Master!B40</f>
        <v>20</v>
      </c>
      <c r="C39" s="1" t="str">
        <f aca="false">Job_Master!C40</f>
        <v>RW</v>
      </c>
      <c r="D39" s="1" t="n">
        <f aca="false">Job_Master!D40</f>
        <v>2</v>
      </c>
      <c r="E39" s="1" t="s">
        <v>337</v>
      </c>
      <c r="F39" s="1" t="n">
        <v>4</v>
      </c>
      <c r="G39" s="1" t="n">
        <f aca="false">Job_Master!D40</f>
        <v>2</v>
      </c>
      <c r="H39" s="1" t="n">
        <f aca="false">F39-G39</f>
        <v>2</v>
      </c>
      <c r="I39" s="1" t="str">
        <f aca="false">IF(F39&lt;=0,"🔴 Out of Stock",IF(F39&lt;G39,"🟡 Low Stock","🟢 OK"))</f>
        <v>🟢 OK</v>
      </c>
    </row>
    <row r="40" customFormat="false" ht="15" hidden="false" customHeight="true" outlineLevel="0" collapsed="false">
      <c r="A40" s="1" t="str">
        <f aca="false">Job_Master!A41</f>
        <v>BJ-137</v>
      </c>
      <c r="B40" s="1" t="n">
        <f aca="false">Job_Master!B41</f>
        <v>34</v>
      </c>
      <c r="C40" s="1" t="str">
        <f aca="false">Job_Master!C41</f>
        <v>RW</v>
      </c>
      <c r="D40" s="1" t="n">
        <f aca="false">Job_Master!D41</f>
        <v>2</v>
      </c>
      <c r="E40" s="1" t="s">
        <v>335</v>
      </c>
      <c r="F40" s="1" t="n">
        <v>5</v>
      </c>
      <c r="G40" s="1" t="n">
        <f aca="false">Job_Master!D41</f>
        <v>2</v>
      </c>
      <c r="H40" s="1" t="n">
        <f aca="false">F40-G40</f>
        <v>3</v>
      </c>
      <c r="I40" s="1" t="str">
        <f aca="false">IF(F40&lt;=0,"🔴 Out of Stock",IF(F40&lt;G40,"🟡 Low Stock","🟢 OK"))</f>
        <v>🟢 OK</v>
      </c>
    </row>
    <row r="41" customFormat="false" ht="15" hidden="false" customHeight="true" outlineLevel="0" collapsed="false">
      <c r="A41" s="1" t="str">
        <f aca="false">Job_Master!A42</f>
        <v>BJ-140</v>
      </c>
      <c r="B41" s="1" t="n">
        <f aca="false">Job_Master!B42</f>
        <v>54</v>
      </c>
      <c r="C41" s="1" t="str">
        <f aca="false">Job_Master!C42</f>
        <v>RW</v>
      </c>
      <c r="D41" s="1" t="n">
        <f aca="false">Job_Master!D42</f>
        <v>2</v>
      </c>
      <c r="E41" s="1" t="s">
        <v>338</v>
      </c>
      <c r="F41" s="1" t="n">
        <v>10</v>
      </c>
      <c r="G41" s="1" t="n">
        <f aca="false">Job_Master!D42</f>
        <v>2</v>
      </c>
      <c r="H41" s="1" t="n">
        <f aca="false">F41-G41</f>
        <v>8</v>
      </c>
      <c r="I41" s="1" t="str">
        <f aca="false">IF(F41&lt;=0,"🔴 Out of Stock",IF(F41&lt;G41,"🟡 Low Stock","🟢 OK"))</f>
        <v>🟢 OK</v>
      </c>
    </row>
    <row r="42" customFormat="false" ht="15" hidden="false" customHeight="true" outlineLevel="0" collapsed="false">
      <c r="A42" s="1" t="str">
        <f aca="false">Job_Master!A43</f>
        <v>BJ-138</v>
      </c>
      <c r="B42" s="1" t="n">
        <f aca="false">Job_Master!B43</f>
        <v>9</v>
      </c>
      <c r="C42" s="1" t="str">
        <f aca="false">Job_Master!C43</f>
        <v>RW</v>
      </c>
      <c r="D42" s="1" t="n">
        <f aca="false">Job_Master!D43</f>
        <v>2</v>
      </c>
      <c r="E42" s="1" t="s">
        <v>339</v>
      </c>
      <c r="F42" s="1" t="n">
        <v>22</v>
      </c>
      <c r="G42" s="1" t="n">
        <f aca="false">Job_Master!D43</f>
        <v>2</v>
      </c>
      <c r="H42" s="1" t="n">
        <f aca="false">F42-G42</f>
        <v>20</v>
      </c>
      <c r="I42" s="1" t="str">
        <f aca="false">IF(F42&lt;=0,"🔴 Out of Stock",IF(F42&lt;G42,"🟡 Low Stock","🟢 OK"))</f>
        <v>🟢 OK</v>
      </c>
    </row>
    <row r="43" customFormat="false" ht="15" hidden="false" customHeight="true" outlineLevel="0" collapsed="false">
      <c r="A43" s="1" t="str">
        <f aca="false">Job_Master!A44</f>
        <v>BJ-144</v>
      </c>
      <c r="B43" s="1" t="n">
        <f aca="false">Job_Master!B44</f>
        <v>63</v>
      </c>
      <c r="C43" s="1" t="str">
        <f aca="false">Job_Master!C44</f>
        <v>RW</v>
      </c>
      <c r="D43" s="1" t="n">
        <f aca="false">Job_Master!D44</f>
        <v>2</v>
      </c>
      <c r="E43" s="1" t="s">
        <v>338</v>
      </c>
      <c r="F43" s="1" t="n">
        <v>7</v>
      </c>
      <c r="G43" s="1" t="n">
        <f aca="false">Job_Master!D44</f>
        <v>2</v>
      </c>
      <c r="H43" s="1" t="n">
        <f aca="false">F43-G43</f>
        <v>5</v>
      </c>
      <c r="I43" s="1" t="str">
        <f aca="false">IF(F43&lt;=0,"🔴 Out of Stock",IF(F43&lt;G43,"🟡 Low Stock","🟢 OK"))</f>
        <v>🟢 OK</v>
      </c>
    </row>
    <row r="44" customFormat="false" ht="15" hidden="false" customHeight="true" outlineLevel="0" collapsed="false">
      <c r="A44" s="1" t="str">
        <f aca="false">Job_Master!A45</f>
        <v>BJ-146</v>
      </c>
      <c r="B44" s="1" t="n">
        <f aca="false">Job_Master!B45</f>
        <v>20</v>
      </c>
      <c r="C44" s="1" t="str">
        <f aca="false">Job_Master!C45</f>
        <v>RW</v>
      </c>
      <c r="D44" s="1" t="n">
        <f aca="false">Job_Master!D45</f>
        <v>2</v>
      </c>
      <c r="E44" s="1" t="s">
        <v>337</v>
      </c>
      <c r="F44" s="1" t="n">
        <v>13</v>
      </c>
      <c r="G44" s="1" t="n">
        <f aca="false">Job_Master!D45</f>
        <v>2</v>
      </c>
      <c r="H44" s="1" t="n">
        <f aca="false">F44-G44</f>
        <v>11</v>
      </c>
      <c r="I44" s="1" t="str">
        <f aca="false">IF(F44&lt;=0,"🔴 Out of Stock",IF(F44&lt;G44,"🟡 Low Stock","🟢 OK"))</f>
        <v>🟢 OK</v>
      </c>
    </row>
    <row r="45" customFormat="false" ht="15" hidden="false" customHeight="true" outlineLevel="0" collapsed="false">
      <c r="A45" s="1" t="str">
        <f aca="false">Job_Master!A46</f>
        <v>BJ-139</v>
      </c>
      <c r="B45" s="1" t="n">
        <f aca="false">Job_Master!B46</f>
        <v>15</v>
      </c>
      <c r="C45" s="1" t="str">
        <f aca="false">Job_Master!C46</f>
        <v>RW</v>
      </c>
      <c r="D45" s="1" t="n">
        <f aca="false">Job_Master!D46</f>
        <v>2</v>
      </c>
      <c r="E45" s="1" t="s">
        <v>339</v>
      </c>
      <c r="F45" s="1" t="n">
        <v>23</v>
      </c>
      <c r="G45" s="1" t="n">
        <f aca="false">Job_Master!D46</f>
        <v>2</v>
      </c>
      <c r="H45" s="1" t="n">
        <f aca="false">F45-G45</f>
        <v>21</v>
      </c>
      <c r="I45" s="1" t="str">
        <f aca="false">IF(F45&lt;=0,"🔴 Out of Stock",IF(F45&lt;G45,"🟡 Low Stock","🟢 OK"))</f>
        <v>🟢 OK</v>
      </c>
    </row>
    <row r="46" customFormat="false" ht="15" hidden="false" customHeight="true" outlineLevel="0" collapsed="false">
      <c r="A46" s="1" t="str">
        <f aca="false">Job_Master!A47</f>
        <v>BJ-141</v>
      </c>
      <c r="B46" s="1" t="n">
        <f aca="false">Job_Master!B47</f>
        <v>50</v>
      </c>
      <c r="C46" s="1" t="str">
        <f aca="false">Job_Master!C47</f>
        <v>SOL</v>
      </c>
      <c r="D46" s="1" t="n">
        <f aca="false">Job_Master!D47</f>
        <v>4</v>
      </c>
      <c r="E46" s="1" t="s">
        <v>335</v>
      </c>
      <c r="F46" s="1" t="n">
        <v>24</v>
      </c>
      <c r="G46" s="1" t="n">
        <f aca="false">Job_Master!D47</f>
        <v>4</v>
      </c>
      <c r="H46" s="1" t="n">
        <f aca="false">F46-G46</f>
        <v>20</v>
      </c>
      <c r="I46" s="1" t="str">
        <f aca="false">IF(F46&lt;=0,"🔴 Out of Stock",IF(F46&lt;G46,"🟡 Low Stock","🟢 OK"))</f>
        <v>🟢 OK</v>
      </c>
    </row>
    <row r="47" customFormat="false" ht="15" hidden="false" customHeight="true" outlineLevel="0" collapsed="false">
      <c r="A47" s="1" t="str">
        <f aca="false">Job_Master!A48</f>
        <v>BJ-142</v>
      </c>
      <c r="B47" s="1" t="n">
        <f aca="false">Job_Master!B48</f>
        <v>9</v>
      </c>
      <c r="C47" s="1" t="str">
        <f aca="false">Job_Master!C48</f>
        <v>RW</v>
      </c>
      <c r="D47" s="1" t="n">
        <f aca="false">Job_Master!D48</f>
        <v>2</v>
      </c>
      <c r="E47" s="1" t="s">
        <v>339</v>
      </c>
      <c r="F47" s="1" t="n">
        <v>22</v>
      </c>
      <c r="G47" s="1" t="n">
        <f aca="false">Job_Master!D48</f>
        <v>2</v>
      </c>
      <c r="H47" s="1" t="n">
        <f aca="false">F47-G47</f>
        <v>20</v>
      </c>
      <c r="I47" s="1" t="str">
        <f aca="false">IF(F47&lt;=0,"🔴 Out of Stock",IF(F47&lt;G47,"🟡 Low Stock","🟢 OK"))</f>
        <v>🟢 OK</v>
      </c>
    </row>
    <row r="48" customFormat="false" ht="15" hidden="false" customHeight="true" outlineLevel="0" collapsed="false">
      <c r="A48" s="1" t="str">
        <f aca="false">Job_Master!A49</f>
        <v>BJ-147</v>
      </c>
      <c r="B48" s="1" t="n">
        <f aca="false">Job_Master!B49</f>
        <v>34</v>
      </c>
      <c r="C48" s="1" t="str">
        <f aca="false">Job_Master!C49</f>
        <v>SOL</v>
      </c>
      <c r="D48" s="1" t="n">
        <f aca="false">Job_Master!D49</f>
        <v>4</v>
      </c>
      <c r="E48" s="1" t="s">
        <v>335</v>
      </c>
      <c r="F48" s="1" t="n">
        <v>21</v>
      </c>
      <c r="G48" s="1" t="n">
        <f aca="false">Job_Master!D49</f>
        <v>4</v>
      </c>
      <c r="H48" s="1" t="n">
        <f aca="false">F48-G48</f>
        <v>17</v>
      </c>
      <c r="I48" s="1" t="str">
        <f aca="false">IF(F48&lt;=0,"🔴 Out of Stock",IF(F48&lt;G48,"🟡 Low Stock","🟢 OK"))</f>
        <v>🟢 OK</v>
      </c>
    </row>
    <row r="49" customFormat="false" ht="15" hidden="false" customHeight="true" outlineLevel="0" collapsed="false">
      <c r="A49" s="1" t="str">
        <f aca="false">Job_Master!A50</f>
        <v>BJ-150</v>
      </c>
      <c r="B49" s="1" t="n">
        <f aca="false">Job_Master!B50</f>
        <v>34</v>
      </c>
      <c r="C49" s="1" t="str">
        <f aca="false">Job_Master!C50</f>
        <v>SOL</v>
      </c>
      <c r="D49" s="1" t="n">
        <f aca="false">Job_Master!D50</f>
        <v>4</v>
      </c>
      <c r="E49" s="1" t="s">
        <v>335</v>
      </c>
      <c r="F49" s="1" t="n">
        <v>7</v>
      </c>
      <c r="G49" s="1" t="n">
        <f aca="false">Job_Master!D50</f>
        <v>4</v>
      </c>
      <c r="H49" s="1" t="n">
        <f aca="false">F49-G49</f>
        <v>3</v>
      </c>
      <c r="I49" s="1" t="str">
        <f aca="false">IF(F49&lt;=0,"🔴 Out of Stock",IF(F49&lt;G49,"🟡 Low Stock","🟢 OK"))</f>
        <v>🟢 OK</v>
      </c>
    </row>
    <row r="50" customFormat="false" ht="15" hidden="false" customHeight="true" outlineLevel="0" collapsed="false">
      <c r="A50" s="1" t="str">
        <f aca="false">Job_Master!A51</f>
        <v>BJ-151</v>
      </c>
      <c r="B50" s="1" t="n">
        <f aca="false">Job_Master!B51</f>
        <v>25</v>
      </c>
      <c r="C50" s="1" t="str">
        <f aca="false">Job_Master!C51</f>
        <v>SOL</v>
      </c>
      <c r="D50" s="1" t="n">
        <f aca="false">Job_Master!D51</f>
        <v>4</v>
      </c>
      <c r="E50" s="1" t="s">
        <v>336</v>
      </c>
      <c r="F50" s="1" t="n">
        <v>25</v>
      </c>
      <c r="G50" s="1" t="n">
        <f aca="false">Job_Master!D51</f>
        <v>4</v>
      </c>
      <c r="H50" s="1" t="n">
        <f aca="false">F50-G50</f>
        <v>21</v>
      </c>
      <c r="I50" s="1" t="str">
        <f aca="false">IF(F50&lt;=0,"🔴 Out of Stock",IF(F50&lt;G50,"🟡 Low Stock","🟢 OK"))</f>
        <v>🟢 OK</v>
      </c>
    </row>
    <row r="51" customFormat="false" ht="15" hidden="false" customHeight="true" outlineLevel="0" collapsed="false">
      <c r="A51" s="1" t="str">
        <f aca="false">Job_Master!A52</f>
        <v>BJ-152</v>
      </c>
      <c r="B51" s="1" t="n">
        <f aca="false">Job_Master!B52</f>
        <v>34</v>
      </c>
      <c r="C51" s="1" t="str">
        <f aca="false">Job_Master!C52</f>
        <v>2P</v>
      </c>
      <c r="D51" s="1" t="n">
        <f aca="false">Job_Master!D52</f>
        <v>2</v>
      </c>
      <c r="E51" s="1" t="s">
        <v>335</v>
      </c>
      <c r="F51" s="1" t="n">
        <v>7</v>
      </c>
      <c r="G51" s="1" t="n">
        <f aca="false">Job_Master!D52</f>
        <v>2</v>
      </c>
      <c r="H51" s="1" t="n">
        <f aca="false">F51-G51</f>
        <v>5</v>
      </c>
      <c r="I51" s="1" t="str">
        <f aca="false">IF(F51&lt;=0,"🔴 Out of Stock",IF(F51&lt;G51,"🟡 Low Stock","🟢 OK"))</f>
        <v>🟢 OK</v>
      </c>
    </row>
    <row r="52" customFormat="false" ht="15" hidden="false" customHeight="true" outlineLevel="0" collapsed="false">
      <c r="A52" s="1" t="str">
        <f aca="false">Job_Master!A53</f>
        <v>BJ-143</v>
      </c>
      <c r="B52" s="1" t="n">
        <f aca="false">Job_Master!B53</f>
        <v>17</v>
      </c>
      <c r="C52" s="1" t="str">
        <f aca="false">Job_Master!C53</f>
        <v>SOL</v>
      </c>
      <c r="D52" s="1" t="n">
        <f aca="false">Job_Master!D53</f>
        <v>4</v>
      </c>
      <c r="E52" s="1" t="s">
        <v>337</v>
      </c>
      <c r="F52" s="1" t="n">
        <v>14</v>
      </c>
      <c r="G52" s="1" t="n">
        <f aca="false">Job_Master!D53</f>
        <v>4</v>
      </c>
      <c r="H52" s="1" t="n">
        <f aca="false">F52-G52</f>
        <v>10</v>
      </c>
      <c r="I52" s="1" t="str">
        <f aca="false">IF(F52&lt;=0,"🔴 Out of Stock",IF(F52&lt;G52,"🟡 Low Stock","🟢 OK"))</f>
        <v>🟢 OK</v>
      </c>
    </row>
    <row r="53" customFormat="false" ht="15" hidden="false" customHeight="true" outlineLevel="0" collapsed="false">
      <c r="A53" s="1" t="str">
        <f aca="false">Job_Master!A54</f>
        <v>BJ-154</v>
      </c>
      <c r="B53" s="1" t="n">
        <f aca="false">Job_Master!B54</f>
        <v>25</v>
      </c>
      <c r="C53" s="1" t="str">
        <f aca="false">Job_Master!C54</f>
        <v>RW</v>
      </c>
      <c r="D53" s="1" t="n">
        <f aca="false">Job_Master!D54</f>
        <v>2</v>
      </c>
      <c r="E53" s="1" t="s">
        <v>336</v>
      </c>
      <c r="F53" s="1" t="n">
        <v>22</v>
      </c>
      <c r="G53" s="1" t="n">
        <f aca="false">Job_Master!D54</f>
        <v>2</v>
      </c>
      <c r="H53" s="1" t="n">
        <f aca="false">F53-G53</f>
        <v>20</v>
      </c>
      <c r="I53" s="1" t="str">
        <f aca="false">IF(F53&lt;=0,"🔴 Out of Stock",IF(F53&lt;G53,"🟡 Low Stock","🟢 OK"))</f>
        <v>🟢 OK</v>
      </c>
    </row>
    <row r="54" customFormat="false" ht="15" hidden="false" customHeight="true" outlineLevel="0" collapsed="false">
      <c r="A54" s="1" t="str">
        <f aca="false">Job_Master!A55</f>
        <v>BJ-156</v>
      </c>
      <c r="B54" s="1" t="n">
        <f aca="false">Job_Master!B55</f>
        <v>25</v>
      </c>
      <c r="C54" s="1" t="str">
        <f aca="false">Job_Master!C55</f>
        <v>2P</v>
      </c>
      <c r="D54" s="1" t="n">
        <f aca="false">Job_Master!D55</f>
        <v>2</v>
      </c>
      <c r="E54" s="1" t="s">
        <v>336</v>
      </c>
      <c r="F54" s="1" t="n">
        <v>19</v>
      </c>
      <c r="G54" s="1" t="n">
        <f aca="false">Job_Master!D55</f>
        <v>2</v>
      </c>
      <c r="H54" s="1" t="n">
        <f aca="false">F54-G54</f>
        <v>17</v>
      </c>
      <c r="I54" s="1" t="str">
        <f aca="false">IF(F54&lt;=0,"🔴 Out of Stock",IF(F54&lt;G54,"🟡 Low Stock","🟢 OK"))</f>
        <v>🟢 OK</v>
      </c>
    </row>
    <row r="55" customFormat="false" ht="15" hidden="false" customHeight="true" outlineLevel="0" collapsed="false">
      <c r="A55" s="1" t="str">
        <f aca="false">Job_Master!A56</f>
        <v>BJ-145</v>
      </c>
      <c r="B55" s="1" t="n">
        <f aca="false">Job_Master!B56</f>
        <v>15</v>
      </c>
      <c r="C55" s="1" t="str">
        <f aca="false">Job_Master!C56</f>
        <v>2P</v>
      </c>
      <c r="D55" s="1" t="n">
        <f aca="false">Job_Master!D56</f>
        <v>2</v>
      </c>
      <c r="E55" s="1" t="s">
        <v>339</v>
      </c>
      <c r="F55" s="1" t="n">
        <v>23</v>
      </c>
      <c r="G55" s="1" t="n">
        <f aca="false">Job_Master!D56</f>
        <v>2</v>
      </c>
      <c r="H55" s="1" t="n">
        <f aca="false">F55-G55</f>
        <v>21</v>
      </c>
      <c r="I55" s="1" t="str">
        <f aca="false">IF(F55&lt;=0,"🔴 Out of Stock",IF(F55&lt;G55,"🟡 Low Stock","🟢 OK"))</f>
        <v>🟢 OK</v>
      </c>
    </row>
    <row r="56" customFormat="false" ht="15" hidden="false" customHeight="true" outlineLevel="0" collapsed="false">
      <c r="A56" s="1" t="str">
        <f aca="false">Job_Master!A57</f>
        <v>BJ-153</v>
      </c>
      <c r="B56" s="1" t="n">
        <f aca="false">Job_Master!B57</f>
        <v>34</v>
      </c>
      <c r="C56" s="1" t="str">
        <f aca="false">Job_Master!C57</f>
        <v>SEG</v>
      </c>
      <c r="D56" s="1" t="n">
        <f aca="false">Job_Master!D57</f>
        <v>6</v>
      </c>
      <c r="E56" s="1" t="s">
        <v>335</v>
      </c>
      <c r="F56" s="1" t="n">
        <v>3</v>
      </c>
      <c r="G56" s="1" t="n">
        <f aca="false">Job_Master!D57</f>
        <v>6</v>
      </c>
      <c r="H56" s="1" t="n">
        <f aca="false">F56-G56</f>
        <v>-3</v>
      </c>
      <c r="I56" s="1" t="str">
        <f aca="false">IF(F56&lt;=0,"🔴 Out of Stock",IF(F56&lt;G56,"🟡 Low Stock","🟢 OK"))</f>
        <v>🟡 Low Stock</v>
      </c>
    </row>
    <row r="57" customFormat="false" ht="15" hidden="false" customHeight="true" outlineLevel="0" collapsed="false">
      <c r="A57" s="1" t="str">
        <f aca="false">Job_Master!A58</f>
        <v>BJ-160</v>
      </c>
      <c r="B57" s="1" t="n">
        <f aca="false">Job_Master!B58</f>
        <v>34</v>
      </c>
      <c r="C57" s="1" t="str">
        <f aca="false">Job_Master!C58</f>
        <v>2P</v>
      </c>
      <c r="D57" s="1" t="n">
        <f aca="false">Job_Master!D58</f>
        <v>2</v>
      </c>
      <c r="E57" s="1" t="s">
        <v>335</v>
      </c>
      <c r="F57" s="1" t="n">
        <v>3</v>
      </c>
      <c r="G57" s="1" t="n">
        <f aca="false">Job_Master!D58</f>
        <v>2</v>
      </c>
      <c r="H57" s="1" t="n">
        <f aca="false">F57-G57</f>
        <v>1</v>
      </c>
      <c r="I57" s="1" t="str">
        <f aca="false">IF(F57&lt;=0,"🔴 Out of Stock",IF(F57&lt;G57,"🟡 Low Stock","🟢 OK"))</f>
        <v>🟢 OK</v>
      </c>
    </row>
    <row r="58" customFormat="false" ht="15" hidden="false" customHeight="true" outlineLevel="0" collapsed="false">
      <c r="A58" s="1" t="str">
        <f aca="false">Job_Master!A59</f>
        <v>BJ-158</v>
      </c>
      <c r="B58" s="1" t="n">
        <f aca="false">Job_Master!B59</f>
        <v>54</v>
      </c>
      <c r="C58" s="1" t="str">
        <f aca="false">Job_Master!C59</f>
        <v>2P</v>
      </c>
      <c r="D58" s="1" t="n">
        <f aca="false">Job_Master!D59</f>
        <v>2</v>
      </c>
      <c r="E58" s="1" t="s">
        <v>338</v>
      </c>
      <c r="F58" s="1" t="n">
        <v>14</v>
      </c>
      <c r="G58" s="1" t="n">
        <f aca="false">Job_Master!D59</f>
        <v>2</v>
      </c>
      <c r="H58" s="1" t="n">
        <f aca="false">F58-G58</f>
        <v>12</v>
      </c>
      <c r="I58" s="1" t="str">
        <f aca="false">IF(F58&lt;=0,"🔴 Out of Stock",IF(F58&lt;G58,"🟡 Low Stock","🟢 OK"))</f>
        <v>🟢 OK</v>
      </c>
    </row>
    <row r="59" customFormat="false" ht="15" hidden="false" customHeight="true" outlineLevel="0" collapsed="false">
      <c r="A59" s="1" t="str">
        <f aca="false">Job_Master!A60</f>
        <v>BJ-157</v>
      </c>
      <c r="B59" s="1" t="n">
        <f aca="false">Job_Master!B60</f>
        <v>50</v>
      </c>
      <c r="C59" s="1" t="str">
        <f aca="false">Job_Master!C60</f>
        <v>SEG</v>
      </c>
      <c r="D59" s="1" t="n">
        <f aca="false">Job_Master!D60</f>
        <v>6</v>
      </c>
      <c r="E59" s="1" t="s">
        <v>335</v>
      </c>
      <c r="F59" s="1" t="n">
        <v>4</v>
      </c>
      <c r="G59" s="1" t="n">
        <f aca="false">Job_Master!D60</f>
        <v>6</v>
      </c>
      <c r="H59" s="1" t="n">
        <f aca="false">F59-G59</f>
        <v>-2</v>
      </c>
      <c r="I59" s="1" t="str">
        <f aca="false">IF(F59&lt;=0,"🔴 Out of Stock",IF(F59&lt;G59,"🟡 Low Stock","🟢 OK"))</f>
        <v>🟡 Low Stock</v>
      </c>
    </row>
    <row r="60" customFormat="false" ht="15" hidden="false" customHeight="true" outlineLevel="0" collapsed="false">
      <c r="A60" s="1" t="str">
        <f aca="false">Job_Master!A61</f>
        <v>BJ-159</v>
      </c>
      <c r="B60" s="1" t="n">
        <f aca="false">Job_Master!B61</f>
        <v>54</v>
      </c>
      <c r="C60" s="1" t="str">
        <f aca="false">Job_Master!C61</f>
        <v>RW</v>
      </c>
      <c r="D60" s="1" t="n">
        <f aca="false">Job_Master!D61</f>
        <v>2</v>
      </c>
      <c r="E60" s="1" t="s">
        <v>338</v>
      </c>
      <c r="F60" s="1" t="n">
        <v>20</v>
      </c>
      <c r="G60" s="1" t="n">
        <f aca="false">Job_Master!D61</f>
        <v>2</v>
      </c>
      <c r="H60" s="1" t="n">
        <f aca="false">F60-G60</f>
        <v>18</v>
      </c>
      <c r="I60" s="1" t="str">
        <f aca="false">IF(F60&lt;=0,"🔴 Out of Stock",IF(F60&lt;G60,"🟡 Low Stock","🟢 OK"))</f>
        <v>🟢 OK</v>
      </c>
    </row>
    <row r="61" customFormat="false" ht="15" hidden="false" customHeight="true" outlineLevel="0" collapsed="false">
      <c r="A61" s="1" t="str">
        <f aca="false">Job_Master!A62</f>
        <v>BJ-148</v>
      </c>
      <c r="B61" s="1" t="n">
        <f aca="false">Job_Master!B62</f>
        <v>9</v>
      </c>
      <c r="C61" s="1" t="str">
        <f aca="false">Job_Master!C62</f>
        <v>SEG</v>
      </c>
      <c r="D61" s="1" t="n">
        <f aca="false">Job_Master!D62</f>
        <v>6</v>
      </c>
      <c r="E61" s="1" t="s">
        <v>339</v>
      </c>
      <c r="F61" s="1" t="n">
        <v>12</v>
      </c>
      <c r="G61" s="1" t="n">
        <f aca="false">Job_Master!D62</f>
        <v>6</v>
      </c>
      <c r="H61" s="1" t="n">
        <f aca="false">F61-G61</f>
        <v>6</v>
      </c>
      <c r="I61" s="1" t="str">
        <f aca="false">IF(F61&lt;=0,"🔴 Out of Stock",IF(F61&lt;G61,"🟡 Low Stock","🟢 OK"))</f>
        <v>🟢 OK</v>
      </c>
    </row>
    <row r="62" customFormat="false" ht="15" hidden="false" customHeight="true" outlineLevel="0" collapsed="false">
      <c r="A62" s="1" t="str">
        <f aca="false">Job_Master!A63</f>
        <v>BJ-161</v>
      </c>
      <c r="B62" s="1" t="n">
        <f aca="false">Job_Master!B63</f>
        <v>30</v>
      </c>
      <c r="C62" s="1" t="str">
        <f aca="false">Job_Master!C63</f>
        <v>SEG</v>
      </c>
      <c r="D62" s="1" t="n">
        <f aca="false">Job_Master!D63</f>
        <v>6</v>
      </c>
      <c r="E62" s="1" t="s">
        <v>336</v>
      </c>
      <c r="F62" s="1" t="n">
        <v>22</v>
      </c>
      <c r="G62" s="1" t="n">
        <f aca="false">Job_Master!D63</f>
        <v>6</v>
      </c>
      <c r="H62" s="1" t="n">
        <f aca="false">F62-G62</f>
        <v>16</v>
      </c>
      <c r="I62" s="1" t="str">
        <f aca="false">IF(F62&lt;=0,"🔴 Out of Stock",IF(F62&lt;G62,"🟡 Low Stock","🟢 OK"))</f>
        <v>🟢 OK</v>
      </c>
    </row>
    <row r="63" customFormat="false" ht="15" hidden="false" customHeight="true" outlineLevel="0" collapsed="false">
      <c r="A63" s="1" t="str">
        <f aca="false">Job_Master!A64</f>
        <v>BJ-149</v>
      </c>
      <c r="B63" s="1" t="n">
        <f aca="false">Job_Master!B64</f>
        <v>9</v>
      </c>
      <c r="C63" s="1" t="str">
        <f aca="false">Job_Master!C64</f>
        <v>2P</v>
      </c>
      <c r="D63" s="1" t="n">
        <f aca="false">Job_Master!D64</f>
        <v>2</v>
      </c>
      <c r="E63" s="1" t="s">
        <v>339</v>
      </c>
      <c r="F63" s="1" t="n">
        <v>14</v>
      </c>
      <c r="G63" s="1" t="n">
        <f aca="false">Job_Master!D64</f>
        <v>2</v>
      </c>
      <c r="H63" s="1" t="n">
        <f aca="false">F63-G63</f>
        <v>12</v>
      </c>
      <c r="I63" s="1" t="str">
        <f aca="false">IF(F63&lt;=0,"🔴 Out of Stock",IF(F63&lt;G63,"🟡 Low Stock","🟢 OK"))</f>
        <v>🟢 OK</v>
      </c>
    </row>
    <row r="64" customFormat="false" ht="15" hidden="false" customHeight="true" outlineLevel="0" collapsed="false">
      <c r="A64" s="1" t="str">
        <f aca="false">Job_Master!A65</f>
        <v>BJ-163</v>
      </c>
      <c r="B64" s="1" t="n">
        <f aca="false">Job_Master!B65</f>
        <v>70</v>
      </c>
      <c r="C64" s="1" t="str">
        <f aca="false">Job_Master!C65</f>
        <v>SOL</v>
      </c>
      <c r="D64" s="1" t="n">
        <f aca="false">Job_Master!D65</f>
        <v>4</v>
      </c>
      <c r="E64" s="1" t="s">
        <v>338</v>
      </c>
      <c r="F64" s="1" t="n">
        <v>16</v>
      </c>
      <c r="G64" s="1" t="n">
        <f aca="false">Job_Master!D65</f>
        <v>4</v>
      </c>
      <c r="H64" s="1" t="n">
        <f aca="false">F64-G64</f>
        <v>12</v>
      </c>
      <c r="I64" s="1" t="str">
        <f aca="false">IF(F64&lt;=0,"🔴 Out of Stock",IF(F64&lt;G64,"🟡 Low Stock","🟢 OK"))</f>
        <v>🟢 OK</v>
      </c>
    </row>
    <row r="65" customFormat="false" ht="15" hidden="false" customHeight="true" outlineLevel="0" collapsed="false">
      <c r="A65" s="1" t="str">
        <f aca="false">Job_Master!A66</f>
        <v>BJ-164</v>
      </c>
      <c r="B65" s="1" t="n">
        <f aca="false">Job_Master!B66</f>
        <v>42</v>
      </c>
      <c r="C65" s="1" t="str">
        <f aca="false">Job_Master!C66</f>
        <v>SOL</v>
      </c>
      <c r="D65" s="1" t="n">
        <f aca="false">Job_Master!D66</f>
        <v>4</v>
      </c>
      <c r="E65" s="1" t="s">
        <v>335</v>
      </c>
      <c r="F65" s="1" t="n">
        <v>10</v>
      </c>
      <c r="G65" s="1" t="n">
        <f aca="false">Job_Master!D66</f>
        <v>4</v>
      </c>
      <c r="H65" s="1" t="n">
        <f aca="false">F65-G65</f>
        <v>6</v>
      </c>
      <c r="I65" s="1" t="str">
        <f aca="false">IF(F65&lt;=0,"🔴 Out of Stock",IF(F65&lt;G65,"🟡 Low Stock","🟢 OK"))</f>
        <v>🟢 OK</v>
      </c>
    </row>
    <row r="66" customFormat="false" ht="15" hidden="false" customHeight="true" outlineLevel="0" collapsed="false">
      <c r="A66" s="1" t="str">
        <f aca="false">Job_Master!A67</f>
        <v>BJ-168</v>
      </c>
      <c r="B66" s="1" t="n">
        <f aca="false">Job_Master!B67</f>
        <v>20</v>
      </c>
      <c r="C66" s="1" t="str">
        <f aca="false">Job_Master!C67</f>
        <v>2P</v>
      </c>
      <c r="D66" s="1" t="n">
        <f aca="false">Job_Master!D67</f>
        <v>2</v>
      </c>
      <c r="E66" s="1" t="s">
        <v>337</v>
      </c>
      <c r="F66" s="1" t="n">
        <v>9</v>
      </c>
      <c r="G66" s="1" t="n">
        <f aca="false">Job_Master!D67</f>
        <v>2</v>
      </c>
      <c r="H66" s="1" t="n">
        <f aca="false">F66-G66</f>
        <v>7</v>
      </c>
      <c r="I66" s="1" t="str">
        <f aca="false">IF(F66&lt;=0,"🔴 Out of Stock",IF(F66&lt;G66,"🟡 Low Stock","🟢 OK"))</f>
        <v>🟢 OK</v>
      </c>
    </row>
    <row r="67" customFormat="false" ht="15" hidden="false" customHeight="true" outlineLevel="0" collapsed="false">
      <c r="A67" s="1" t="str">
        <f aca="false">Job_Master!A68</f>
        <v>BJ-155</v>
      </c>
      <c r="B67" s="1" t="n">
        <f aca="false">Job_Master!B68</f>
        <v>17</v>
      </c>
      <c r="C67" s="1" t="str">
        <f aca="false">Job_Master!C68</f>
        <v>RW</v>
      </c>
      <c r="D67" s="1" t="n">
        <f aca="false">Job_Master!D68</f>
        <v>2</v>
      </c>
      <c r="E67" s="1" t="s">
        <v>337</v>
      </c>
      <c r="F67" s="1" t="n">
        <v>19</v>
      </c>
      <c r="G67" s="1" t="n">
        <f aca="false">Job_Master!D68</f>
        <v>2</v>
      </c>
      <c r="H67" s="1" t="n">
        <f aca="false">F67-G67</f>
        <v>17</v>
      </c>
      <c r="I67" s="1" t="str">
        <f aca="false">IF(F67&lt;=0,"🔴 Out of Stock",IF(F67&lt;G67,"🟡 Low Stock","🟢 OK"))</f>
        <v>🟢 OK</v>
      </c>
    </row>
    <row r="68" customFormat="false" ht="15" hidden="false" customHeight="true" outlineLevel="0" collapsed="false">
      <c r="A68" s="1" t="str">
        <f aca="false">Job_Master!A69</f>
        <v>BJ-167</v>
      </c>
      <c r="B68" s="1" t="n">
        <f aca="false">Job_Master!B69</f>
        <v>54</v>
      </c>
      <c r="C68" s="1" t="str">
        <f aca="false">Job_Master!C69</f>
        <v>2P</v>
      </c>
      <c r="D68" s="1" t="n">
        <f aca="false">Job_Master!D69</f>
        <v>2</v>
      </c>
      <c r="E68" s="1" t="s">
        <v>338</v>
      </c>
      <c r="F68" s="1" t="n">
        <v>10</v>
      </c>
      <c r="G68" s="1" t="n">
        <f aca="false">Job_Master!D69</f>
        <v>2</v>
      </c>
      <c r="H68" s="1" t="n">
        <f aca="false">F68-G68</f>
        <v>8</v>
      </c>
      <c r="I68" s="1" t="str">
        <f aca="false">IF(F68&lt;=0,"🔴 Out of Stock",IF(F68&lt;G68,"🟡 Low Stock","🟢 OK"))</f>
        <v>🟢 OK</v>
      </c>
    </row>
    <row r="69" customFormat="false" ht="15" hidden="false" customHeight="true" outlineLevel="0" collapsed="false">
      <c r="A69" s="1" t="str">
        <f aca="false">Job_Master!A70</f>
        <v>BJ-166</v>
      </c>
      <c r="B69" s="1" t="n">
        <f aca="false">Job_Master!B70</f>
        <v>50</v>
      </c>
      <c r="C69" s="1" t="str">
        <f aca="false">Job_Master!C70</f>
        <v>SOL</v>
      </c>
      <c r="D69" s="1" t="n">
        <f aca="false">Job_Master!D70</f>
        <v>4</v>
      </c>
      <c r="E69" s="1" t="s">
        <v>335</v>
      </c>
      <c r="F69" s="1" t="n">
        <v>20</v>
      </c>
      <c r="G69" s="1" t="n">
        <f aca="false">Job_Master!D70</f>
        <v>4</v>
      </c>
      <c r="H69" s="1" t="n">
        <f aca="false">F69-G69</f>
        <v>16</v>
      </c>
      <c r="I69" s="1" t="str">
        <f aca="false">IF(F69&lt;=0,"🔴 Out of Stock",IF(F69&lt;G69,"🟡 Low Stock","🟢 OK"))</f>
        <v>🟢 OK</v>
      </c>
    </row>
    <row r="70" customFormat="false" ht="15" hidden="false" customHeight="true" outlineLevel="0" collapsed="false">
      <c r="A70" s="1" t="str">
        <f aca="false">Job_Master!A71</f>
        <v>BJ-162</v>
      </c>
      <c r="B70" s="1" t="n">
        <f aca="false">Job_Master!B71</f>
        <v>17</v>
      </c>
      <c r="C70" s="1" t="str">
        <f aca="false">Job_Master!C71</f>
        <v>SOL</v>
      </c>
      <c r="D70" s="1" t="n">
        <f aca="false">Job_Master!D71</f>
        <v>4</v>
      </c>
      <c r="E70" s="1" t="s">
        <v>337</v>
      </c>
      <c r="F70" s="1" t="n">
        <v>20</v>
      </c>
      <c r="G70" s="1" t="n">
        <f aca="false">Job_Master!D71</f>
        <v>4</v>
      </c>
      <c r="H70" s="1" t="n">
        <f aca="false">F70-G70</f>
        <v>16</v>
      </c>
      <c r="I70" s="1" t="str">
        <f aca="false">IF(F70&lt;=0,"🔴 Out of Stock",IF(F70&lt;G70,"🟡 Low Stock","🟢 OK"))</f>
        <v>🟢 OK</v>
      </c>
    </row>
    <row r="71" customFormat="false" ht="15" hidden="false" customHeight="true" outlineLevel="0" collapsed="false">
      <c r="A71" s="1" t="str">
        <f aca="false">Job_Master!A72</f>
        <v>BJ-165</v>
      </c>
      <c r="B71" s="1" t="n">
        <f aca="false">Job_Master!B72</f>
        <v>17</v>
      </c>
      <c r="C71" s="1" t="str">
        <f aca="false">Job_Master!C72</f>
        <v>2P</v>
      </c>
      <c r="D71" s="1" t="n">
        <f aca="false">Job_Master!D72</f>
        <v>2</v>
      </c>
      <c r="E71" s="1" t="s">
        <v>337</v>
      </c>
      <c r="F71" s="1" t="n">
        <v>13</v>
      </c>
      <c r="G71" s="1" t="n">
        <f aca="false">Job_Master!D72</f>
        <v>2</v>
      </c>
      <c r="H71" s="1" t="n">
        <f aca="false">F71-G71</f>
        <v>11</v>
      </c>
      <c r="I71" s="1" t="str">
        <f aca="false">IF(F71&lt;=0,"🔴 Out of Stock",IF(F71&lt;G71,"🟡 Low Stock","🟢 OK"))</f>
        <v>🟢 OK</v>
      </c>
    </row>
    <row r="72" customFormat="false" ht="15" hidden="false" customHeight="true" outlineLevel="0" collapsed="false">
      <c r="A72" s="1" t="str">
        <f aca="false">Job_Master!A73</f>
        <v>BJ-169</v>
      </c>
      <c r="B72" s="1" t="n">
        <f aca="false">Job_Master!B73</f>
        <v>17</v>
      </c>
      <c r="C72" s="1" t="str">
        <f aca="false">Job_Master!C73</f>
        <v>SEG</v>
      </c>
      <c r="D72" s="1" t="n">
        <f aca="false">Job_Master!D73</f>
        <v>6</v>
      </c>
      <c r="E72" s="1" t="s">
        <v>337</v>
      </c>
      <c r="F72" s="1" t="n">
        <v>6</v>
      </c>
      <c r="G72" s="1" t="n">
        <f aca="false">Job_Master!D73</f>
        <v>6</v>
      </c>
      <c r="H72" s="1" t="n">
        <f aca="false">F72-G72</f>
        <v>0</v>
      </c>
      <c r="I72" s="1" t="str">
        <f aca="false">IF(F72&lt;=0,"🔴 Out of Stock",IF(F72&lt;G72,"🟡 Low Stock","🟢 OK"))</f>
        <v>🟢 OK</v>
      </c>
    </row>
    <row r="74" customFormat="false" ht="15" hidden="false" customHeight="true" outlineLevel="0" collapsed="false">
      <c r="A74" s="113" t="s">
        <v>340</v>
      </c>
    </row>
  </sheetData>
  <mergeCells count="1">
    <mergeCell ref="A1:J1"/>
  </mergeCells>
  <conditionalFormatting sqref="I3:I72">
    <cfRule type="containsText" priority="2" operator="containsText" aboveAverage="0" equalAverage="0" bottom="0" percent="0" rank="0" text="Out of Stock" dxfId="7">
      <formula>NOT(ISERROR(SEARCH("Out of Stock",I3)))</formula>
    </cfRule>
    <cfRule type="containsText" priority="3" operator="containsText" aboveAverage="0" equalAverage="0" bottom="0" percent="0" rank="0" text="Low Stock" dxfId="6">
      <formula>NOT(ISERROR(SEARCH("Low Stock",I3)))</formula>
    </cfRule>
    <cfRule type="containsText" priority="4" operator="containsText" aboveAverage="0" equalAverage="0" bottom="0" percent="0" rank="0" text="OK" dxfId="5">
      <formula>NOT(ISERROR(SEARCH("OK",I3)))</formula>
    </cfRule>
  </conditionalFormatting>
  <conditionalFormatting sqref="H3:H72">
    <cfRule type="expression" priority="5" aboveAverage="0" equalAverage="0" bottom="0" percent="0" rank="0" text="" dxfId="7">
      <formula>$H3&lt;0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14" min="8" style="1" width="7"/>
    <col collapsed="false" customWidth="true" hidden="false" outlineLevel="0" max="17" min="15" style="1" width="16"/>
  </cols>
  <sheetData>
    <row r="1" customFormat="false" ht="25.5" hidden="false" customHeight="true" outlineLevel="0" collapsed="false">
      <c r="A1" s="114" t="s">
        <v>341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customFormat="false" ht="15" hidden="false" customHeight="true" outlineLevel="0" collapsed="false">
      <c r="A2" s="115" t="s">
        <v>342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customFormat="false" ht="15" hidden="false" customHeight="true" outlineLevel="0" collapsed="false">
      <c r="A3" s="116" t="s">
        <v>1</v>
      </c>
      <c r="B3" s="116" t="s">
        <v>2</v>
      </c>
      <c r="C3" s="116" t="s">
        <v>343</v>
      </c>
      <c r="D3" s="110" t="s">
        <v>344</v>
      </c>
      <c r="E3" s="110" t="s">
        <v>345</v>
      </c>
      <c r="F3" s="110" t="s">
        <v>6</v>
      </c>
      <c r="G3" s="110" t="s">
        <v>7</v>
      </c>
      <c r="H3" s="108" t="s">
        <v>346</v>
      </c>
      <c r="I3" s="108" t="s">
        <v>347</v>
      </c>
      <c r="J3" s="108" t="s">
        <v>348</v>
      </c>
      <c r="K3" s="108" t="s">
        <v>349</v>
      </c>
      <c r="L3" s="108" t="s">
        <v>350</v>
      </c>
      <c r="M3" s="109" t="s">
        <v>351</v>
      </c>
      <c r="N3" s="109" t="s">
        <v>352</v>
      </c>
      <c r="O3" s="111" t="s">
        <v>353</v>
      </c>
      <c r="P3" s="111" t="s">
        <v>354</v>
      </c>
      <c r="Q3" s="111" t="s">
        <v>355</v>
      </c>
    </row>
    <row r="4" customFormat="false" ht="15" hidden="false" customHeight="true" outlineLevel="0" collapsed="false">
      <c r="A4" s="2" t="str">
        <f aca="false">Settings!A4</f>
        <v>Shift A</v>
      </c>
      <c r="B4" s="2" t="str">
        <f aca="false">Settings!B4</f>
        <v>Gen</v>
      </c>
      <c r="C4" s="2" t="str">
        <f aca="false">Settings!E4</f>
        <v>07:00 – 15:00</v>
      </c>
      <c r="D4" s="2" t="n">
        <f aca="false">Settings!H4</f>
        <v>8</v>
      </c>
      <c r="E4" s="2" t="n">
        <f aca="false">Settings!I4</f>
        <v>7.2</v>
      </c>
      <c r="F4" s="2" t="n">
        <f aca="false">Settings!F4</f>
        <v>0</v>
      </c>
      <c r="G4" s="2" t="n">
        <f aca="false">Settings!G4</f>
        <v>0</v>
      </c>
      <c r="H4" s="117" t="s">
        <v>356</v>
      </c>
      <c r="I4" s="117" t="s">
        <v>356</v>
      </c>
      <c r="J4" s="117" t="s">
        <v>356</v>
      </c>
      <c r="K4" s="117" t="s">
        <v>356</v>
      </c>
      <c r="L4" s="117" t="s">
        <v>356</v>
      </c>
      <c r="M4" s="118" t="s">
        <v>357</v>
      </c>
      <c r="N4" s="118" t="s">
        <v>357</v>
      </c>
      <c r="O4" s="119" t="n">
        <f aca="false">Settings!F4*Settings!I4*5</f>
        <v>0</v>
      </c>
      <c r="P4" s="119" t="n">
        <f aca="false">Settings!G4*Settings!I4*5</f>
        <v>0</v>
      </c>
      <c r="Q4" s="119" t="n">
        <f aca="false">O4+P4</f>
        <v>0</v>
      </c>
    </row>
    <row r="5" customFormat="false" ht="15" hidden="false" customHeight="true" outlineLevel="0" collapsed="false">
      <c r="A5" s="2" t="str">
        <f aca="false">Settings!A5</f>
        <v>Shift B</v>
      </c>
      <c r="B5" s="2" t="str">
        <f aca="false">Settings!B5</f>
        <v>Gen</v>
      </c>
      <c r="C5" s="2" t="str">
        <f aca="false">Settings!E5</f>
        <v>15:00 – 23:00</v>
      </c>
      <c r="D5" s="2" t="n">
        <f aca="false">Settings!H5</f>
        <v>8</v>
      </c>
      <c r="E5" s="2" t="n">
        <f aca="false">Settings!I5</f>
        <v>7.2</v>
      </c>
      <c r="F5" s="2" t="n">
        <f aca="false">Settings!F5</f>
        <v>0</v>
      </c>
      <c r="G5" s="2" t="n">
        <f aca="false">Settings!G5</f>
        <v>0</v>
      </c>
      <c r="H5" s="120" t="s">
        <v>358</v>
      </c>
      <c r="I5" s="120" t="s">
        <v>358</v>
      </c>
      <c r="J5" s="120" t="s">
        <v>358</v>
      </c>
      <c r="K5" s="120" t="s">
        <v>358</v>
      </c>
      <c r="L5" s="120" t="s">
        <v>358</v>
      </c>
      <c r="M5" s="118" t="s">
        <v>357</v>
      </c>
      <c r="N5" s="118" t="s">
        <v>357</v>
      </c>
      <c r="O5" s="119" t="n">
        <f aca="false">Settings!F5*Settings!I5*5</f>
        <v>0</v>
      </c>
      <c r="P5" s="119" t="n">
        <f aca="false">Settings!G5*Settings!I5*5</f>
        <v>0</v>
      </c>
      <c r="Q5" s="119" t="n">
        <f aca="false">O5+P5</f>
        <v>0</v>
      </c>
    </row>
    <row r="6" customFormat="false" ht="15" hidden="false" customHeight="true" outlineLevel="0" collapsed="false">
      <c r="A6" s="2" t="str">
        <f aca="false">Settings!A6</f>
        <v>Shift C</v>
      </c>
      <c r="B6" s="2" t="str">
        <f aca="false">Settings!B6</f>
        <v>Gen</v>
      </c>
      <c r="C6" s="2" t="str">
        <f aca="false">Settings!E6</f>
        <v>23:00 – 07:00</v>
      </c>
      <c r="D6" s="2" t="n">
        <f aca="false">Settings!H6</f>
        <v>8</v>
      </c>
      <c r="E6" s="2" t="n">
        <f aca="false">Settings!I6</f>
        <v>7.2</v>
      </c>
      <c r="F6" s="2" t="n">
        <f aca="false">Settings!F6</f>
        <v>0</v>
      </c>
      <c r="G6" s="2" t="n">
        <f aca="false">Settings!G6</f>
        <v>0</v>
      </c>
      <c r="H6" s="121" t="s">
        <v>359</v>
      </c>
      <c r="I6" s="121" t="s">
        <v>359</v>
      </c>
      <c r="J6" s="121" t="s">
        <v>359</v>
      </c>
      <c r="K6" s="121" t="s">
        <v>359</v>
      </c>
      <c r="L6" s="121" t="s">
        <v>359</v>
      </c>
      <c r="M6" s="118" t="s">
        <v>357</v>
      </c>
      <c r="N6" s="118" t="s">
        <v>357</v>
      </c>
      <c r="O6" s="119" t="n">
        <f aca="false">Settings!F6*Settings!I6*5</f>
        <v>0</v>
      </c>
      <c r="P6" s="119" t="n">
        <f aca="false">Settings!G6*Settings!I6*5</f>
        <v>0</v>
      </c>
      <c r="Q6" s="119" t="n">
        <f aca="false">O6+P6</f>
        <v>0</v>
      </c>
    </row>
    <row r="7" customFormat="false" ht="15" hidden="false" customHeight="true" outlineLevel="0" collapsed="false">
      <c r="A7" s="2" t="str">
        <f aca="false">Settings!A7</f>
        <v>Shift S1</v>
      </c>
      <c r="B7" s="2" t="str">
        <f aca="false">Settings!B7</f>
        <v>Cont</v>
      </c>
      <c r="C7" s="2" t="str">
        <f aca="false">Settings!E7</f>
        <v>08:00 – 20:00</v>
      </c>
      <c r="D7" s="2" t="n">
        <f aca="false">Settings!H7</f>
        <v>12</v>
      </c>
      <c r="E7" s="2" t="n">
        <f aca="false">Settings!I7</f>
        <v>11.2</v>
      </c>
      <c r="F7" s="2" t="n">
        <f aca="false">Settings!F7</f>
        <v>0</v>
      </c>
      <c r="G7" s="2" t="n">
        <f aca="false">Settings!G7</f>
        <v>0</v>
      </c>
      <c r="H7" s="122" t="s">
        <v>360</v>
      </c>
      <c r="I7" s="122" t="s">
        <v>360</v>
      </c>
      <c r="J7" s="122" t="s">
        <v>360</v>
      </c>
      <c r="K7" s="122" t="s">
        <v>360</v>
      </c>
      <c r="L7" s="122" t="s">
        <v>360</v>
      </c>
      <c r="M7" s="122" t="s">
        <v>360</v>
      </c>
      <c r="N7" s="118" t="s">
        <v>357</v>
      </c>
      <c r="O7" s="119" t="n">
        <f aca="false">Settings!F7*Settings!I7*6</f>
        <v>0</v>
      </c>
      <c r="P7" s="119" t="n">
        <f aca="false">Settings!G7*Settings!I7*6</f>
        <v>0</v>
      </c>
      <c r="Q7" s="119" t="n">
        <f aca="false">O7+P7</f>
        <v>0</v>
      </c>
    </row>
    <row r="8" customFormat="false" ht="15" hidden="false" customHeight="true" outlineLevel="0" collapsed="false">
      <c r="A8" s="2" t="str">
        <f aca="false">Settings!A8</f>
        <v>Shift S2</v>
      </c>
      <c r="B8" s="2" t="str">
        <f aca="false">Settings!B8</f>
        <v>Cont</v>
      </c>
      <c r="C8" s="2" t="str">
        <f aca="false">Settings!E8</f>
        <v>20:00 – 08:00</v>
      </c>
      <c r="D8" s="2" t="n">
        <f aca="false">Settings!H8</f>
        <v>12</v>
      </c>
      <c r="E8" s="2" t="n">
        <f aca="false">Settings!I8</f>
        <v>11.2</v>
      </c>
      <c r="F8" s="2" t="n">
        <f aca="false">Settings!F8</f>
        <v>0</v>
      </c>
      <c r="G8" s="2" t="n">
        <f aca="false">Settings!G8</f>
        <v>0</v>
      </c>
      <c r="H8" s="123" t="s">
        <v>361</v>
      </c>
      <c r="I8" s="123" t="s">
        <v>361</v>
      </c>
      <c r="J8" s="123" t="s">
        <v>361</v>
      </c>
      <c r="K8" s="123" t="s">
        <v>361</v>
      </c>
      <c r="L8" s="123" t="s">
        <v>361</v>
      </c>
      <c r="M8" s="123" t="s">
        <v>361</v>
      </c>
      <c r="N8" s="118" t="s">
        <v>357</v>
      </c>
      <c r="O8" s="119" t="n">
        <f aca="false">Settings!F8*Settings!I8*6</f>
        <v>0</v>
      </c>
      <c r="P8" s="119" t="n">
        <f aca="false">Settings!G8*Settings!I8*6</f>
        <v>0</v>
      </c>
      <c r="Q8" s="119" t="n">
        <f aca="false">O8+P8</f>
        <v>0</v>
      </c>
    </row>
    <row r="10" customFormat="false" ht="15" hidden="false" customHeight="true" outlineLevel="0" collapsed="false">
      <c r="A10" s="64" t="s">
        <v>362</v>
      </c>
      <c r="O10" s="124" t="n">
        <f aca="false">SUM(O4:O8)</f>
        <v>0</v>
      </c>
      <c r="P10" s="124" t="n">
        <f aca="false">SUM(P4:P8)</f>
        <v>0</v>
      </c>
      <c r="Q10" s="124" t="n">
        <f aca="false">SUM(Q4:Q8)</f>
        <v>0</v>
      </c>
    </row>
    <row r="12" customFormat="false" ht="15" hidden="false" customHeight="true" outlineLevel="0" collapsed="false">
      <c r="A12" s="44" t="s">
        <v>363</v>
      </c>
      <c r="B12" s="125" t="s">
        <v>12</v>
      </c>
      <c r="C12" s="126" t="s">
        <v>16</v>
      </c>
      <c r="D12" s="127" t="s">
        <v>20</v>
      </c>
      <c r="E12" s="128" t="s">
        <v>23</v>
      </c>
      <c r="F12" s="129" t="s">
        <v>26</v>
      </c>
      <c r="G12" s="130" t="s">
        <v>357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20"/>
  </cols>
  <sheetData>
    <row r="1" customFormat="false" ht="25.5" hidden="false" customHeight="true" outlineLevel="0" collapsed="false">
      <c r="A1" s="131" t="s">
        <v>364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customFormat="false" ht="23.25" hidden="false" customHeight="true" outlineLevel="0" collapsed="false">
      <c r="A2" s="108" t="s">
        <v>32</v>
      </c>
      <c r="B2" s="108" t="s">
        <v>31</v>
      </c>
      <c r="C2" s="109" t="s">
        <v>33</v>
      </c>
      <c r="D2" s="109" t="s">
        <v>365</v>
      </c>
      <c r="E2" s="109" t="s">
        <v>366</v>
      </c>
      <c r="F2" s="111" t="s">
        <v>367</v>
      </c>
      <c r="G2" s="111" t="s">
        <v>368</v>
      </c>
      <c r="H2" s="111" t="s">
        <v>369</v>
      </c>
      <c r="I2" s="110" t="s">
        <v>370</v>
      </c>
      <c r="J2" s="110" t="s">
        <v>36</v>
      </c>
      <c r="K2" s="112" t="s">
        <v>300</v>
      </c>
    </row>
    <row r="3" customFormat="false" ht="15" hidden="false" customHeight="true" outlineLevel="0" collapsed="false">
      <c r="A3" s="1" t="str">
        <f aca="false">Machine_List!B4</f>
        <v>VTL-MC-01</v>
      </c>
      <c r="B3" s="1" t="str">
        <f aca="false">Machine_List!A4</f>
        <v>VTL</v>
      </c>
      <c r="C3" s="96" t="n">
        <f aca="false">Machine_List!C4</f>
        <v>46133</v>
      </c>
      <c r="D3" s="1" t="n">
        <f aca="false">Machine_List!D4</f>
        <v>6</v>
      </c>
      <c r="E3" s="1" t="n">
        <f aca="false">Machine_List!E4</f>
        <v>4</v>
      </c>
      <c r="F3" s="96"/>
    </row>
    <row r="4" customFormat="false" ht="15" hidden="false" customHeight="true" outlineLevel="0" collapsed="false">
      <c r="A4" s="1" t="str">
        <f aca="false">Machine_List!B5</f>
        <v>VTL-MC-02</v>
      </c>
      <c r="B4" s="1" t="str">
        <f aca="false">Machine_List!A5</f>
        <v>VTL</v>
      </c>
      <c r="C4" s="96" t="n">
        <f aca="false">Machine_List!C5</f>
        <v>46521</v>
      </c>
      <c r="D4" s="1" t="n">
        <f aca="false">Machine_List!D5</f>
        <v>6</v>
      </c>
      <c r="E4" s="1" t="n">
        <f aca="false">Machine_List!E5</f>
        <v>4</v>
      </c>
      <c r="F4" s="96"/>
    </row>
    <row r="5" customFormat="false" ht="15" hidden="false" customHeight="true" outlineLevel="0" collapsed="false">
      <c r="A5" s="1" t="str">
        <f aca="false">Machine_List!B6</f>
        <v>VTL-MC-03</v>
      </c>
      <c r="B5" s="1" t="str">
        <f aca="false">Machine_List!A6</f>
        <v>VTL</v>
      </c>
      <c r="C5" s="96" t="n">
        <f aca="false">Machine_List!C6</f>
        <v>46174</v>
      </c>
      <c r="D5" s="1" t="n">
        <f aca="false">Machine_List!D6</f>
        <v>6</v>
      </c>
      <c r="E5" s="1" t="n">
        <f aca="false">Machine_List!E6</f>
        <v>4</v>
      </c>
      <c r="F5" s="96"/>
    </row>
    <row r="6" customFormat="false" ht="15" hidden="false" customHeight="true" outlineLevel="0" collapsed="false">
      <c r="A6" s="1" t="str">
        <f aca="false">Machine_List!B7</f>
        <v>VTL-MC-04</v>
      </c>
      <c r="B6" s="1" t="str">
        <f aca="false">Machine_List!A7</f>
        <v>VTL</v>
      </c>
      <c r="C6" s="96" t="n">
        <f aca="false">Machine_List!C7</f>
        <v>46517</v>
      </c>
      <c r="D6" s="1" t="n">
        <f aca="false">Machine_List!D7</f>
        <v>6</v>
      </c>
      <c r="E6" s="1" t="n">
        <f aca="false">Machine_List!E7</f>
        <v>4</v>
      </c>
      <c r="F6" s="96"/>
    </row>
    <row r="7" customFormat="false" ht="15" hidden="false" customHeight="true" outlineLevel="0" collapsed="false">
      <c r="A7" s="1" t="str">
        <f aca="false">Machine_List!B8</f>
        <v>SPM-MC-01</v>
      </c>
      <c r="B7" s="1" t="str">
        <f aca="false">Machine_List!A8</f>
        <v>SPM</v>
      </c>
      <c r="C7" s="96" t="n">
        <f aca="false">Machine_List!C8</f>
        <v>46285</v>
      </c>
      <c r="D7" s="1" t="n">
        <f aca="false">Machine_List!D8</f>
        <v>6</v>
      </c>
      <c r="E7" s="1" t="n">
        <f aca="false">Machine_List!E8</f>
        <v>4</v>
      </c>
      <c r="F7" s="96"/>
    </row>
    <row r="8" customFormat="false" ht="15" hidden="false" customHeight="true" outlineLevel="0" collapsed="false">
      <c r="A8" s="1" t="str">
        <f aca="false">Machine_List!B9</f>
        <v>SPM-MC-02</v>
      </c>
      <c r="B8" s="1" t="str">
        <f aca="false">Machine_List!A9</f>
        <v>SPM</v>
      </c>
      <c r="C8" s="96" t="n">
        <f aca="false">Machine_List!C9</f>
        <v>46459</v>
      </c>
      <c r="D8" s="1" t="n">
        <f aca="false">Machine_List!D9</f>
        <v>6</v>
      </c>
      <c r="E8" s="1" t="n">
        <f aca="false">Machine_List!E9</f>
        <v>4</v>
      </c>
      <c r="F8" s="96"/>
    </row>
    <row r="9" customFormat="false" ht="15" hidden="false" customHeight="true" outlineLevel="0" collapsed="false">
      <c r="A9" s="1" t="str">
        <f aca="false">Machine_List!B10</f>
        <v>SPM-MC-03</v>
      </c>
      <c r="B9" s="1" t="str">
        <f aca="false">Machine_List!A10</f>
        <v>SPM</v>
      </c>
      <c r="C9" s="96" t="n">
        <f aca="false">Machine_List!C10</f>
        <v>46104</v>
      </c>
      <c r="D9" s="1" t="n">
        <f aca="false">Machine_List!D10</f>
        <v>6</v>
      </c>
      <c r="E9" s="1" t="n">
        <f aca="false">Machine_List!E10</f>
        <v>4</v>
      </c>
      <c r="F9" s="96"/>
    </row>
    <row r="10" customFormat="false" ht="15" hidden="false" customHeight="true" outlineLevel="0" collapsed="false">
      <c r="A10" s="1" t="str">
        <f aca="false">Machine_List!B11</f>
        <v>SPM-MC-04</v>
      </c>
      <c r="B10" s="1" t="str">
        <f aca="false">Machine_List!A11</f>
        <v>SPM</v>
      </c>
      <c r="C10" s="96" t="n">
        <f aca="false">Machine_List!C11</f>
        <v>46197</v>
      </c>
      <c r="D10" s="1" t="n">
        <f aca="false">Machine_List!D11</f>
        <v>6</v>
      </c>
      <c r="E10" s="1" t="n">
        <f aca="false">Machine_List!E11</f>
        <v>4</v>
      </c>
      <c r="F10" s="96"/>
    </row>
    <row r="11" customFormat="false" ht="15" hidden="false" customHeight="true" outlineLevel="0" collapsed="false">
      <c r="A11" s="1" t="str">
        <f aca="false">Machine_List!B12</f>
        <v>SPM-MC-05</v>
      </c>
      <c r="B11" s="1" t="str">
        <f aca="false">Machine_List!A12</f>
        <v>SPM</v>
      </c>
      <c r="C11" s="96" t="n">
        <f aca="false">Machine_List!C12</f>
        <v>46271</v>
      </c>
      <c r="D11" s="1" t="n">
        <f aca="false">Machine_List!D12</f>
        <v>6</v>
      </c>
      <c r="E11" s="1" t="n">
        <f aca="false">Machine_List!E12</f>
        <v>4</v>
      </c>
      <c r="F11" s="96"/>
    </row>
    <row r="12" customFormat="false" ht="15" hidden="false" customHeight="true" outlineLevel="0" collapsed="false">
      <c r="A12" s="1" t="str">
        <f aca="false">Machine_List!B13</f>
        <v>SPM-MC-06</v>
      </c>
      <c r="B12" s="1" t="str">
        <f aca="false">Machine_List!A13</f>
        <v>SPM</v>
      </c>
      <c r="C12" s="96" t="n">
        <f aca="false">Machine_List!C13</f>
        <v>46176</v>
      </c>
      <c r="D12" s="1" t="n">
        <f aca="false">Machine_List!D13</f>
        <v>6</v>
      </c>
      <c r="E12" s="1" t="n">
        <f aca="false">Machine_List!E13</f>
        <v>4</v>
      </c>
      <c r="F12" s="96"/>
    </row>
    <row r="13" customFormat="false" ht="15" hidden="false" customHeight="true" outlineLevel="0" collapsed="false">
      <c r="A13" s="1" t="str">
        <f aca="false">Machine_List!B14</f>
        <v>CARVING-MC-01</v>
      </c>
      <c r="B13" s="1" t="str">
        <f aca="false">Machine_List!A14</f>
        <v>CARVING</v>
      </c>
      <c r="C13" s="96" t="n">
        <f aca="false">Machine_List!C14</f>
        <v>46418</v>
      </c>
      <c r="D13" s="1" t="n">
        <f aca="false">Machine_List!D14</f>
        <v>6</v>
      </c>
      <c r="E13" s="1" t="n">
        <f aca="false">Machine_List!E14</f>
        <v>4</v>
      </c>
      <c r="F13" s="96"/>
    </row>
    <row r="14" customFormat="false" ht="15" hidden="false" customHeight="true" outlineLevel="0" collapsed="false">
      <c r="A14" s="1" t="str">
        <f aca="false">Machine_List!B15</f>
        <v>CARVING-MC-02</v>
      </c>
      <c r="B14" s="1" t="str">
        <f aca="false">Machine_List!A15</f>
        <v>CARVING</v>
      </c>
      <c r="C14" s="96" t="n">
        <f aca="false">Machine_List!C15</f>
        <v>46282</v>
      </c>
      <c r="D14" s="1" t="n">
        <f aca="false">Machine_List!D15</f>
        <v>6</v>
      </c>
      <c r="E14" s="1" t="n">
        <f aca="false">Machine_List!E15</f>
        <v>4</v>
      </c>
      <c r="F14" s="96"/>
    </row>
    <row r="15" customFormat="false" ht="15" hidden="false" customHeight="true" outlineLevel="0" collapsed="false">
      <c r="A15" s="1" t="str">
        <f aca="false">Machine_List!B16</f>
        <v>CARVING-MC-03</v>
      </c>
      <c r="B15" s="1" t="str">
        <f aca="false">Machine_List!A16</f>
        <v>CARVING</v>
      </c>
      <c r="C15" s="96" t="n">
        <f aca="false">Machine_List!C16</f>
        <v>46296</v>
      </c>
      <c r="D15" s="1" t="n">
        <f aca="false">Machine_List!D16</f>
        <v>6</v>
      </c>
      <c r="E15" s="1" t="n">
        <f aca="false">Machine_List!E16</f>
        <v>4</v>
      </c>
      <c r="F15" s="96"/>
    </row>
    <row r="16" customFormat="false" ht="15" hidden="false" customHeight="true" outlineLevel="0" collapsed="false">
      <c r="A16" s="1" t="str">
        <f aca="false">Machine_List!B17</f>
        <v>CARVING-MC-04</v>
      </c>
      <c r="B16" s="1" t="str">
        <f aca="false">Machine_List!A17</f>
        <v>CARVING</v>
      </c>
      <c r="C16" s="96" t="n">
        <f aca="false">Machine_List!C17</f>
        <v>46237</v>
      </c>
      <c r="D16" s="1" t="n">
        <f aca="false">Machine_List!D17</f>
        <v>6</v>
      </c>
      <c r="E16" s="1" t="n">
        <f aca="false">Machine_List!E17</f>
        <v>4</v>
      </c>
      <c r="F16" s="96"/>
    </row>
    <row r="17" customFormat="false" ht="15" hidden="false" customHeight="true" outlineLevel="0" collapsed="false">
      <c r="A17" s="1" t="str">
        <f aca="false">Machine_List!B18</f>
        <v>CARVING-MC-05</v>
      </c>
      <c r="B17" s="1" t="str">
        <f aca="false">Machine_List!A18</f>
        <v>CARVING</v>
      </c>
      <c r="C17" s="96" t="n">
        <f aca="false">Machine_List!C18</f>
        <v>46238</v>
      </c>
      <c r="D17" s="1" t="n">
        <f aca="false">Machine_List!D18</f>
        <v>6</v>
      </c>
      <c r="E17" s="1" t="n">
        <f aca="false">Machine_List!E18</f>
        <v>4</v>
      </c>
      <c r="F17" s="96"/>
    </row>
    <row r="18" customFormat="false" ht="15" hidden="false" customHeight="true" outlineLevel="0" collapsed="false">
      <c r="A18" s="1" t="str">
        <f aca="false">Machine_List!B19</f>
        <v>CARVING-MC-06</v>
      </c>
      <c r="B18" s="1" t="str">
        <f aca="false">Machine_List!A19</f>
        <v>CARVING</v>
      </c>
      <c r="C18" s="96" t="n">
        <f aca="false">Machine_List!C19</f>
        <v>46397</v>
      </c>
      <c r="D18" s="1" t="n">
        <f aca="false">Machine_List!D19</f>
        <v>6</v>
      </c>
      <c r="E18" s="1" t="n">
        <f aca="false">Machine_List!E19</f>
        <v>4</v>
      </c>
      <c r="F18" s="96"/>
    </row>
    <row r="19" customFormat="false" ht="15" hidden="false" customHeight="true" outlineLevel="0" collapsed="false">
      <c r="A19" s="1" t="str">
        <f aca="false">Machine_List!B20</f>
        <v>EDM-MC-01</v>
      </c>
      <c r="B19" s="1" t="str">
        <f aca="false">Machine_List!A20</f>
        <v>EDM</v>
      </c>
      <c r="C19" s="96" t="n">
        <f aca="false">Machine_List!C20</f>
        <v>46092</v>
      </c>
      <c r="D19" s="1" t="n">
        <f aca="false">Machine_List!D20</f>
        <v>6</v>
      </c>
      <c r="E19" s="1" t="n">
        <f aca="false">Machine_List!E20</f>
        <v>4</v>
      </c>
      <c r="F19" s="96"/>
    </row>
    <row r="20" customFormat="false" ht="15" hidden="false" customHeight="true" outlineLevel="0" collapsed="false">
      <c r="A20" s="1" t="str">
        <f aca="false">Machine_List!B21</f>
        <v>EDM-MC-02</v>
      </c>
      <c r="B20" s="1" t="str">
        <f aca="false">Machine_List!A21</f>
        <v>EDM</v>
      </c>
      <c r="C20" s="96" t="n">
        <f aca="false">Machine_List!C21</f>
        <v>46160</v>
      </c>
      <c r="D20" s="1" t="n">
        <f aca="false">Machine_List!D21</f>
        <v>6</v>
      </c>
      <c r="E20" s="1" t="n">
        <f aca="false">Machine_List!E21</f>
        <v>4</v>
      </c>
      <c r="F20" s="96"/>
    </row>
    <row r="21" customFormat="false" ht="15" hidden="false" customHeight="true" outlineLevel="0" collapsed="false">
      <c r="A21" s="1" t="str">
        <f aca="false">Machine_List!B22</f>
        <v>EDM-MC-03</v>
      </c>
      <c r="B21" s="1" t="str">
        <f aca="false">Machine_List!A22</f>
        <v>EDM</v>
      </c>
      <c r="C21" s="96" t="n">
        <f aca="false">Machine_List!C22</f>
        <v>46057</v>
      </c>
      <c r="D21" s="1" t="n">
        <f aca="false">Machine_List!D22</f>
        <v>6</v>
      </c>
      <c r="E21" s="1" t="n">
        <f aca="false">Machine_List!E22</f>
        <v>4</v>
      </c>
      <c r="F21" s="96"/>
    </row>
    <row r="22" customFormat="false" ht="15" hidden="false" customHeight="true" outlineLevel="0" collapsed="false">
      <c r="A22" s="1" t="str">
        <f aca="false">Machine_List!B23</f>
        <v>EDM-MC-04</v>
      </c>
      <c r="B22" s="1" t="str">
        <f aca="false">Machine_List!A23</f>
        <v>EDM</v>
      </c>
      <c r="C22" s="96" t="n">
        <f aca="false">Machine_List!C23</f>
        <v>46111</v>
      </c>
      <c r="D22" s="1" t="n">
        <f aca="false">Machine_List!D23</f>
        <v>6</v>
      </c>
      <c r="E22" s="1" t="n">
        <f aca="false">Machine_List!E23</f>
        <v>4</v>
      </c>
      <c r="F22" s="96"/>
    </row>
    <row r="23" customFormat="false" ht="15" hidden="false" customHeight="true" outlineLevel="0" collapsed="false">
      <c r="A23" s="1" t="str">
        <f aca="false">Machine_List!B24</f>
        <v>EDM-MC-05</v>
      </c>
      <c r="B23" s="1" t="str">
        <f aca="false">Machine_List!A24</f>
        <v>EDM</v>
      </c>
      <c r="C23" s="96" t="n">
        <f aca="false">Machine_List!C24</f>
        <v>46225</v>
      </c>
      <c r="D23" s="1" t="n">
        <f aca="false">Machine_List!D24</f>
        <v>6</v>
      </c>
      <c r="E23" s="1" t="n">
        <f aca="false">Machine_List!E24</f>
        <v>4</v>
      </c>
      <c r="F23" s="96"/>
    </row>
    <row r="24" customFormat="false" ht="15" hidden="false" customHeight="true" outlineLevel="0" collapsed="false">
      <c r="A24" s="1" t="str">
        <f aca="false">Machine_List!B25</f>
        <v>EDM-MC-06</v>
      </c>
      <c r="B24" s="1" t="str">
        <f aca="false">Machine_List!A25</f>
        <v>EDM</v>
      </c>
      <c r="C24" s="96" t="n">
        <f aca="false">Machine_List!C25</f>
        <v>46330</v>
      </c>
      <c r="D24" s="1" t="n">
        <f aca="false">Machine_List!D25</f>
        <v>6</v>
      </c>
      <c r="E24" s="1" t="n">
        <f aca="false">Machine_List!E25</f>
        <v>4</v>
      </c>
      <c r="F24" s="96"/>
    </row>
    <row r="25" customFormat="false" ht="15" hidden="false" customHeight="true" outlineLevel="0" collapsed="false">
      <c r="A25" s="1" t="str">
        <f aca="false">Machine_List!B26</f>
        <v>EDM-MC-07</v>
      </c>
      <c r="B25" s="1" t="str">
        <f aca="false">Machine_List!A26</f>
        <v>EDM</v>
      </c>
      <c r="C25" s="96" t="n">
        <f aca="false">Machine_List!C26</f>
        <v>46208</v>
      </c>
      <c r="D25" s="1" t="n">
        <f aca="false">Machine_List!D26</f>
        <v>6</v>
      </c>
      <c r="E25" s="1" t="n">
        <f aca="false">Machine_List!E26</f>
        <v>4</v>
      </c>
      <c r="F25" s="96"/>
    </row>
    <row r="26" customFormat="false" ht="15" hidden="false" customHeight="true" outlineLevel="0" collapsed="false">
      <c r="A26" s="1" t="str">
        <f aca="false">Machine_List!B27</f>
        <v>EDM-MC-08</v>
      </c>
      <c r="B26" s="1" t="str">
        <f aca="false">Machine_List!A27</f>
        <v>EDM</v>
      </c>
      <c r="C26" s="96" t="n">
        <f aca="false">Machine_List!C27</f>
        <v>46291</v>
      </c>
      <c r="D26" s="1" t="n">
        <f aca="false">Machine_List!D27</f>
        <v>6</v>
      </c>
      <c r="E26" s="1" t="n">
        <f aca="false">Machine_List!E27</f>
        <v>4</v>
      </c>
      <c r="F26" s="96"/>
    </row>
    <row r="27" customFormat="false" ht="15" hidden="false" customHeight="true" outlineLevel="0" collapsed="false">
      <c r="A27" s="1" t="str">
        <f aca="false">Machine_List!B28</f>
        <v>EDM-MC-09</v>
      </c>
      <c r="B27" s="1" t="str">
        <f aca="false">Machine_List!A28</f>
        <v>EDM</v>
      </c>
      <c r="C27" s="96" t="n">
        <f aca="false">Machine_List!C28</f>
        <v>46237</v>
      </c>
      <c r="D27" s="1" t="n">
        <f aca="false">Machine_List!D28</f>
        <v>6</v>
      </c>
      <c r="E27" s="1" t="n">
        <f aca="false">Machine_List!E28</f>
        <v>4</v>
      </c>
      <c r="F27" s="96"/>
    </row>
    <row r="28" customFormat="false" ht="15" hidden="false" customHeight="true" outlineLevel="0" collapsed="false">
      <c r="A28" s="1" t="str">
        <f aca="false">Machine_List!B29</f>
        <v>EDM-MC-10</v>
      </c>
      <c r="B28" s="1" t="str">
        <f aca="false">Machine_List!A29</f>
        <v>EDM</v>
      </c>
      <c r="C28" s="96" t="n">
        <f aca="false">Machine_List!C29</f>
        <v>46503</v>
      </c>
      <c r="D28" s="1" t="n">
        <f aca="false">Machine_List!D29</f>
        <v>6</v>
      </c>
      <c r="E28" s="1" t="n">
        <f aca="false">Machine_List!E29</f>
        <v>4</v>
      </c>
      <c r="F28" s="96"/>
    </row>
    <row r="29" customFormat="false" ht="15" hidden="false" customHeight="true" outlineLevel="0" collapsed="false">
      <c r="A29" s="1" t="str">
        <f aca="false">Machine_List!B30</f>
        <v>EDM-MC-11</v>
      </c>
      <c r="B29" s="1" t="str">
        <f aca="false">Machine_List!A30</f>
        <v>EDM</v>
      </c>
      <c r="C29" s="96" t="n">
        <f aca="false">Machine_List!C30</f>
        <v>46098</v>
      </c>
      <c r="D29" s="1" t="n">
        <f aca="false">Machine_List!D30</f>
        <v>6</v>
      </c>
      <c r="E29" s="1" t="n">
        <f aca="false">Machine_List!E30</f>
        <v>4</v>
      </c>
      <c r="F29" s="96"/>
    </row>
    <row r="30" customFormat="false" ht="15" hidden="false" customHeight="true" outlineLevel="0" collapsed="false">
      <c r="A30" s="1" t="str">
        <f aca="false">Machine_List!B31</f>
        <v>EDM-MC-12</v>
      </c>
      <c r="B30" s="1" t="str">
        <f aca="false">Machine_List!A31</f>
        <v>EDM</v>
      </c>
      <c r="C30" s="96" t="n">
        <f aca="false">Machine_List!C31</f>
        <v>46337</v>
      </c>
      <c r="D30" s="1" t="n">
        <f aca="false">Machine_List!D31</f>
        <v>6</v>
      </c>
      <c r="E30" s="1" t="n">
        <f aca="false">Machine_List!E31</f>
        <v>4</v>
      </c>
      <c r="F30" s="96"/>
    </row>
    <row r="31" customFormat="false" ht="15" hidden="false" customHeight="true" outlineLevel="0" collapsed="false">
      <c r="A31" s="1" t="str">
        <f aca="false">Machine_List!B32</f>
        <v>EDM-MC-13</v>
      </c>
      <c r="B31" s="1" t="str">
        <f aca="false">Machine_List!A32</f>
        <v>EDM</v>
      </c>
      <c r="C31" s="96" t="n">
        <f aca="false">Machine_List!C32</f>
        <v>46212</v>
      </c>
      <c r="D31" s="1" t="n">
        <f aca="false">Machine_List!D32</f>
        <v>6</v>
      </c>
      <c r="E31" s="1" t="n">
        <f aca="false">Machine_List!E32</f>
        <v>4</v>
      </c>
      <c r="F31" s="96"/>
    </row>
    <row r="32" customFormat="false" ht="15" hidden="false" customHeight="true" outlineLevel="0" collapsed="false">
      <c r="A32" s="1" t="str">
        <f aca="false">Machine_List!B33</f>
        <v>EDM-MC-14</v>
      </c>
      <c r="B32" s="1" t="str">
        <f aca="false">Machine_List!A33</f>
        <v>EDM</v>
      </c>
      <c r="C32" s="96" t="n">
        <f aca="false">Machine_List!C33</f>
        <v>46447</v>
      </c>
      <c r="D32" s="1" t="n">
        <f aca="false">Machine_List!D33</f>
        <v>6</v>
      </c>
      <c r="E32" s="1" t="n">
        <f aca="false">Machine_List!E33</f>
        <v>4</v>
      </c>
      <c r="F32" s="96"/>
    </row>
    <row r="33" customFormat="false" ht="15" hidden="false" customHeight="true" outlineLevel="0" collapsed="false">
      <c r="A33" s="1" t="str">
        <f aca="false">Machine_List!B34</f>
        <v>EDM-MC-15</v>
      </c>
      <c r="B33" s="1" t="str">
        <f aca="false">Machine_List!A34</f>
        <v>EDM</v>
      </c>
      <c r="C33" s="96" t="n">
        <f aca="false">Machine_List!C34</f>
        <v>46357</v>
      </c>
      <c r="D33" s="1" t="n">
        <f aca="false">Machine_List!D34</f>
        <v>6</v>
      </c>
      <c r="E33" s="1" t="n">
        <f aca="false">Machine_List!E34</f>
        <v>4</v>
      </c>
      <c r="F33" s="96"/>
    </row>
    <row r="34" customFormat="false" ht="15" hidden="false" customHeight="true" outlineLevel="0" collapsed="false">
      <c r="A34" s="1" t="str">
        <f aca="false">Machine_List!B35</f>
        <v>EDM-MC-16</v>
      </c>
      <c r="B34" s="1" t="str">
        <f aca="false">Machine_List!A35</f>
        <v>EDM</v>
      </c>
      <c r="C34" s="96" t="n">
        <f aca="false">Machine_List!C35</f>
        <v>46105</v>
      </c>
      <c r="D34" s="1" t="n">
        <f aca="false">Machine_List!D35</f>
        <v>6</v>
      </c>
      <c r="E34" s="1" t="n">
        <f aca="false">Machine_List!E35</f>
        <v>4</v>
      </c>
      <c r="F34" s="96"/>
    </row>
    <row r="35" customFormat="false" ht="15" hidden="false" customHeight="true" outlineLevel="0" collapsed="false">
      <c r="A35" s="1" t="str">
        <f aca="false">Machine_List!B36</f>
        <v>EDM-MC-17</v>
      </c>
      <c r="B35" s="1" t="str">
        <f aca="false">Machine_List!A36</f>
        <v>EDM</v>
      </c>
      <c r="C35" s="96" t="n">
        <f aca="false">Machine_List!C36</f>
        <v>46504</v>
      </c>
      <c r="D35" s="1" t="n">
        <f aca="false">Machine_List!D36</f>
        <v>6</v>
      </c>
      <c r="E35" s="1" t="n">
        <f aca="false">Machine_List!E36</f>
        <v>4</v>
      </c>
      <c r="F35" s="96"/>
    </row>
    <row r="36" customFormat="false" ht="15" hidden="false" customHeight="true" outlineLevel="0" collapsed="false">
      <c r="A36" s="1" t="str">
        <f aca="false">Machine_List!B37</f>
        <v>EDM-MC-18</v>
      </c>
      <c r="B36" s="1" t="str">
        <f aca="false">Machine_List!A37</f>
        <v>EDM</v>
      </c>
      <c r="C36" s="96" t="n">
        <f aca="false">Machine_List!C37</f>
        <v>46225</v>
      </c>
      <c r="D36" s="1" t="n">
        <f aca="false">Machine_List!D37</f>
        <v>6</v>
      </c>
      <c r="E36" s="1" t="n">
        <f aca="false">Machine_List!E37</f>
        <v>4</v>
      </c>
      <c r="F36" s="96"/>
    </row>
    <row r="37" customFormat="false" ht="15" hidden="false" customHeight="true" outlineLevel="0" collapsed="false">
      <c r="A37" s="1" t="str">
        <f aca="false">Machine_List!B38</f>
        <v>EDM-MC-19</v>
      </c>
      <c r="B37" s="1" t="str">
        <f aca="false">Machine_List!A38</f>
        <v>EDM</v>
      </c>
      <c r="C37" s="96" t="n">
        <f aca="false">Machine_List!C38</f>
        <v>46263</v>
      </c>
      <c r="D37" s="1" t="n">
        <f aca="false">Machine_List!D38</f>
        <v>6</v>
      </c>
      <c r="E37" s="1" t="n">
        <f aca="false">Machine_List!E38</f>
        <v>4</v>
      </c>
      <c r="F37" s="96"/>
    </row>
    <row r="38" customFormat="false" ht="15" hidden="false" customHeight="true" outlineLevel="0" collapsed="false">
      <c r="A38" s="1" t="str">
        <f aca="false">Machine_List!B39</f>
        <v>EDM-MC-20</v>
      </c>
      <c r="B38" s="1" t="str">
        <f aca="false">Machine_List!A39</f>
        <v>EDM</v>
      </c>
      <c r="C38" s="96" t="n">
        <f aca="false">Machine_List!C39</f>
        <v>46040</v>
      </c>
      <c r="D38" s="1" t="n">
        <f aca="false">Machine_List!D39</f>
        <v>6</v>
      </c>
      <c r="E38" s="1" t="n">
        <f aca="false">Machine_List!E39</f>
        <v>4</v>
      </c>
      <c r="F38" s="96"/>
    </row>
    <row r="39" customFormat="false" ht="15" hidden="false" customHeight="true" outlineLevel="0" collapsed="false">
      <c r="A39" s="1" t="str">
        <f aca="false">Machine_List!B40</f>
        <v>EDM-MC-21</v>
      </c>
      <c r="B39" s="1" t="str">
        <f aca="false">Machine_List!A40</f>
        <v>EDM</v>
      </c>
      <c r="C39" s="96" t="n">
        <f aca="false">Machine_List!C40</f>
        <v>46476</v>
      </c>
      <c r="D39" s="1" t="n">
        <f aca="false">Machine_List!D40</f>
        <v>6</v>
      </c>
      <c r="E39" s="1" t="n">
        <f aca="false">Machine_List!E40</f>
        <v>4</v>
      </c>
      <c r="F39" s="96"/>
    </row>
    <row r="40" customFormat="false" ht="15" hidden="false" customHeight="true" outlineLevel="0" collapsed="false">
      <c r="A40" s="1" t="str">
        <f aca="false">Machine_List!B41</f>
        <v>EDM-MC-22</v>
      </c>
      <c r="B40" s="1" t="str">
        <f aca="false">Machine_List!A41</f>
        <v>EDM</v>
      </c>
      <c r="C40" s="96" t="n">
        <f aca="false">Machine_List!C41</f>
        <v>46239</v>
      </c>
      <c r="D40" s="1" t="n">
        <f aca="false">Machine_List!D41</f>
        <v>6</v>
      </c>
      <c r="E40" s="1" t="n">
        <f aca="false">Machine_List!E41</f>
        <v>4</v>
      </c>
      <c r="F40" s="96"/>
    </row>
    <row r="41" customFormat="false" ht="15" hidden="false" customHeight="true" outlineLevel="0" collapsed="false">
      <c r="A41" s="1" t="str">
        <f aca="false">Machine_List!B42</f>
        <v>EDM-MC-23</v>
      </c>
      <c r="B41" s="1" t="str">
        <f aca="false">Machine_List!A42</f>
        <v>EDM</v>
      </c>
      <c r="C41" s="96" t="n">
        <f aca="false">Machine_List!C42</f>
        <v>46324</v>
      </c>
      <c r="D41" s="1" t="n">
        <f aca="false">Machine_List!D42</f>
        <v>6</v>
      </c>
      <c r="E41" s="1" t="n">
        <f aca="false">Machine_List!E42</f>
        <v>4</v>
      </c>
      <c r="F41" s="96"/>
    </row>
    <row r="42" customFormat="false" ht="15" hidden="false" customHeight="true" outlineLevel="0" collapsed="false">
      <c r="A42" s="1" t="str">
        <f aca="false">Machine_List!B43</f>
        <v>EDM-MC-24</v>
      </c>
      <c r="B42" s="1" t="str">
        <f aca="false">Machine_List!A43</f>
        <v>EDM</v>
      </c>
      <c r="C42" s="96" t="n">
        <f aca="false">Machine_List!C43</f>
        <v>46097</v>
      </c>
      <c r="D42" s="1" t="n">
        <f aca="false">Machine_List!D43</f>
        <v>6</v>
      </c>
      <c r="E42" s="1" t="n">
        <f aca="false">Machine_List!E43</f>
        <v>4</v>
      </c>
      <c r="F42" s="96"/>
    </row>
    <row r="43" customFormat="false" ht="15" hidden="false" customHeight="true" outlineLevel="0" collapsed="false">
      <c r="A43" s="1" t="str">
        <f aca="false">Machine_List!B44</f>
        <v>EDM-MC-25</v>
      </c>
      <c r="B43" s="1" t="str">
        <f aca="false">Machine_List!A44</f>
        <v>EDM</v>
      </c>
      <c r="C43" s="96" t="n">
        <f aca="false">Machine_List!C44</f>
        <v>46098</v>
      </c>
      <c r="D43" s="1" t="n">
        <f aca="false">Machine_List!D44</f>
        <v>6</v>
      </c>
      <c r="E43" s="1" t="n">
        <f aca="false">Machine_List!E44</f>
        <v>4</v>
      </c>
      <c r="F43" s="96"/>
    </row>
    <row r="44" customFormat="false" ht="15" hidden="false" customHeight="true" outlineLevel="0" collapsed="false">
      <c r="A44" s="1" t="str">
        <f aca="false">Machine_List!B45</f>
        <v>EDM-MC-26</v>
      </c>
      <c r="B44" s="1" t="str">
        <f aca="false">Machine_List!A45</f>
        <v>EDM</v>
      </c>
      <c r="C44" s="96" t="n">
        <f aca="false">Machine_List!C45</f>
        <v>46202</v>
      </c>
      <c r="D44" s="1" t="n">
        <f aca="false">Machine_List!D45</f>
        <v>6</v>
      </c>
      <c r="E44" s="1" t="n">
        <f aca="false">Machine_List!E45</f>
        <v>4</v>
      </c>
      <c r="F44" s="96"/>
    </row>
    <row r="45" customFormat="false" ht="15" hidden="false" customHeight="true" outlineLevel="0" collapsed="false">
      <c r="A45" s="1" t="str">
        <f aca="false">Machine_List!B46</f>
        <v>EDM-MC-27</v>
      </c>
      <c r="B45" s="1" t="str">
        <f aca="false">Machine_List!A46</f>
        <v>EDM</v>
      </c>
      <c r="C45" s="96" t="n">
        <f aca="false">Machine_List!C46</f>
        <v>46188</v>
      </c>
      <c r="D45" s="1" t="n">
        <f aca="false">Machine_List!D46</f>
        <v>6</v>
      </c>
      <c r="E45" s="1" t="n">
        <f aca="false">Machine_List!E46</f>
        <v>4</v>
      </c>
      <c r="F45" s="96"/>
    </row>
    <row r="46" customFormat="false" ht="15" hidden="false" customHeight="true" outlineLevel="0" collapsed="false">
      <c r="A46" s="1" t="str">
        <f aca="false">Machine_List!B47</f>
        <v>EDM-MC-28</v>
      </c>
      <c r="B46" s="1" t="str">
        <f aca="false">Machine_List!A47</f>
        <v>EDM</v>
      </c>
      <c r="C46" s="96" t="n">
        <f aca="false">Machine_List!C47</f>
        <v>46182</v>
      </c>
      <c r="D46" s="1" t="n">
        <f aca="false">Machine_List!D47</f>
        <v>6</v>
      </c>
      <c r="E46" s="1" t="n">
        <f aca="false">Machine_List!E47</f>
        <v>4</v>
      </c>
      <c r="F46" s="96"/>
    </row>
    <row r="47" customFormat="false" ht="15" hidden="false" customHeight="true" outlineLevel="0" collapsed="false">
      <c r="A47" s="1" t="str">
        <f aca="false">Machine_List!B48</f>
        <v>EDM-MC-29</v>
      </c>
      <c r="B47" s="1" t="str">
        <f aca="false">Machine_List!A48</f>
        <v>EDM</v>
      </c>
      <c r="C47" s="96" t="n">
        <f aca="false">Machine_List!C48</f>
        <v>46493</v>
      </c>
      <c r="D47" s="1" t="n">
        <f aca="false">Machine_List!D48</f>
        <v>6</v>
      </c>
      <c r="E47" s="1" t="n">
        <f aca="false">Machine_List!E48</f>
        <v>4</v>
      </c>
      <c r="F47" s="96"/>
    </row>
    <row r="48" customFormat="false" ht="15" hidden="false" customHeight="true" outlineLevel="0" collapsed="false">
      <c r="A48" s="1" t="str">
        <f aca="false">Machine_List!B49</f>
        <v>EDM-MC-30</v>
      </c>
      <c r="B48" s="1" t="str">
        <f aca="false">Machine_List!A49</f>
        <v>EDM</v>
      </c>
      <c r="C48" s="96" t="n">
        <f aca="false">Machine_List!C49</f>
        <v>46106</v>
      </c>
      <c r="D48" s="1" t="n">
        <f aca="false">Machine_List!D49</f>
        <v>6</v>
      </c>
      <c r="E48" s="1" t="n">
        <f aca="false">Machine_List!E49</f>
        <v>4</v>
      </c>
      <c r="F48" s="96"/>
    </row>
    <row r="49" customFormat="false" ht="15" hidden="false" customHeight="true" outlineLevel="0" collapsed="false">
      <c r="A49" s="1" t="str">
        <f aca="false">Machine_List!B50</f>
        <v>ENG-MC-01</v>
      </c>
      <c r="B49" s="1" t="str">
        <f aca="false">Machine_List!A50</f>
        <v>ENG</v>
      </c>
      <c r="C49" s="96" t="n">
        <f aca="false">Machine_List!C50</f>
        <v>46090</v>
      </c>
      <c r="D49" s="1" t="n">
        <f aca="false">Machine_List!D50</f>
        <v>6</v>
      </c>
      <c r="E49" s="1" t="n">
        <f aca="false">Machine_List!E50</f>
        <v>4</v>
      </c>
      <c r="F49" s="96"/>
    </row>
    <row r="50" customFormat="false" ht="15" hidden="false" customHeight="true" outlineLevel="0" collapsed="false">
      <c r="A50" s="1" t="str">
        <f aca="false">Machine_List!B51</f>
        <v>ENG-MC-02</v>
      </c>
      <c r="B50" s="1" t="str">
        <f aca="false">Machine_List!A51</f>
        <v>ENG</v>
      </c>
      <c r="C50" s="96" t="n">
        <f aca="false">Machine_List!C51</f>
        <v>46230</v>
      </c>
      <c r="D50" s="1" t="n">
        <f aca="false">Machine_List!D51</f>
        <v>6</v>
      </c>
      <c r="E50" s="1" t="n">
        <f aca="false">Machine_List!E51</f>
        <v>4</v>
      </c>
      <c r="F50" s="96"/>
    </row>
    <row r="51" customFormat="false" ht="15" hidden="false" customHeight="true" outlineLevel="0" collapsed="false">
      <c r="A51" s="1" t="str">
        <f aca="false">Machine_List!B52</f>
        <v>ENG-MC-03</v>
      </c>
      <c r="B51" s="1" t="str">
        <f aca="false">Machine_List!A52</f>
        <v>ENG</v>
      </c>
      <c r="C51" s="96" t="n">
        <f aca="false">Machine_List!C52</f>
        <v>46433</v>
      </c>
      <c r="D51" s="1" t="n">
        <f aca="false">Machine_List!D52</f>
        <v>6</v>
      </c>
      <c r="E51" s="1" t="n">
        <f aca="false">Machine_List!E52</f>
        <v>4</v>
      </c>
      <c r="F51" s="96"/>
    </row>
    <row r="52" customFormat="false" ht="15" hidden="false" customHeight="true" outlineLevel="0" collapsed="false">
      <c r="A52" s="1" t="str">
        <f aca="false">Machine_List!B53</f>
        <v>ENG-MC-04</v>
      </c>
      <c r="B52" s="1" t="str">
        <f aca="false">Machine_List!A53</f>
        <v>ENG</v>
      </c>
      <c r="C52" s="96" t="n">
        <f aca="false">Machine_List!C53</f>
        <v>46450</v>
      </c>
      <c r="D52" s="1" t="n">
        <f aca="false">Machine_List!D53</f>
        <v>6</v>
      </c>
      <c r="E52" s="1" t="n">
        <f aca="false">Machine_List!E53</f>
        <v>4</v>
      </c>
      <c r="F52" s="96"/>
    </row>
    <row r="53" customFormat="false" ht="15" hidden="false" customHeight="true" outlineLevel="0" collapsed="false">
      <c r="A53" s="1" t="str">
        <f aca="false">Machine_List!B54</f>
        <v>ENG-MC-05</v>
      </c>
      <c r="B53" s="1" t="str">
        <f aca="false">Machine_List!A54</f>
        <v>ENG</v>
      </c>
      <c r="C53" s="96" t="n">
        <f aca="false">Machine_List!C54</f>
        <v>46049</v>
      </c>
      <c r="D53" s="1" t="n">
        <f aca="false">Machine_List!D54</f>
        <v>6</v>
      </c>
      <c r="E53" s="1" t="n">
        <f aca="false">Machine_List!E54</f>
        <v>4</v>
      </c>
      <c r="F53" s="96"/>
    </row>
    <row r="54" customFormat="false" ht="15" hidden="false" customHeight="true" outlineLevel="0" collapsed="false">
      <c r="A54" s="1" t="str">
        <f aca="false">Machine_List!B55</f>
        <v>ENG-MC-06</v>
      </c>
      <c r="B54" s="1" t="str">
        <f aca="false">Machine_List!A55</f>
        <v>ENG</v>
      </c>
      <c r="C54" s="96" t="n">
        <f aca="false">Machine_List!C55</f>
        <v>46074</v>
      </c>
      <c r="D54" s="1" t="n">
        <f aca="false">Machine_List!D55</f>
        <v>6</v>
      </c>
      <c r="E54" s="1" t="n">
        <f aca="false">Machine_List!E55</f>
        <v>4</v>
      </c>
      <c r="F54" s="96"/>
    </row>
    <row r="55" customFormat="false" ht="15" hidden="false" customHeight="true" outlineLevel="0" collapsed="false">
      <c r="A55" s="1" t="str">
        <f aca="false">Machine_List!B56</f>
        <v>ENG-MC-07</v>
      </c>
      <c r="B55" s="1" t="str">
        <f aca="false">Machine_List!A56</f>
        <v>ENG</v>
      </c>
      <c r="C55" s="96" t="n">
        <f aca="false">Machine_List!C56</f>
        <v>46272</v>
      </c>
      <c r="D55" s="1" t="n">
        <f aca="false">Machine_List!D56</f>
        <v>6</v>
      </c>
      <c r="E55" s="1" t="n">
        <f aca="false">Machine_List!E56</f>
        <v>4</v>
      </c>
      <c r="F55" s="96"/>
    </row>
    <row r="56" customFormat="false" ht="15" hidden="false" customHeight="true" outlineLevel="0" collapsed="false">
      <c r="A56" s="1" t="str">
        <f aca="false">Machine_List!B57</f>
        <v>ENG-MC-08</v>
      </c>
      <c r="B56" s="1" t="str">
        <f aca="false">Machine_List!A57</f>
        <v>ENG</v>
      </c>
      <c r="C56" s="96" t="n">
        <f aca="false">Machine_List!C57</f>
        <v>46383</v>
      </c>
      <c r="D56" s="1" t="n">
        <f aca="false">Machine_List!D57</f>
        <v>6</v>
      </c>
      <c r="E56" s="1" t="n">
        <f aca="false">Machine_List!E57</f>
        <v>4</v>
      </c>
      <c r="F56" s="96"/>
    </row>
    <row r="57" customFormat="false" ht="15" hidden="false" customHeight="true" outlineLevel="0" collapsed="false">
      <c r="A57" s="1" t="str">
        <f aca="false">Machine_List!B58</f>
        <v>ENG-MC-09</v>
      </c>
      <c r="B57" s="1" t="str">
        <f aca="false">Machine_List!A58</f>
        <v>ENG</v>
      </c>
      <c r="C57" s="96" t="n">
        <f aca="false">Machine_List!C58</f>
        <v>46471</v>
      </c>
      <c r="D57" s="1" t="n">
        <f aca="false">Machine_List!D58</f>
        <v>6</v>
      </c>
      <c r="E57" s="1" t="n">
        <f aca="false">Machine_List!E58</f>
        <v>4</v>
      </c>
      <c r="F57" s="96"/>
    </row>
    <row r="58" customFormat="false" ht="15" hidden="false" customHeight="true" outlineLevel="0" collapsed="false">
      <c r="A58" s="1" t="str">
        <f aca="false">Machine_List!B59</f>
        <v>ENG-MC-10</v>
      </c>
      <c r="B58" s="1" t="str">
        <f aca="false">Machine_List!A59</f>
        <v>ENG</v>
      </c>
      <c r="C58" s="96" t="n">
        <f aca="false">Machine_List!C59</f>
        <v>46377</v>
      </c>
      <c r="D58" s="1" t="n">
        <f aca="false">Machine_List!D59</f>
        <v>6</v>
      </c>
      <c r="E58" s="1" t="n">
        <f aca="false">Machine_List!E59</f>
        <v>4</v>
      </c>
      <c r="F58" s="96"/>
    </row>
    <row r="59" customFormat="false" ht="15" hidden="false" customHeight="true" outlineLevel="0" collapsed="false">
      <c r="A59" s="1" t="str">
        <f aca="false">Machine_List!B60</f>
        <v>ENG-MC-11</v>
      </c>
      <c r="B59" s="1" t="str">
        <f aca="false">Machine_List!A60</f>
        <v>ENG</v>
      </c>
      <c r="C59" s="96" t="n">
        <f aca="false">Machine_List!C60</f>
        <v>46517</v>
      </c>
      <c r="D59" s="1" t="n">
        <f aca="false">Machine_List!D60</f>
        <v>6</v>
      </c>
      <c r="E59" s="1" t="n">
        <f aca="false">Machine_List!E60</f>
        <v>4</v>
      </c>
      <c r="F59" s="96"/>
    </row>
    <row r="60" customFormat="false" ht="15" hidden="false" customHeight="true" outlineLevel="0" collapsed="false">
      <c r="A60" s="1" t="str">
        <f aca="false">Machine_List!B61</f>
        <v>ENG-MC-12</v>
      </c>
      <c r="B60" s="1" t="str">
        <f aca="false">Machine_List!A61</f>
        <v>ENG</v>
      </c>
      <c r="C60" s="96" t="n">
        <f aca="false">Machine_List!C61</f>
        <v>46454</v>
      </c>
      <c r="D60" s="1" t="n">
        <f aca="false">Machine_List!D61</f>
        <v>6</v>
      </c>
      <c r="E60" s="1" t="n">
        <f aca="false">Machine_List!E61</f>
        <v>4</v>
      </c>
      <c r="F60" s="96"/>
    </row>
    <row r="61" customFormat="false" ht="15" hidden="false" customHeight="true" outlineLevel="0" collapsed="false">
      <c r="A61" s="1" t="str">
        <f aca="false">Machine_List!B62</f>
        <v>ENG-MC-13</v>
      </c>
      <c r="B61" s="1" t="str">
        <f aca="false">Machine_List!A62</f>
        <v>ENG</v>
      </c>
      <c r="C61" s="96" t="n">
        <f aca="false">Machine_List!C62</f>
        <v>46371</v>
      </c>
      <c r="D61" s="1" t="n">
        <f aca="false">Machine_List!D62</f>
        <v>6</v>
      </c>
      <c r="E61" s="1" t="n">
        <f aca="false">Machine_List!E62</f>
        <v>4</v>
      </c>
      <c r="F61" s="96"/>
    </row>
    <row r="62" customFormat="false" ht="15" hidden="false" customHeight="true" outlineLevel="0" collapsed="false">
      <c r="A62" s="1" t="str">
        <f aca="false">Machine_List!B63</f>
        <v>ENG-MC-14</v>
      </c>
      <c r="B62" s="1" t="str">
        <f aca="false">Machine_List!A63</f>
        <v>ENG</v>
      </c>
      <c r="C62" s="96" t="n">
        <f aca="false">Machine_List!C63</f>
        <v>46219</v>
      </c>
      <c r="D62" s="1" t="n">
        <f aca="false">Machine_List!D63</f>
        <v>6</v>
      </c>
      <c r="E62" s="1" t="n">
        <f aca="false">Machine_List!E63</f>
        <v>4</v>
      </c>
      <c r="F62" s="96"/>
    </row>
    <row r="63" customFormat="false" ht="15" hidden="false" customHeight="true" outlineLevel="0" collapsed="false">
      <c r="A63" s="1" t="str">
        <f aca="false">Machine_List!B64</f>
        <v>VENT-MC-01</v>
      </c>
      <c r="B63" s="1" t="str">
        <f aca="false">Machine_List!A64</f>
        <v>VENT</v>
      </c>
      <c r="C63" s="96" t="n">
        <f aca="false">Machine_List!C64</f>
        <v>46230</v>
      </c>
      <c r="D63" s="1" t="n">
        <f aca="false">Machine_List!D64</f>
        <v>6</v>
      </c>
      <c r="E63" s="1" t="n">
        <f aca="false">Machine_List!E64</f>
        <v>4</v>
      </c>
      <c r="F63" s="96"/>
    </row>
    <row r="64" customFormat="false" ht="15" hidden="false" customHeight="true" outlineLevel="0" collapsed="false">
      <c r="A64" s="1" t="str">
        <f aca="false">Machine_List!B65</f>
        <v>VENT-MC-02</v>
      </c>
      <c r="B64" s="1" t="str">
        <f aca="false">Machine_List!A65</f>
        <v>VENT</v>
      </c>
      <c r="C64" s="96" t="n">
        <f aca="false">Machine_List!C65</f>
        <v>46191</v>
      </c>
      <c r="D64" s="1" t="n">
        <f aca="false">Machine_List!D65</f>
        <v>6</v>
      </c>
      <c r="E64" s="1" t="n">
        <f aca="false">Machine_List!E65</f>
        <v>4</v>
      </c>
      <c r="F64" s="96"/>
    </row>
    <row r="65" customFormat="false" ht="15" hidden="false" customHeight="true" outlineLevel="0" collapsed="false">
      <c r="A65" s="1" t="str">
        <f aca="false">Machine_List!B66</f>
        <v>VENT-MC-03</v>
      </c>
      <c r="B65" s="1" t="str">
        <f aca="false">Machine_List!A66</f>
        <v>VENT</v>
      </c>
      <c r="C65" s="96" t="n">
        <f aca="false">Machine_List!C66</f>
        <v>46054</v>
      </c>
      <c r="D65" s="1" t="n">
        <f aca="false">Machine_List!D66</f>
        <v>6</v>
      </c>
      <c r="E65" s="1" t="n">
        <f aca="false">Machine_List!E66</f>
        <v>4</v>
      </c>
      <c r="F65" s="96"/>
    </row>
    <row r="66" customFormat="false" ht="15" hidden="false" customHeight="true" outlineLevel="0" collapsed="false">
      <c r="A66" s="1" t="str">
        <f aca="false">Machine_List!B67</f>
        <v>VENT-MC-04</v>
      </c>
      <c r="B66" s="1" t="str">
        <f aca="false">Machine_List!A67</f>
        <v>VENT</v>
      </c>
      <c r="C66" s="96" t="n">
        <f aca="false">Machine_List!C67</f>
        <v>46255</v>
      </c>
      <c r="D66" s="1" t="n">
        <f aca="false">Machine_List!D67</f>
        <v>6</v>
      </c>
      <c r="E66" s="1" t="n">
        <f aca="false">Machine_List!E67</f>
        <v>4</v>
      </c>
      <c r="F66" s="96"/>
    </row>
    <row r="67" customFormat="false" ht="15" hidden="false" customHeight="true" outlineLevel="0" collapsed="false">
      <c r="A67" s="1" t="str">
        <f aca="false">Machine_List!B68</f>
        <v>VENT-MC-05</v>
      </c>
      <c r="B67" s="1" t="str">
        <f aca="false">Machine_List!A68</f>
        <v>VENT</v>
      </c>
      <c r="C67" s="96" t="n">
        <f aca="false">Machine_List!C68</f>
        <v>46394</v>
      </c>
      <c r="D67" s="1" t="n">
        <f aca="false">Machine_List!D68</f>
        <v>6</v>
      </c>
      <c r="E67" s="1" t="n">
        <f aca="false">Machine_List!E68</f>
        <v>4</v>
      </c>
      <c r="F67" s="96"/>
    </row>
    <row r="68" customFormat="false" ht="15" hidden="false" customHeight="true" outlineLevel="0" collapsed="false">
      <c r="A68" s="1" t="str">
        <f aca="false">Machine_List!B69</f>
        <v>VENT-MC-06</v>
      </c>
      <c r="B68" s="1" t="str">
        <f aca="false">Machine_List!A69</f>
        <v>VENT</v>
      </c>
      <c r="C68" s="96" t="n">
        <f aca="false">Machine_List!C69</f>
        <v>46347</v>
      </c>
      <c r="D68" s="1" t="n">
        <f aca="false">Machine_List!D69</f>
        <v>6</v>
      </c>
      <c r="E68" s="1" t="n">
        <f aca="false">Machine_List!E69</f>
        <v>4</v>
      </c>
      <c r="F68" s="96"/>
    </row>
    <row r="69" customFormat="false" ht="15" hidden="false" customHeight="true" outlineLevel="0" collapsed="false">
      <c r="A69" s="1" t="str">
        <f aca="false">Machine_List!B70</f>
        <v>VENT-MC-07</v>
      </c>
      <c r="B69" s="1" t="str">
        <f aca="false">Machine_List!A70</f>
        <v>VENT</v>
      </c>
      <c r="C69" s="96" t="n">
        <f aca="false">Machine_List!C70</f>
        <v>46234</v>
      </c>
      <c r="D69" s="1" t="n">
        <f aca="false">Machine_List!D70</f>
        <v>6</v>
      </c>
      <c r="E69" s="1" t="n">
        <f aca="false">Machine_List!E70</f>
        <v>4</v>
      </c>
      <c r="F69" s="96"/>
    </row>
    <row r="70" customFormat="false" ht="15" hidden="false" customHeight="true" outlineLevel="0" collapsed="false">
      <c r="A70" s="1" t="str">
        <f aca="false">Machine_List!B71</f>
        <v>VENT-MC-08</v>
      </c>
      <c r="B70" s="1" t="str">
        <f aca="false">Machine_List!A71</f>
        <v>VENT</v>
      </c>
      <c r="C70" s="96" t="n">
        <f aca="false">Machine_List!C71</f>
        <v>46138</v>
      </c>
      <c r="D70" s="1" t="n">
        <f aca="false">Machine_List!D71</f>
        <v>6</v>
      </c>
      <c r="E70" s="1" t="n">
        <f aca="false">Machine_List!E71</f>
        <v>4</v>
      </c>
      <c r="F70" s="96"/>
    </row>
    <row r="71" customFormat="false" ht="15" hidden="false" customHeight="true" outlineLevel="0" collapsed="false">
      <c r="A71" s="1" t="str">
        <f aca="false">Machine_List!B72</f>
        <v>FID-MC-01</v>
      </c>
      <c r="B71" s="1" t="str">
        <f aca="false">Machine_List!A72</f>
        <v>FID</v>
      </c>
      <c r="C71" s="96" t="n">
        <f aca="false">Machine_List!C72</f>
        <v>46106</v>
      </c>
      <c r="D71" s="1" t="n">
        <f aca="false">Machine_List!D72</f>
        <v>6</v>
      </c>
      <c r="E71" s="1" t="n">
        <f aca="false">Machine_List!E72</f>
        <v>4</v>
      </c>
      <c r="F71" s="96"/>
    </row>
    <row r="72" customFormat="false" ht="15" hidden="false" customHeight="true" outlineLevel="0" collapsed="false">
      <c r="A72" s="1" t="str">
        <f aca="false">Machine_List!B73</f>
        <v>FID-MC-02</v>
      </c>
      <c r="B72" s="1" t="str">
        <f aca="false">Machine_List!A73</f>
        <v>FID</v>
      </c>
      <c r="C72" s="96" t="n">
        <f aca="false">Machine_List!C73</f>
        <v>46142</v>
      </c>
      <c r="D72" s="1" t="n">
        <f aca="false">Machine_List!D73</f>
        <v>6</v>
      </c>
      <c r="E72" s="1" t="n">
        <f aca="false">Machine_List!E73</f>
        <v>4</v>
      </c>
      <c r="F72" s="96"/>
    </row>
    <row r="73" customFormat="false" ht="15" hidden="false" customHeight="true" outlineLevel="0" collapsed="false">
      <c r="A73" s="1" t="str">
        <f aca="false">Machine_List!B74</f>
        <v>FID-MC-03</v>
      </c>
      <c r="B73" s="1" t="str">
        <f aca="false">Machine_List!A74</f>
        <v>FID</v>
      </c>
      <c r="C73" s="96" t="n">
        <f aca="false">Machine_List!C74</f>
        <v>46483</v>
      </c>
      <c r="D73" s="1" t="n">
        <f aca="false">Machine_List!D74</f>
        <v>6</v>
      </c>
      <c r="E73" s="1" t="n">
        <f aca="false">Machine_List!E74</f>
        <v>4</v>
      </c>
      <c r="F73" s="96"/>
    </row>
    <row r="74" customFormat="false" ht="15" hidden="false" customHeight="true" outlineLevel="0" collapsed="false">
      <c r="A74" s="1" t="str">
        <f aca="false">Machine_List!B75</f>
        <v>FID-MC-04</v>
      </c>
      <c r="B74" s="1" t="str">
        <f aca="false">Machine_List!A75</f>
        <v>FID</v>
      </c>
      <c r="C74" s="96" t="n">
        <f aca="false">Machine_List!C75</f>
        <v>46318</v>
      </c>
      <c r="D74" s="1" t="n">
        <f aca="false">Machine_List!D75</f>
        <v>6</v>
      </c>
      <c r="E74" s="1" t="n">
        <f aca="false">Machine_List!E75</f>
        <v>4</v>
      </c>
      <c r="F74" s="96"/>
    </row>
    <row r="75" customFormat="false" ht="15" hidden="false" customHeight="true" outlineLevel="0" collapsed="false">
      <c r="A75" s="1" t="str">
        <f aca="false">Machine_List!B76</f>
        <v>FID-MC-05</v>
      </c>
      <c r="B75" s="1" t="str">
        <f aca="false">Machine_List!A76</f>
        <v>FID</v>
      </c>
      <c r="C75" s="96" t="n">
        <f aca="false">Machine_List!C76</f>
        <v>46431</v>
      </c>
      <c r="D75" s="1" t="n">
        <f aca="false">Machine_List!D76</f>
        <v>6</v>
      </c>
      <c r="E75" s="1" t="n">
        <f aca="false">Machine_List!E76</f>
        <v>4</v>
      </c>
      <c r="F75" s="96"/>
    </row>
    <row r="76" customFormat="false" ht="15" hidden="false" customHeight="true" outlineLevel="0" collapsed="false">
      <c r="A76" s="1" t="str">
        <f aca="false">Machine_List!B77</f>
        <v>FID-MC-06</v>
      </c>
      <c r="B76" s="1" t="str">
        <f aca="false">Machine_List!A77</f>
        <v>FID</v>
      </c>
      <c r="C76" s="96" t="n">
        <f aca="false">Machine_List!C77</f>
        <v>46088</v>
      </c>
      <c r="D76" s="1" t="n">
        <f aca="false">Machine_List!D77</f>
        <v>6</v>
      </c>
      <c r="E76" s="1" t="n">
        <f aca="false">Machine_List!E77</f>
        <v>4</v>
      </c>
      <c r="F76" s="96"/>
    </row>
    <row r="77" customFormat="false" ht="15" hidden="false" customHeight="true" outlineLevel="0" collapsed="false">
      <c r="A77" s="1" t="str">
        <f aca="false">Machine_List!B78</f>
        <v>FID-MC-07</v>
      </c>
      <c r="B77" s="1" t="str">
        <f aca="false">Machine_List!A78</f>
        <v>FID</v>
      </c>
      <c r="C77" s="96" t="n">
        <f aca="false">Machine_List!C78</f>
        <v>46402</v>
      </c>
      <c r="D77" s="1" t="n">
        <f aca="false">Machine_List!D78</f>
        <v>6</v>
      </c>
      <c r="E77" s="1" t="n">
        <f aca="false">Machine_List!E78</f>
        <v>4</v>
      </c>
      <c r="F77" s="96"/>
    </row>
    <row r="78" customFormat="false" ht="15" hidden="false" customHeight="true" outlineLevel="0" collapsed="false">
      <c r="A78" s="1" t="str">
        <f aca="false">Machine_List!B79</f>
        <v>FID-MC-08</v>
      </c>
      <c r="B78" s="1" t="str">
        <f aca="false">Machine_List!A79</f>
        <v>FID</v>
      </c>
      <c r="C78" s="96" t="n">
        <f aca="false">Machine_List!C79</f>
        <v>46328</v>
      </c>
      <c r="D78" s="1" t="n">
        <f aca="false">Machine_List!D79</f>
        <v>6</v>
      </c>
      <c r="E78" s="1" t="n">
        <f aca="false">Machine_List!E79</f>
        <v>4</v>
      </c>
      <c r="F78" s="96"/>
    </row>
    <row r="79" customFormat="false" ht="15" hidden="false" customHeight="true" outlineLevel="0" collapsed="false">
      <c r="A79" s="1" t="str">
        <f aca="false">Machine_List!B80</f>
        <v>FID-MC-09</v>
      </c>
      <c r="B79" s="1" t="str">
        <f aca="false">Machine_List!A80</f>
        <v>FID</v>
      </c>
      <c r="C79" s="96" t="n">
        <f aca="false">Machine_List!C80</f>
        <v>46165</v>
      </c>
      <c r="D79" s="1" t="n">
        <f aca="false">Machine_List!D80</f>
        <v>6</v>
      </c>
      <c r="E79" s="1" t="n">
        <f aca="false">Machine_List!E80</f>
        <v>4</v>
      </c>
      <c r="F79" s="96"/>
    </row>
    <row r="80" customFormat="false" ht="15" hidden="false" customHeight="true" outlineLevel="0" collapsed="false">
      <c r="A80" s="1" t="str">
        <f aca="false">Machine_List!B81</f>
        <v>FID-MC-10</v>
      </c>
      <c r="B80" s="1" t="str">
        <f aca="false">Machine_List!A81</f>
        <v>FID</v>
      </c>
      <c r="C80" s="96" t="n">
        <f aca="false">Machine_List!C81</f>
        <v>46483</v>
      </c>
      <c r="D80" s="1" t="n">
        <f aca="false">Machine_List!D81</f>
        <v>6</v>
      </c>
      <c r="E80" s="1" t="n">
        <f aca="false">Machine_List!E81</f>
        <v>4</v>
      </c>
      <c r="F80" s="96"/>
    </row>
    <row r="81" customFormat="false" ht="15" hidden="false" customHeight="true" outlineLevel="0" collapsed="false">
      <c r="A81" s="1" t="str">
        <f aca="false">Machine_List!B82</f>
        <v>QC-MC-01</v>
      </c>
      <c r="B81" s="1" t="str">
        <f aca="false">Machine_List!A82</f>
        <v>QC</v>
      </c>
      <c r="C81" s="96" t="n">
        <f aca="false">Machine_List!C82</f>
        <v>46518</v>
      </c>
      <c r="D81" s="1" t="n">
        <f aca="false">Machine_List!D82</f>
        <v>6</v>
      </c>
      <c r="E81" s="1" t="n">
        <f aca="false">Machine_List!E82</f>
        <v>4</v>
      </c>
      <c r="F81" s="96"/>
    </row>
    <row r="82" customFormat="false" ht="15" hidden="false" customHeight="true" outlineLevel="0" collapsed="false">
      <c r="A82" s="1" t="str">
        <f aca="false">Machine_List!B83</f>
        <v>QC-MC-02</v>
      </c>
      <c r="B82" s="1" t="str">
        <f aca="false">Machine_List!A83</f>
        <v>QC</v>
      </c>
      <c r="C82" s="96" t="n">
        <f aca="false">Machine_List!C83</f>
        <v>46115</v>
      </c>
      <c r="D82" s="1" t="n">
        <f aca="false">Machine_List!D83</f>
        <v>6</v>
      </c>
      <c r="E82" s="1" t="n">
        <f aca="false">Machine_List!E83</f>
        <v>4</v>
      </c>
      <c r="F82" s="96"/>
    </row>
    <row r="83" customFormat="false" ht="15" hidden="false" customHeight="true" outlineLevel="0" collapsed="false">
      <c r="A83" s="1" t="str">
        <f aca="false">Machine_List!B84</f>
        <v>QC-MC-03</v>
      </c>
      <c r="B83" s="1" t="str">
        <f aca="false">Machine_List!A84</f>
        <v>QC</v>
      </c>
      <c r="C83" s="96" t="n">
        <f aca="false">Machine_List!C84</f>
        <v>46172</v>
      </c>
      <c r="D83" s="1" t="n">
        <f aca="false">Machine_List!D84</f>
        <v>6</v>
      </c>
      <c r="E83" s="1" t="n">
        <f aca="false">Machine_List!E84</f>
        <v>4</v>
      </c>
      <c r="F83" s="96"/>
    </row>
    <row r="84" customFormat="false" ht="15" hidden="false" customHeight="true" outlineLevel="0" collapsed="false">
      <c r="A84" s="1" t="str">
        <f aca="false">Machine_List!B85</f>
        <v>QC-MC-04</v>
      </c>
      <c r="B84" s="1" t="str">
        <f aca="false">Machine_List!A85</f>
        <v>QC</v>
      </c>
      <c r="C84" s="96" t="n">
        <f aca="false">Machine_List!C85</f>
        <v>46195</v>
      </c>
      <c r="D84" s="1" t="n">
        <f aca="false">Machine_List!D85</f>
        <v>6</v>
      </c>
      <c r="E84" s="1" t="n">
        <f aca="false">Machine_List!E85</f>
        <v>4</v>
      </c>
      <c r="F84" s="96"/>
    </row>
    <row r="85" customFormat="false" ht="15" hidden="false" customHeight="true" outlineLevel="0" collapsed="false">
      <c r="A85" s="1" t="str">
        <f aca="false">Machine_List!B86</f>
        <v>QC-MC-05</v>
      </c>
      <c r="B85" s="1" t="str">
        <f aca="false">Machine_List!A86</f>
        <v>QC</v>
      </c>
      <c r="C85" s="96" t="n">
        <f aca="false">Machine_List!C86</f>
        <v>46373</v>
      </c>
      <c r="D85" s="1" t="n">
        <f aca="false">Machine_List!D86</f>
        <v>6</v>
      </c>
      <c r="E85" s="1" t="n">
        <f aca="false">Machine_List!E86</f>
        <v>4</v>
      </c>
      <c r="F85" s="96"/>
    </row>
    <row r="88" customFormat="false" ht="15" hidden="false" customHeight="true" outlineLevel="0" collapsed="false">
      <c r="A88" s="64" t="s">
        <v>371</v>
      </c>
      <c r="B88" s="64" t="n">
        <v>83</v>
      </c>
      <c r="D88" s="64" t="s">
        <v>372</v>
      </c>
      <c r="E88" s="124" t="n">
        <f aca="false">SUM(D3:D85)</f>
        <v>498</v>
      </c>
      <c r="G88" s="64" t="s">
        <v>373</v>
      </c>
      <c r="H88" s="132" t="n">
        <f aca="false">COUNTIF(J3:J85,"Open")</f>
        <v>0</v>
      </c>
    </row>
  </sheetData>
  <mergeCells count="1">
    <mergeCell ref="A1:K1"/>
  </mergeCells>
  <conditionalFormatting sqref="J3:J136">
    <cfRule type="containsText" priority="2" operator="containsText" aboveAverage="0" equalAverage="0" bottom="0" percent="0" rank="0" text="Open" dxfId="7">
      <formula>NOT(ISERROR(SEARCH("Open",J3)))</formula>
    </cfRule>
    <cfRule type="containsText" priority="3" operator="containsText" aboveAverage="0" equalAverage="0" bottom="0" percent="0" rank="0" text="Closed" dxfId="5">
      <formula>NOT(ISERROR(SEARCH("Closed",J3)))</formula>
    </cfRule>
    <cfRule type="containsText" priority="4" operator="containsText" aboveAverage="0" equalAverage="0" bottom="0" percent="0" rank="0" text="Pending" dxfId="6">
      <formula>NOT(ISERROR(SEARCH("Pending",J3)))</formula>
    </cfRule>
  </conditionalFormatting>
  <conditionalFormatting sqref="C3:C85">
    <cfRule type="expression" priority="5" aboveAverage="0" equalAverage="0" bottom="0" percent="0" rank="0" text="" dxfId="20">
      <formula>AND(ISNUMBER(C3),C3&lt;=TODAY()+30,C3&gt;=TODAY())</formula>
    </cfRule>
  </conditionalFormatting>
  <dataValidations count="2">
    <dataValidation allowBlank="false" errorStyle="stop" operator="between" showDropDown="false" showErrorMessage="false" showInputMessage="false" sqref="H3:H136" type="list">
      <formula1>"Mechanical,Electrical,Tooling,Maintenance,Power Failure,Operator Issue,Coolant Issue"</formula1>
      <formula2>0</formula2>
    </dataValidation>
    <dataValidation allowBlank="false" errorStyle="stop" operator="between" showDropDown="false" showErrorMessage="false" showInputMessage="false" sqref="J3:J136" type="list">
      <formula1>"Open,Closed,Pending"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374</v>
      </c>
    </row>
    <row r="2" customFormat="false" ht="15" hidden="false" customHeight="true" outlineLevel="0" collapsed="false">
      <c r="A2" s="64" t="s">
        <v>290</v>
      </c>
      <c r="B2" s="1" t="n">
        <v>1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8</v>
      </c>
      <c r="C4" s="4" t="n">
        <v>6</v>
      </c>
      <c r="D4" s="4" t="n">
        <v>14</v>
      </c>
      <c r="E4" s="4" t="n">
        <v>5</v>
      </c>
      <c r="F4" s="4" t="n">
        <v>2</v>
      </c>
      <c r="G4" s="4" t="n">
        <v>2</v>
      </c>
      <c r="H4" s="4" t="n">
        <v>8</v>
      </c>
      <c r="I4" s="4" t="n">
        <v>4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6</v>
      </c>
      <c r="C5" s="4" t="n">
        <v>8</v>
      </c>
      <c r="D5" s="4" t="n">
        <v>10</v>
      </c>
      <c r="E5" s="4" t="n">
        <v>16</v>
      </c>
      <c r="F5" s="4" t="n">
        <v>6</v>
      </c>
      <c r="G5" s="4" t="n">
        <v>6</v>
      </c>
      <c r="H5" s="4" t="n">
        <v>12</v>
      </c>
      <c r="I5" s="4" t="n">
        <v>5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9</v>
      </c>
      <c r="C6" s="4" t="n">
        <v>16</v>
      </c>
      <c r="D6" s="4" t="n">
        <v>20</v>
      </c>
      <c r="E6" s="4" t="n">
        <v>8</v>
      </c>
      <c r="F6" s="4" t="n">
        <v>8</v>
      </c>
      <c r="G6" s="4" t="n">
        <v>6</v>
      </c>
      <c r="H6" s="4" t="n">
        <v>7</v>
      </c>
      <c r="I6" s="4" t="n">
        <v>5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10</v>
      </c>
      <c r="C7" s="4" t="n">
        <v>7</v>
      </c>
      <c r="D7" s="4" t="n">
        <v>13</v>
      </c>
      <c r="E7" s="4" t="n">
        <v>21</v>
      </c>
      <c r="F7" s="4" t="n">
        <v>8</v>
      </c>
      <c r="G7" s="4" t="n">
        <v>12</v>
      </c>
      <c r="H7" s="4" t="n">
        <v>21</v>
      </c>
      <c r="I7" s="4" t="n">
        <v>4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9</v>
      </c>
      <c r="C8" s="4" t="n">
        <v>13</v>
      </c>
      <c r="D8" s="4" t="n">
        <v>11</v>
      </c>
      <c r="E8" s="4" t="n">
        <v>15</v>
      </c>
      <c r="F8" s="4" t="n">
        <v>16</v>
      </c>
      <c r="G8" s="4" t="n">
        <v>14</v>
      </c>
      <c r="H8" s="4" t="n">
        <v>22</v>
      </c>
      <c r="I8" s="4" t="n">
        <v>7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6</v>
      </c>
      <c r="C9" s="4" t="n">
        <v>24</v>
      </c>
      <c r="D9" s="4" t="n">
        <v>34</v>
      </c>
      <c r="E9" s="4" t="n">
        <v>21</v>
      </c>
      <c r="F9" s="4" t="n">
        <v>14</v>
      </c>
      <c r="G9" s="4" t="n">
        <v>12</v>
      </c>
      <c r="H9" s="4" t="n">
        <v>24</v>
      </c>
      <c r="I9" s="4" t="n">
        <v>7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8</v>
      </c>
      <c r="C10" s="4" t="n">
        <v>25</v>
      </c>
      <c r="D10" s="4" t="n">
        <v>17</v>
      </c>
      <c r="E10" s="4" t="n">
        <v>22</v>
      </c>
      <c r="F10" s="4" t="n">
        <v>7</v>
      </c>
      <c r="G10" s="4" t="n">
        <v>9</v>
      </c>
      <c r="H10" s="4" t="n">
        <v>14</v>
      </c>
      <c r="I10" s="4" t="n">
        <v>7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11</v>
      </c>
      <c r="C11" s="4" t="n">
        <v>11</v>
      </c>
      <c r="D11" s="4" t="n">
        <v>18</v>
      </c>
      <c r="E11" s="4" t="n">
        <v>14</v>
      </c>
      <c r="F11" s="4" t="n">
        <v>15</v>
      </c>
      <c r="G11" s="4" t="n">
        <v>15</v>
      </c>
      <c r="H11" s="4" t="n">
        <v>13</v>
      </c>
      <c r="I11" s="4" t="n">
        <v>7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13</v>
      </c>
      <c r="C12" s="4" t="n">
        <v>23</v>
      </c>
      <c r="D12" s="4" t="n">
        <v>39</v>
      </c>
      <c r="E12" s="4" t="n">
        <v>19</v>
      </c>
      <c r="F12" s="4" t="n">
        <v>15</v>
      </c>
      <c r="G12" s="4" t="n">
        <v>14</v>
      </c>
      <c r="H12" s="4" t="n">
        <v>29</v>
      </c>
      <c r="I12" s="4" t="n">
        <v>5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23</v>
      </c>
      <c r="C13" s="4" t="n">
        <v>28</v>
      </c>
      <c r="D13" s="4" t="n">
        <v>41</v>
      </c>
      <c r="E13" s="4" t="n">
        <v>25</v>
      </c>
      <c r="F13" s="4" t="n">
        <v>19</v>
      </c>
      <c r="G13" s="4" t="n">
        <v>15</v>
      </c>
      <c r="H13" s="4" t="n">
        <v>33</v>
      </c>
      <c r="I13" s="4" t="n">
        <v>11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16</v>
      </c>
      <c r="C14" s="4" t="n">
        <v>27</v>
      </c>
      <c r="D14" s="4" t="n">
        <v>40</v>
      </c>
      <c r="E14" s="4" t="n">
        <v>37</v>
      </c>
      <c r="F14" s="4" t="n">
        <v>24</v>
      </c>
      <c r="G14" s="4" t="n">
        <v>21</v>
      </c>
      <c r="H14" s="4" t="n">
        <v>29</v>
      </c>
      <c r="I14" s="4" t="n">
        <v>13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12</v>
      </c>
      <c r="C15" s="4" t="n">
        <v>37</v>
      </c>
      <c r="D15" s="4" t="n">
        <v>41</v>
      </c>
      <c r="E15" s="4" t="n">
        <v>30</v>
      </c>
      <c r="F15" s="4" t="n">
        <v>18</v>
      </c>
      <c r="G15" s="4" t="n">
        <v>24</v>
      </c>
      <c r="H15" s="4" t="n">
        <v>28</v>
      </c>
      <c r="I15" s="4" t="n">
        <v>6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13</v>
      </c>
      <c r="C16" s="4" t="n">
        <v>28</v>
      </c>
      <c r="D16" s="4" t="n">
        <v>38</v>
      </c>
      <c r="E16" s="4" t="n">
        <v>34</v>
      </c>
      <c r="F16" s="4" t="n">
        <v>26</v>
      </c>
      <c r="G16" s="4" t="n">
        <v>21</v>
      </c>
      <c r="H16" s="4" t="n">
        <v>20</v>
      </c>
      <c r="I16" s="4" t="n">
        <v>14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14</v>
      </c>
      <c r="C17" s="4" t="n">
        <v>42</v>
      </c>
      <c r="D17" s="4" t="n">
        <v>45</v>
      </c>
      <c r="E17" s="4" t="n">
        <v>23</v>
      </c>
      <c r="F17" s="4" t="n">
        <v>14</v>
      </c>
      <c r="G17" s="4" t="n">
        <v>24</v>
      </c>
      <c r="H17" s="4" t="n">
        <v>36</v>
      </c>
      <c r="I17" s="4" t="n">
        <v>10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22</v>
      </c>
      <c r="C18" s="4" t="n">
        <v>45</v>
      </c>
      <c r="D18" s="4" t="n">
        <v>30</v>
      </c>
      <c r="E18" s="4" t="n">
        <v>35</v>
      </c>
      <c r="F18" s="4" t="n">
        <v>30</v>
      </c>
      <c r="G18" s="4" t="n">
        <v>19</v>
      </c>
      <c r="H18" s="4" t="n">
        <v>42</v>
      </c>
      <c r="I18" s="4" t="n">
        <v>14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375</v>
      </c>
    </row>
    <row r="2" customFormat="false" ht="15" hidden="false" customHeight="true" outlineLevel="0" collapsed="false">
      <c r="A2" s="64" t="s">
        <v>290</v>
      </c>
      <c r="B2" s="1" t="n">
        <v>2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14</v>
      </c>
      <c r="D4" s="4" t="n">
        <v>8</v>
      </c>
      <c r="E4" s="4" t="n">
        <v>14</v>
      </c>
      <c r="F4" s="4" t="n">
        <v>9</v>
      </c>
      <c r="G4" s="4" t="n">
        <v>6</v>
      </c>
      <c r="H4" s="4" t="n">
        <v>13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5</v>
      </c>
      <c r="C5" s="4" t="n">
        <v>16</v>
      </c>
      <c r="D5" s="4" t="n">
        <v>16</v>
      </c>
      <c r="E5" s="4" t="n">
        <v>13</v>
      </c>
      <c r="F5" s="4" t="n">
        <v>11</v>
      </c>
      <c r="G5" s="4" t="n">
        <v>7</v>
      </c>
      <c r="H5" s="4" t="n">
        <v>9</v>
      </c>
      <c r="I5" s="4" t="n">
        <v>2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4</v>
      </c>
      <c r="C6" s="4" t="n">
        <v>19</v>
      </c>
      <c r="D6" s="4" t="n">
        <v>17</v>
      </c>
      <c r="E6" s="4" t="n">
        <v>8</v>
      </c>
      <c r="F6" s="4" t="n">
        <v>7</v>
      </c>
      <c r="G6" s="4" t="n">
        <v>10</v>
      </c>
      <c r="H6" s="4" t="n">
        <v>15</v>
      </c>
      <c r="I6" s="4" t="n">
        <v>3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12</v>
      </c>
      <c r="C7" s="4" t="n">
        <v>15</v>
      </c>
      <c r="D7" s="4" t="n">
        <v>21</v>
      </c>
      <c r="E7" s="4" t="n">
        <v>16</v>
      </c>
      <c r="F7" s="4" t="n">
        <v>11</v>
      </c>
      <c r="G7" s="4" t="n">
        <v>8</v>
      </c>
      <c r="H7" s="4" t="n">
        <v>17</v>
      </c>
      <c r="I7" s="4" t="n">
        <v>3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10</v>
      </c>
      <c r="C8" s="4" t="n">
        <v>19</v>
      </c>
      <c r="D8" s="4" t="n">
        <v>21</v>
      </c>
      <c r="E8" s="4" t="n">
        <v>20</v>
      </c>
      <c r="F8" s="4" t="n">
        <v>11</v>
      </c>
      <c r="G8" s="4" t="n">
        <v>11</v>
      </c>
      <c r="H8" s="4" t="n">
        <v>22</v>
      </c>
      <c r="I8" s="4" t="n">
        <v>6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17</v>
      </c>
      <c r="C9" s="4" t="n">
        <v>21</v>
      </c>
      <c r="D9" s="4" t="n">
        <v>29</v>
      </c>
      <c r="E9" s="4" t="n">
        <v>19</v>
      </c>
      <c r="F9" s="4" t="n">
        <v>15</v>
      </c>
      <c r="G9" s="4" t="n">
        <v>12</v>
      </c>
      <c r="H9" s="4" t="n">
        <v>14</v>
      </c>
      <c r="I9" s="4" t="n">
        <v>5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10</v>
      </c>
      <c r="C10" s="4" t="n">
        <v>21</v>
      </c>
      <c r="D10" s="4" t="n">
        <v>18</v>
      </c>
      <c r="E10" s="4" t="n">
        <v>19</v>
      </c>
      <c r="F10" s="4" t="n">
        <v>14</v>
      </c>
      <c r="G10" s="4" t="n">
        <v>12</v>
      </c>
      <c r="H10" s="4" t="n">
        <v>23</v>
      </c>
      <c r="I10" s="4" t="n">
        <v>8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18</v>
      </c>
      <c r="C11" s="4" t="n">
        <v>29</v>
      </c>
      <c r="D11" s="4" t="n">
        <v>27</v>
      </c>
      <c r="E11" s="4" t="n">
        <v>17</v>
      </c>
      <c r="F11" s="4" t="n">
        <v>7</v>
      </c>
      <c r="G11" s="4" t="n">
        <v>12</v>
      </c>
      <c r="H11" s="4" t="n">
        <v>15</v>
      </c>
      <c r="I11" s="4" t="n">
        <v>4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11</v>
      </c>
      <c r="C12" s="4" t="n">
        <v>16</v>
      </c>
      <c r="D12" s="4" t="n">
        <v>43</v>
      </c>
      <c r="E12" s="4" t="n">
        <v>34</v>
      </c>
      <c r="F12" s="4" t="n">
        <v>16</v>
      </c>
      <c r="G12" s="4" t="n">
        <v>15</v>
      </c>
      <c r="H12" s="4" t="n">
        <v>34</v>
      </c>
      <c r="I12" s="4" t="n">
        <v>7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13</v>
      </c>
      <c r="C13" s="4" t="n">
        <v>24</v>
      </c>
      <c r="D13" s="4" t="n">
        <v>33</v>
      </c>
      <c r="E13" s="4" t="n">
        <v>18</v>
      </c>
      <c r="F13" s="4" t="n">
        <v>17</v>
      </c>
      <c r="G13" s="4" t="n">
        <v>20</v>
      </c>
      <c r="H13" s="4" t="n">
        <v>21</v>
      </c>
      <c r="I13" s="4" t="n">
        <v>8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16</v>
      </c>
      <c r="C14" s="4" t="n">
        <v>37</v>
      </c>
      <c r="D14" s="4" t="n">
        <v>40</v>
      </c>
      <c r="E14" s="4" t="n">
        <v>21</v>
      </c>
      <c r="F14" s="4" t="n">
        <v>21</v>
      </c>
      <c r="G14" s="4" t="n">
        <v>12</v>
      </c>
      <c r="H14" s="4" t="n">
        <v>19</v>
      </c>
      <c r="I14" s="4" t="n">
        <v>10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16</v>
      </c>
      <c r="C15" s="4" t="n">
        <v>19</v>
      </c>
      <c r="D15" s="4" t="n">
        <v>36</v>
      </c>
      <c r="E15" s="4" t="n">
        <v>27</v>
      </c>
      <c r="F15" s="4" t="n">
        <v>24</v>
      </c>
      <c r="G15" s="4" t="n">
        <v>19</v>
      </c>
      <c r="H15" s="4" t="n">
        <v>26</v>
      </c>
      <c r="I15" s="4" t="n">
        <v>9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24</v>
      </c>
      <c r="C16" s="4" t="n">
        <v>30</v>
      </c>
      <c r="D16" s="4" t="n">
        <v>49</v>
      </c>
      <c r="E16" s="4" t="n">
        <v>18</v>
      </c>
      <c r="F16" s="4" t="n">
        <v>21</v>
      </c>
      <c r="G16" s="4" t="n">
        <v>28</v>
      </c>
      <c r="H16" s="4" t="n">
        <v>25</v>
      </c>
      <c r="I16" s="4" t="n">
        <v>8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15</v>
      </c>
      <c r="C17" s="4" t="n">
        <v>31</v>
      </c>
      <c r="D17" s="4" t="n">
        <v>29</v>
      </c>
      <c r="E17" s="4" t="n">
        <v>40</v>
      </c>
      <c r="F17" s="4" t="n">
        <v>15</v>
      </c>
      <c r="G17" s="4" t="n">
        <v>17</v>
      </c>
      <c r="H17" s="4" t="n">
        <v>29</v>
      </c>
      <c r="I17" s="4" t="n">
        <v>7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21</v>
      </c>
      <c r="C18" s="4" t="n">
        <v>38</v>
      </c>
      <c r="D18" s="4" t="n">
        <v>49</v>
      </c>
      <c r="E18" s="4" t="n">
        <v>35</v>
      </c>
      <c r="F18" s="4" t="n">
        <v>29</v>
      </c>
      <c r="G18" s="4" t="n">
        <v>29</v>
      </c>
      <c r="H18" s="4" t="n">
        <v>46</v>
      </c>
      <c r="I18" s="4" t="n">
        <v>14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376</v>
      </c>
    </row>
    <row r="2" customFormat="false" ht="15" hidden="false" customHeight="true" outlineLevel="0" collapsed="false">
      <c r="A2" s="64" t="s">
        <v>290</v>
      </c>
      <c r="B2" s="1" t="n">
        <v>2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3</v>
      </c>
      <c r="C4" s="4" t="n">
        <v>6</v>
      </c>
      <c r="D4" s="4" t="n">
        <v>7</v>
      </c>
      <c r="E4" s="4" t="n">
        <v>9</v>
      </c>
      <c r="F4" s="4" t="n">
        <v>6</v>
      </c>
      <c r="G4" s="4" t="n">
        <v>5</v>
      </c>
      <c r="H4" s="4" t="n">
        <v>7</v>
      </c>
      <c r="I4" s="4" t="n">
        <v>4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8</v>
      </c>
      <c r="C5" s="4" t="n">
        <v>9</v>
      </c>
      <c r="D5" s="4" t="n">
        <v>17</v>
      </c>
      <c r="E5" s="4" t="n">
        <v>18</v>
      </c>
      <c r="F5" s="4" t="n">
        <v>5</v>
      </c>
      <c r="G5" s="4" t="n">
        <v>6</v>
      </c>
      <c r="H5" s="4" t="n">
        <v>10</v>
      </c>
      <c r="I5" s="4" t="n">
        <v>6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11</v>
      </c>
      <c r="C6" s="4" t="n">
        <v>15</v>
      </c>
      <c r="D6" s="4" t="n">
        <v>13</v>
      </c>
      <c r="E6" s="4" t="n">
        <v>15</v>
      </c>
      <c r="F6" s="4" t="n">
        <v>9</v>
      </c>
      <c r="G6" s="4" t="n">
        <v>8</v>
      </c>
      <c r="H6" s="4" t="n">
        <v>7</v>
      </c>
      <c r="I6" s="4" t="n">
        <v>4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8</v>
      </c>
      <c r="C7" s="4" t="n">
        <v>15</v>
      </c>
      <c r="D7" s="4" t="n">
        <v>28</v>
      </c>
      <c r="E7" s="4" t="n">
        <v>9</v>
      </c>
      <c r="F7" s="4" t="n">
        <v>11</v>
      </c>
      <c r="G7" s="4" t="n">
        <v>5</v>
      </c>
      <c r="H7" s="4" t="n">
        <v>13</v>
      </c>
      <c r="I7" s="4" t="n">
        <v>4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12</v>
      </c>
      <c r="C8" s="4" t="n">
        <v>11</v>
      </c>
      <c r="D8" s="4" t="n">
        <v>20</v>
      </c>
      <c r="E8" s="4" t="n">
        <v>8</v>
      </c>
      <c r="F8" s="4" t="n">
        <v>13</v>
      </c>
      <c r="G8" s="4" t="n">
        <v>15</v>
      </c>
      <c r="H8" s="4" t="n">
        <v>17</v>
      </c>
      <c r="I8" s="4" t="n">
        <v>8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10</v>
      </c>
      <c r="C9" s="4" t="n">
        <v>17</v>
      </c>
      <c r="D9" s="4" t="n">
        <v>23</v>
      </c>
      <c r="E9" s="4" t="n">
        <v>9</v>
      </c>
      <c r="F9" s="4" t="n">
        <v>17</v>
      </c>
      <c r="G9" s="4" t="n">
        <v>13</v>
      </c>
      <c r="H9" s="4" t="n">
        <v>15</v>
      </c>
      <c r="I9" s="4" t="n">
        <v>5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7</v>
      </c>
      <c r="C10" s="4" t="n">
        <v>21</v>
      </c>
      <c r="D10" s="4" t="n">
        <v>23</v>
      </c>
      <c r="E10" s="4" t="n">
        <v>19</v>
      </c>
      <c r="F10" s="4" t="n">
        <v>16</v>
      </c>
      <c r="G10" s="4" t="n">
        <v>14</v>
      </c>
      <c r="H10" s="4" t="n">
        <v>27</v>
      </c>
      <c r="I10" s="4" t="n">
        <v>8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12</v>
      </c>
      <c r="C11" s="4" t="n">
        <v>20</v>
      </c>
      <c r="D11" s="4" t="n">
        <v>14</v>
      </c>
      <c r="E11" s="4" t="n">
        <v>21</v>
      </c>
      <c r="F11" s="4" t="n">
        <v>12</v>
      </c>
      <c r="G11" s="4" t="n">
        <v>14</v>
      </c>
      <c r="H11" s="4" t="n">
        <v>22</v>
      </c>
      <c r="I11" s="4" t="n">
        <v>8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17</v>
      </c>
      <c r="C12" s="4" t="n">
        <v>33</v>
      </c>
      <c r="D12" s="4" t="n">
        <v>43</v>
      </c>
      <c r="E12" s="4" t="n">
        <v>30</v>
      </c>
      <c r="F12" s="4" t="n">
        <v>11</v>
      </c>
      <c r="G12" s="4" t="n">
        <v>20</v>
      </c>
      <c r="H12" s="4" t="n">
        <v>34</v>
      </c>
      <c r="I12" s="4" t="n">
        <v>10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13</v>
      </c>
      <c r="C13" s="4" t="n">
        <v>22</v>
      </c>
      <c r="D13" s="4" t="n">
        <v>20</v>
      </c>
      <c r="E13" s="4" t="n">
        <v>16</v>
      </c>
      <c r="F13" s="4" t="n">
        <v>14</v>
      </c>
      <c r="G13" s="4" t="n">
        <v>20</v>
      </c>
      <c r="H13" s="4" t="n">
        <v>28</v>
      </c>
      <c r="I13" s="4" t="n">
        <v>5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23</v>
      </c>
      <c r="C14" s="4" t="n">
        <v>33</v>
      </c>
      <c r="D14" s="4" t="n">
        <v>29</v>
      </c>
      <c r="E14" s="4" t="n">
        <v>20</v>
      </c>
      <c r="F14" s="4" t="n">
        <v>14</v>
      </c>
      <c r="G14" s="4" t="n">
        <v>20</v>
      </c>
      <c r="H14" s="4" t="n">
        <v>29</v>
      </c>
      <c r="I14" s="4" t="n">
        <v>11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16</v>
      </c>
      <c r="C15" s="4" t="n">
        <v>40</v>
      </c>
      <c r="D15" s="4" t="n">
        <v>53</v>
      </c>
      <c r="E15" s="4" t="n">
        <v>24</v>
      </c>
      <c r="F15" s="4" t="n">
        <v>19</v>
      </c>
      <c r="G15" s="4" t="n">
        <v>21</v>
      </c>
      <c r="H15" s="4" t="n">
        <v>24</v>
      </c>
      <c r="I15" s="4" t="n">
        <v>13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19</v>
      </c>
      <c r="C16" s="4" t="n">
        <v>18</v>
      </c>
      <c r="D16" s="4" t="n">
        <v>54</v>
      </c>
      <c r="E16" s="4" t="n">
        <v>26</v>
      </c>
      <c r="F16" s="4" t="n">
        <v>20</v>
      </c>
      <c r="G16" s="4" t="n">
        <v>23</v>
      </c>
      <c r="H16" s="4" t="n">
        <v>26</v>
      </c>
      <c r="I16" s="4" t="n">
        <v>7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31</v>
      </c>
      <c r="C17" s="4" t="n">
        <v>25</v>
      </c>
      <c r="D17" s="4" t="n">
        <v>31</v>
      </c>
      <c r="E17" s="4" t="n">
        <v>24</v>
      </c>
      <c r="F17" s="4" t="n">
        <v>23</v>
      </c>
      <c r="G17" s="4" t="n">
        <v>24</v>
      </c>
      <c r="H17" s="4" t="n">
        <v>38</v>
      </c>
      <c r="I17" s="4" t="n">
        <v>12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30</v>
      </c>
      <c r="C18" s="4" t="n">
        <v>33</v>
      </c>
      <c r="D18" s="4" t="n">
        <v>54</v>
      </c>
      <c r="E18" s="4" t="n">
        <v>25</v>
      </c>
      <c r="F18" s="4" t="n">
        <v>31</v>
      </c>
      <c r="G18" s="4" t="n">
        <v>17</v>
      </c>
      <c r="H18" s="4" t="n">
        <v>42</v>
      </c>
      <c r="I18" s="4" t="n">
        <v>17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377</v>
      </c>
    </row>
    <row r="2" customFormat="false" ht="15" hidden="false" customHeight="true" outlineLevel="0" collapsed="false">
      <c r="A2" s="64" t="s">
        <v>290</v>
      </c>
      <c r="B2" s="1" t="n">
        <v>3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5</v>
      </c>
      <c r="D4" s="4" t="n">
        <v>11</v>
      </c>
      <c r="E4" s="4" t="n">
        <v>10</v>
      </c>
      <c r="F4" s="4" t="n">
        <v>9</v>
      </c>
      <c r="G4" s="4" t="n">
        <v>9</v>
      </c>
      <c r="H4" s="4" t="n">
        <v>6</v>
      </c>
      <c r="I4" s="4" t="n">
        <v>4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4</v>
      </c>
      <c r="C5" s="4" t="n">
        <v>6</v>
      </c>
      <c r="D5" s="4" t="n">
        <v>7</v>
      </c>
      <c r="E5" s="4" t="n">
        <v>12</v>
      </c>
      <c r="F5" s="4" t="n">
        <v>10</v>
      </c>
      <c r="G5" s="4" t="n">
        <v>6</v>
      </c>
      <c r="H5" s="4" t="n">
        <v>15</v>
      </c>
      <c r="I5" s="4" t="n">
        <v>5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7</v>
      </c>
      <c r="C6" s="4" t="n">
        <v>18</v>
      </c>
      <c r="D6" s="4" t="n">
        <v>14</v>
      </c>
      <c r="E6" s="4" t="n">
        <v>7</v>
      </c>
      <c r="F6" s="4" t="n">
        <v>8</v>
      </c>
      <c r="G6" s="4" t="n">
        <v>7</v>
      </c>
      <c r="H6" s="4" t="n">
        <v>19</v>
      </c>
      <c r="I6" s="4" t="n">
        <v>6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7</v>
      </c>
      <c r="C7" s="4" t="n">
        <v>18</v>
      </c>
      <c r="D7" s="4" t="n">
        <v>14</v>
      </c>
      <c r="E7" s="4" t="n">
        <v>17</v>
      </c>
      <c r="F7" s="4" t="n">
        <v>11</v>
      </c>
      <c r="G7" s="4" t="n">
        <v>10</v>
      </c>
      <c r="H7" s="4" t="n">
        <v>18</v>
      </c>
      <c r="I7" s="4" t="n">
        <v>6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15</v>
      </c>
      <c r="C8" s="4" t="n">
        <v>18</v>
      </c>
      <c r="D8" s="4" t="n">
        <v>11</v>
      </c>
      <c r="E8" s="4" t="n">
        <v>14</v>
      </c>
      <c r="F8" s="4" t="n">
        <v>12</v>
      </c>
      <c r="G8" s="4" t="n">
        <v>13</v>
      </c>
      <c r="H8" s="4" t="n">
        <v>23</v>
      </c>
      <c r="I8" s="4" t="n">
        <v>7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11</v>
      </c>
      <c r="C9" s="4" t="n">
        <v>21</v>
      </c>
      <c r="D9" s="4" t="n">
        <v>26</v>
      </c>
      <c r="E9" s="4" t="n">
        <v>16</v>
      </c>
      <c r="F9" s="4" t="n">
        <v>6</v>
      </c>
      <c r="G9" s="4" t="n">
        <v>6</v>
      </c>
      <c r="H9" s="4" t="n">
        <v>25</v>
      </c>
      <c r="I9" s="4" t="n">
        <v>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9</v>
      </c>
      <c r="C10" s="4" t="n">
        <v>18</v>
      </c>
      <c r="D10" s="4" t="n">
        <v>25</v>
      </c>
      <c r="E10" s="4" t="n">
        <v>20</v>
      </c>
      <c r="F10" s="4" t="n">
        <v>7</v>
      </c>
      <c r="G10" s="4" t="n">
        <v>14</v>
      </c>
      <c r="H10" s="4" t="n">
        <v>16</v>
      </c>
      <c r="I10" s="4" t="n">
        <v>9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11</v>
      </c>
      <c r="C11" s="4" t="n">
        <v>24</v>
      </c>
      <c r="D11" s="4" t="n">
        <v>31</v>
      </c>
      <c r="E11" s="4" t="n">
        <v>19</v>
      </c>
      <c r="F11" s="4" t="n">
        <v>14</v>
      </c>
      <c r="G11" s="4" t="n">
        <v>11</v>
      </c>
      <c r="H11" s="4" t="n">
        <v>12</v>
      </c>
      <c r="I11" s="4" t="n">
        <v>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18</v>
      </c>
      <c r="C12" s="4" t="n">
        <v>17</v>
      </c>
      <c r="D12" s="4" t="n">
        <v>36</v>
      </c>
      <c r="E12" s="4" t="n">
        <v>26</v>
      </c>
      <c r="F12" s="4" t="n">
        <v>11</v>
      </c>
      <c r="G12" s="4" t="n">
        <v>16</v>
      </c>
      <c r="H12" s="4" t="n">
        <v>32</v>
      </c>
      <c r="I12" s="4" t="n">
        <v>9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16</v>
      </c>
      <c r="C13" s="4" t="n">
        <v>26</v>
      </c>
      <c r="D13" s="4" t="n">
        <v>43</v>
      </c>
      <c r="E13" s="4" t="n">
        <v>22</v>
      </c>
      <c r="F13" s="4" t="n">
        <v>24</v>
      </c>
      <c r="G13" s="4" t="n">
        <v>12</v>
      </c>
      <c r="H13" s="4" t="n">
        <v>33</v>
      </c>
      <c r="I13" s="4" t="n">
        <v>9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12</v>
      </c>
      <c r="C14" s="4" t="n">
        <v>20</v>
      </c>
      <c r="D14" s="4" t="n">
        <v>36</v>
      </c>
      <c r="E14" s="4" t="n">
        <v>28</v>
      </c>
      <c r="F14" s="4" t="n">
        <v>12</v>
      </c>
      <c r="G14" s="4" t="n">
        <v>20</v>
      </c>
      <c r="H14" s="4" t="n">
        <v>28</v>
      </c>
      <c r="I14" s="4" t="n">
        <v>8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17</v>
      </c>
      <c r="C15" s="4" t="n">
        <v>37</v>
      </c>
      <c r="D15" s="4" t="n">
        <v>37</v>
      </c>
      <c r="E15" s="4" t="n">
        <v>18</v>
      </c>
      <c r="F15" s="4" t="n">
        <v>20</v>
      </c>
      <c r="G15" s="4" t="n">
        <v>22</v>
      </c>
      <c r="H15" s="4" t="n">
        <v>25</v>
      </c>
      <c r="I15" s="4" t="n">
        <v>6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19</v>
      </c>
      <c r="C16" s="4" t="n">
        <v>32</v>
      </c>
      <c r="D16" s="4" t="n">
        <v>24</v>
      </c>
      <c r="E16" s="4" t="n">
        <v>42</v>
      </c>
      <c r="F16" s="4" t="n">
        <v>19</v>
      </c>
      <c r="G16" s="4" t="n">
        <v>17</v>
      </c>
      <c r="H16" s="4" t="n">
        <v>34</v>
      </c>
      <c r="I16" s="4" t="n">
        <v>11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18</v>
      </c>
      <c r="C17" s="4" t="n">
        <v>24</v>
      </c>
      <c r="D17" s="4" t="n">
        <v>41</v>
      </c>
      <c r="E17" s="4" t="n">
        <v>22</v>
      </c>
      <c r="F17" s="4" t="n">
        <v>16</v>
      </c>
      <c r="G17" s="4" t="n">
        <v>13</v>
      </c>
      <c r="H17" s="4" t="n">
        <v>36</v>
      </c>
      <c r="I17" s="4" t="n">
        <v>12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25</v>
      </c>
      <c r="C18" s="4" t="n">
        <v>26</v>
      </c>
      <c r="D18" s="4" t="n">
        <v>43</v>
      </c>
      <c r="E18" s="4" t="n">
        <v>22</v>
      </c>
      <c r="F18" s="4" t="n">
        <v>28</v>
      </c>
      <c r="G18" s="4" t="n">
        <v>19</v>
      </c>
      <c r="H18" s="4" t="n">
        <v>23</v>
      </c>
      <c r="I18" s="4" t="n">
        <v>14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378</v>
      </c>
    </row>
    <row r="2" customFormat="false" ht="15" hidden="false" customHeight="true" outlineLevel="0" collapsed="false">
      <c r="A2" s="64" t="s">
        <v>290</v>
      </c>
      <c r="B2" s="1" t="n">
        <v>4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13</v>
      </c>
      <c r="D4" s="4" t="n">
        <v>6</v>
      </c>
      <c r="E4" s="4" t="n">
        <v>9</v>
      </c>
      <c r="F4" s="4" t="n">
        <v>2</v>
      </c>
      <c r="G4" s="4" t="n">
        <v>7</v>
      </c>
      <c r="H4" s="4" t="n">
        <v>13</v>
      </c>
      <c r="I4" s="4" t="n">
        <v>3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12</v>
      </c>
      <c r="C5" s="4" t="n">
        <v>7</v>
      </c>
      <c r="D5" s="4" t="n">
        <v>22</v>
      </c>
      <c r="E5" s="4" t="n">
        <v>5</v>
      </c>
      <c r="F5" s="4" t="n">
        <v>11</v>
      </c>
      <c r="G5" s="4" t="n">
        <v>12</v>
      </c>
      <c r="H5" s="4" t="n">
        <v>13</v>
      </c>
      <c r="I5" s="4" t="n">
        <v>3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4</v>
      </c>
      <c r="C6" s="4" t="n">
        <v>19</v>
      </c>
      <c r="D6" s="4" t="n">
        <v>15</v>
      </c>
      <c r="E6" s="4" t="n">
        <v>17</v>
      </c>
      <c r="F6" s="4" t="n">
        <v>5</v>
      </c>
      <c r="G6" s="4" t="n">
        <v>11</v>
      </c>
      <c r="H6" s="4" t="n">
        <v>6</v>
      </c>
      <c r="I6" s="4" t="n">
        <v>4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12</v>
      </c>
      <c r="C7" s="4" t="n">
        <v>19</v>
      </c>
      <c r="D7" s="4" t="n">
        <v>23</v>
      </c>
      <c r="E7" s="4" t="n">
        <v>8</v>
      </c>
      <c r="F7" s="4" t="n">
        <v>8</v>
      </c>
      <c r="G7" s="4" t="n">
        <v>13</v>
      </c>
      <c r="H7" s="4" t="n">
        <v>16</v>
      </c>
      <c r="I7" s="4" t="n">
        <v>3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7</v>
      </c>
      <c r="C8" s="4" t="n">
        <v>17</v>
      </c>
      <c r="D8" s="4" t="n">
        <v>28</v>
      </c>
      <c r="E8" s="4" t="n">
        <v>13</v>
      </c>
      <c r="F8" s="4" t="n">
        <v>11</v>
      </c>
      <c r="G8" s="4" t="n">
        <v>13</v>
      </c>
      <c r="H8" s="4" t="n">
        <v>18</v>
      </c>
      <c r="I8" s="4" t="n">
        <v>7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11</v>
      </c>
      <c r="C9" s="4" t="n">
        <v>11</v>
      </c>
      <c r="D9" s="4" t="n">
        <v>25</v>
      </c>
      <c r="E9" s="4" t="n">
        <v>11</v>
      </c>
      <c r="F9" s="4" t="n">
        <v>16</v>
      </c>
      <c r="G9" s="4" t="n">
        <v>12</v>
      </c>
      <c r="H9" s="4" t="n">
        <v>22</v>
      </c>
      <c r="I9" s="4" t="n">
        <v>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18</v>
      </c>
      <c r="C10" s="4" t="n">
        <v>14</v>
      </c>
      <c r="D10" s="4" t="n">
        <v>35</v>
      </c>
      <c r="E10" s="4" t="n">
        <v>13</v>
      </c>
      <c r="F10" s="4" t="n">
        <v>17</v>
      </c>
      <c r="G10" s="4" t="n">
        <v>11</v>
      </c>
      <c r="H10" s="4" t="n">
        <v>24</v>
      </c>
      <c r="I10" s="4" t="n">
        <v>9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13</v>
      </c>
      <c r="C11" s="4" t="n">
        <v>13</v>
      </c>
      <c r="D11" s="4" t="n">
        <v>30</v>
      </c>
      <c r="E11" s="4" t="n">
        <v>18</v>
      </c>
      <c r="F11" s="4" t="n">
        <v>14</v>
      </c>
      <c r="G11" s="4" t="n">
        <v>12</v>
      </c>
      <c r="H11" s="4" t="n">
        <v>28</v>
      </c>
      <c r="I11" s="4" t="n">
        <v>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22</v>
      </c>
      <c r="C12" s="4" t="n">
        <v>14</v>
      </c>
      <c r="D12" s="4" t="n">
        <v>33</v>
      </c>
      <c r="E12" s="4" t="n">
        <v>20</v>
      </c>
      <c r="F12" s="4" t="n">
        <v>17</v>
      </c>
      <c r="G12" s="4" t="n">
        <v>10</v>
      </c>
      <c r="H12" s="4" t="n">
        <v>27</v>
      </c>
      <c r="I12" s="4" t="n">
        <v>9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11</v>
      </c>
      <c r="C13" s="4" t="n">
        <v>30</v>
      </c>
      <c r="D13" s="4" t="n">
        <v>29</v>
      </c>
      <c r="E13" s="4" t="n">
        <v>32</v>
      </c>
      <c r="F13" s="4" t="n">
        <v>15</v>
      </c>
      <c r="G13" s="4" t="n">
        <v>17</v>
      </c>
      <c r="H13" s="4" t="n">
        <v>18</v>
      </c>
      <c r="I13" s="4" t="n">
        <v>5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17</v>
      </c>
      <c r="C14" s="4" t="n">
        <v>19</v>
      </c>
      <c r="D14" s="4" t="n">
        <v>21</v>
      </c>
      <c r="E14" s="4" t="n">
        <v>32</v>
      </c>
      <c r="F14" s="4" t="n">
        <v>22</v>
      </c>
      <c r="G14" s="4" t="n">
        <v>14</v>
      </c>
      <c r="H14" s="4" t="n">
        <v>20</v>
      </c>
      <c r="I14" s="4" t="n">
        <v>8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18</v>
      </c>
      <c r="C15" s="4" t="n">
        <v>35</v>
      </c>
      <c r="D15" s="4" t="n">
        <v>38</v>
      </c>
      <c r="E15" s="4" t="n">
        <v>23</v>
      </c>
      <c r="F15" s="4" t="n">
        <v>22</v>
      </c>
      <c r="G15" s="4" t="n">
        <v>20</v>
      </c>
      <c r="H15" s="4" t="n">
        <v>31</v>
      </c>
      <c r="I15" s="4" t="n">
        <v>13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21</v>
      </c>
      <c r="C16" s="4" t="n">
        <v>38</v>
      </c>
      <c r="D16" s="4" t="n">
        <v>28</v>
      </c>
      <c r="E16" s="4" t="n">
        <v>43</v>
      </c>
      <c r="F16" s="4" t="n">
        <v>26</v>
      </c>
      <c r="G16" s="4" t="n">
        <v>25</v>
      </c>
      <c r="H16" s="4" t="n">
        <v>33</v>
      </c>
      <c r="I16" s="4" t="n">
        <v>7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21</v>
      </c>
      <c r="C17" s="4" t="n">
        <v>23</v>
      </c>
      <c r="D17" s="4" t="n">
        <v>55</v>
      </c>
      <c r="E17" s="4" t="n">
        <v>37</v>
      </c>
      <c r="F17" s="4" t="n">
        <v>16</v>
      </c>
      <c r="G17" s="4" t="n">
        <v>28</v>
      </c>
      <c r="H17" s="4" t="n">
        <v>29</v>
      </c>
      <c r="I17" s="4" t="n">
        <v>11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34</v>
      </c>
      <c r="C18" s="4" t="n">
        <v>46</v>
      </c>
      <c r="D18" s="4" t="n">
        <v>50</v>
      </c>
      <c r="E18" s="4" t="n">
        <v>41</v>
      </c>
      <c r="F18" s="4" t="n">
        <v>29</v>
      </c>
      <c r="G18" s="4" t="n">
        <v>17</v>
      </c>
      <c r="H18" s="4" t="n">
        <v>49</v>
      </c>
      <c r="I18" s="4" t="n">
        <v>17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379</v>
      </c>
    </row>
    <row r="2" customFormat="false" ht="15" hidden="false" customHeight="true" outlineLevel="0" collapsed="false">
      <c r="A2" s="64" t="s">
        <v>290</v>
      </c>
      <c r="B2" s="1" t="n">
        <v>1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2</v>
      </c>
      <c r="C4" s="4" t="n">
        <v>7</v>
      </c>
      <c r="D4" s="4" t="n">
        <v>11</v>
      </c>
      <c r="E4" s="4" t="n">
        <v>10</v>
      </c>
      <c r="F4" s="4" t="n">
        <v>9</v>
      </c>
      <c r="G4" s="4" t="n">
        <v>9</v>
      </c>
      <c r="H4" s="4" t="n">
        <v>8</v>
      </c>
      <c r="I4" s="4" t="n">
        <v>4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12</v>
      </c>
      <c r="C5" s="4" t="n">
        <v>7</v>
      </c>
      <c r="D5" s="4" t="n">
        <v>24</v>
      </c>
      <c r="E5" s="4" t="n">
        <v>9</v>
      </c>
      <c r="F5" s="4" t="n">
        <v>10</v>
      </c>
      <c r="G5" s="4" t="n">
        <v>12</v>
      </c>
      <c r="H5" s="4" t="n">
        <v>13</v>
      </c>
      <c r="I5" s="4" t="n">
        <v>4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8</v>
      </c>
      <c r="C6" s="4" t="n">
        <v>18</v>
      </c>
      <c r="D6" s="4" t="n">
        <v>25</v>
      </c>
      <c r="E6" s="4" t="n">
        <v>6</v>
      </c>
      <c r="F6" s="4" t="n">
        <v>10</v>
      </c>
      <c r="G6" s="4" t="n">
        <v>5</v>
      </c>
      <c r="H6" s="4" t="n">
        <v>16</v>
      </c>
      <c r="I6" s="4" t="n">
        <v>2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8</v>
      </c>
      <c r="C7" s="4" t="n">
        <v>12</v>
      </c>
      <c r="D7" s="4" t="n">
        <v>23</v>
      </c>
      <c r="E7" s="4" t="n">
        <v>13</v>
      </c>
      <c r="F7" s="4" t="n">
        <v>14</v>
      </c>
      <c r="G7" s="4" t="n">
        <v>13</v>
      </c>
      <c r="H7" s="4" t="n">
        <v>17</v>
      </c>
      <c r="I7" s="4" t="n">
        <v>5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14</v>
      </c>
      <c r="C8" s="4" t="n">
        <v>21</v>
      </c>
      <c r="D8" s="4" t="n">
        <v>25</v>
      </c>
      <c r="E8" s="4" t="n">
        <v>21</v>
      </c>
      <c r="F8" s="4" t="n">
        <v>11</v>
      </c>
      <c r="G8" s="4" t="n">
        <v>13</v>
      </c>
      <c r="H8" s="4" t="n">
        <v>24</v>
      </c>
      <c r="I8" s="4" t="n">
        <v>5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10</v>
      </c>
      <c r="C9" s="4" t="n">
        <v>12</v>
      </c>
      <c r="D9" s="4" t="n">
        <v>29</v>
      </c>
      <c r="E9" s="4" t="n">
        <v>22</v>
      </c>
      <c r="F9" s="4" t="n">
        <v>15</v>
      </c>
      <c r="G9" s="4" t="n">
        <v>17</v>
      </c>
      <c r="H9" s="4" t="n">
        <v>21</v>
      </c>
      <c r="I9" s="4" t="n">
        <v>3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16</v>
      </c>
      <c r="C10" s="4" t="n">
        <v>23</v>
      </c>
      <c r="D10" s="4" t="n">
        <v>27</v>
      </c>
      <c r="E10" s="4" t="n">
        <v>24</v>
      </c>
      <c r="F10" s="4" t="n">
        <v>8</v>
      </c>
      <c r="G10" s="4" t="n">
        <v>14</v>
      </c>
      <c r="H10" s="4" t="n">
        <v>24</v>
      </c>
      <c r="I10" s="4" t="n">
        <v>8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18</v>
      </c>
      <c r="C11" s="4" t="n">
        <v>13</v>
      </c>
      <c r="D11" s="4" t="n">
        <v>18</v>
      </c>
      <c r="E11" s="4" t="n">
        <v>22</v>
      </c>
      <c r="F11" s="4" t="n">
        <v>17</v>
      </c>
      <c r="G11" s="4" t="n">
        <v>19</v>
      </c>
      <c r="H11" s="4" t="n">
        <v>22</v>
      </c>
      <c r="I11" s="4" t="n">
        <v>4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17</v>
      </c>
      <c r="C12" s="4" t="n">
        <v>29</v>
      </c>
      <c r="D12" s="4" t="n">
        <v>24</v>
      </c>
      <c r="E12" s="4" t="n">
        <v>24</v>
      </c>
      <c r="F12" s="4" t="n">
        <v>22</v>
      </c>
      <c r="G12" s="4" t="n">
        <v>9</v>
      </c>
      <c r="H12" s="4" t="n">
        <v>19</v>
      </c>
      <c r="I12" s="4" t="n">
        <v>11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22</v>
      </c>
      <c r="C13" s="4" t="n">
        <v>25</v>
      </c>
      <c r="D13" s="4" t="n">
        <v>38</v>
      </c>
      <c r="E13" s="4" t="n">
        <v>21</v>
      </c>
      <c r="F13" s="4" t="n">
        <v>10</v>
      </c>
      <c r="G13" s="4" t="n">
        <v>12</v>
      </c>
      <c r="H13" s="4" t="n">
        <v>30</v>
      </c>
      <c r="I13" s="4" t="n">
        <v>8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22</v>
      </c>
      <c r="C14" s="4" t="n">
        <v>25</v>
      </c>
      <c r="D14" s="4" t="n">
        <v>21</v>
      </c>
      <c r="E14" s="4" t="n">
        <v>24</v>
      </c>
      <c r="F14" s="4" t="n">
        <v>21</v>
      </c>
      <c r="G14" s="4" t="n">
        <v>18</v>
      </c>
      <c r="H14" s="4" t="n">
        <v>20</v>
      </c>
      <c r="I14" s="4" t="n">
        <v>6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18</v>
      </c>
      <c r="C15" s="4" t="n">
        <v>36</v>
      </c>
      <c r="D15" s="4" t="n">
        <v>24</v>
      </c>
      <c r="E15" s="4" t="n">
        <v>33</v>
      </c>
      <c r="F15" s="4" t="n">
        <v>12</v>
      </c>
      <c r="G15" s="4" t="n">
        <v>16</v>
      </c>
      <c r="H15" s="4" t="n">
        <v>36</v>
      </c>
      <c r="I15" s="4" t="n">
        <v>10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20</v>
      </c>
      <c r="C16" s="4" t="n">
        <v>29</v>
      </c>
      <c r="D16" s="4" t="n">
        <v>46</v>
      </c>
      <c r="E16" s="4" t="n">
        <v>39</v>
      </c>
      <c r="F16" s="4" t="n">
        <v>24</v>
      </c>
      <c r="G16" s="4" t="n">
        <v>20</v>
      </c>
      <c r="H16" s="4" t="n">
        <v>22</v>
      </c>
      <c r="I16" s="4" t="n">
        <v>10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25</v>
      </c>
      <c r="C17" s="4" t="n">
        <v>20</v>
      </c>
      <c r="D17" s="4" t="n">
        <v>53</v>
      </c>
      <c r="E17" s="4" t="n">
        <v>31</v>
      </c>
      <c r="F17" s="4" t="n">
        <v>25</v>
      </c>
      <c r="G17" s="4" t="n">
        <v>16</v>
      </c>
      <c r="H17" s="4" t="n">
        <v>22</v>
      </c>
      <c r="I17" s="4" t="n">
        <v>11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31</v>
      </c>
      <c r="C18" s="4" t="n">
        <v>43</v>
      </c>
      <c r="D18" s="4" t="n">
        <v>65</v>
      </c>
      <c r="E18" s="4" t="n">
        <v>23</v>
      </c>
      <c r="F18" s="4" t="n">
        <v>22</v>
      </c>
      <c r="G18" s="4" t="n">
        <v>17</v>
      </c>
      <c r="H18" s="4" t="n">
        <v>22</v>
      </c>
      <c r="I18" s="4" t="n">
        <v>17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00" min="1" style="1" width="13"/>
  </cols>
  <sheetData>
    <row r="1" customFormat="false" ht="15" hidden="false" customHeight="true" outlineLevel="0" collapsed="false">
      <c r="A1" s="133" t="s">
        <v>380</v>
      </c>
    </row>
    <row r="2" customFormat="false" ht="15" hidden="false" customHeight="true" outlineLevel="0" collapsed="false">
      <c r="A2" s="64" t="s">
        <v>290</v>
      </c>
      <c r="B2" s="1" t="n">
        <v>2</v>
      </c>
    </row>
    <row r="3" customFormat="false" ht="15" hidden="false" customHeight="true" outlineLevel="0" collapsed="false">
      <c r="A3" s="134" t="s">
        <v>11</v>
      </c>
      <c r="B3" s="134" t="s">
        <v>41</v>
      </c>
      <c r="C3" s="134" t="s">
        <v>48</v>
      </c>
      <c r="D3" s="134" t="s">
        <v>55</v>
      </c>
      <c r="E3" s="134" t="s">
        <v>62</v>
      </c>
      <c r="F3" s="134" t="s">
        <v>93</v>
      </c>
      <c r="G3" s="134" t="s">
        <v>108</v>
      </c>
      <c r="H3" s="134" t="s">
        <v>118</v>
      </c>
      <c r="I3" s="134" t="s">
        <v>129</v>
      </c>
      <c r="J3" s="134" t="s">
        <v>291</v>
      </c>
      <c r="K3" s="134" t="s">
        <v>292</v>
      </c>
      <c r="L3" s="64"/>
    </row>
    <row r="4" customFormat="false" ht="15" hidden="false" customHeight="true" outlineLevel="0" collapsed="false">
      <c r="A4" s="4" t="n">
        <v>9</v>
      </c>
      <c r="B4" s="4" t="n">
        <v>5</v>
      </c>
      <c r="C4" s="4" t="n">
        <v>13</v>
      </c>
      <c r="D4" s="4" t="n">
        <v>14</v>
      </c>
      <c r="E4" s="4" t="n">
        <v>9</v>
      </c>
      <c r="F4" s="4" t="n">
        <v>4</v>
      </c>
      <c r="G4" s="4" t="n">
        <v>6</v>
      </c>
      <c r="H4" s="4" t="n">
        <v>8</v>
      </c>
      <c r="I4" s="4" t="n">
        <v>2</v>
      </c>
      <c r="J4" s="1" t="n">
        <f aca="false">OPR_2P!J4</f>
        <v>100</v>
      </c>
      <c r="K4" s="1" t="n">
        <f aca="false">OPR_2P!K4</f>
        <v>600</v>
      </c>
    </row>
    <row r="5" customFormat="false" ht="15" hidden="false" customHeight="true" outlineLevel="0" collapsed="false">
      <c r="A5" s="4" t="n">
        <v>15</v>
      </c>
      <c r="B5" s="4" t="n">
        <v>6</v>
      </c>
      <c r="C5" s="4" t="n">
        <v>12</v>
      </c>
      <c r="D5" s="4" t="n">
        <v>11</v>
      </c>
      <c r="E5" s="4" t="n">
        <v>12</v>
      </c>
      <c r="F5" s="4" t="n">
        <v>12</v>
      </c>
      <c r="G5" s="4" t="n">
        <v>10</v>
      </c>
      <c r="H5" s="4" t="n">
        <v>12</v>
      </c>
      <c r="I5" s="4" t="n">
        <v>6</v>
      </c>
      <c r="J5" s="1" t="n">
        <f aca="false">OPR_2P!J5</f>
        <v>300</v>
      </c>
      <c r="K5" s="1" t="n">
        <f aca="false">OPR_2P!K5</f>
        <v>800</v>
      </c>
    </row>
    <row r="6" customFormat="false" ht="15" hidden="false" customHeight="true" outlineLevel="0" collapsed="false">
      <c r="A6" s="4" t="n">
        <v>17</v>
      </c>
      <c r="B6" s="4" t="n">
        <v>10</v>
      </c>
      <c r="C6" s="4" t="n">
        <v>12</v>
      </c>
      <c r="D6" s="4" t="n">
        <v>17</v>
      </c>
      <c r="E6" s="4" t="n">
        <v>11</v>
      </c>
      <c r="F6" s="4" t="n">
        <v>4</v>
      </c>
      <c r="G6" s="4" t="n">
        <v>4</v>
      </c>
      <c r="H6" s="4" t="n">
        <v>17</v>
      </c>
      <c r="I6" s="4" t="n">
        <v>3</v>
      </c>
      <c r="J6" s="1" t="n">
        <f aca="false">OPR_2P!J6</f>
        <v>500</v>
      </c>
      <c r="K6" s="1" t="n">
        <f aca="false">OPR_2P!K6</f>
        <v>1000</v>
      </c>
    </row>
    <row r="7" customFormat="false" ht="15" hidden="false" customHeight="true" outlineLevel="0" collapsed="false">
      <c r="A7" s="4" t="n">
        <v>20</v>
      </c>
      <c r="B7" s="4" t="n">
        <v>14</v>
      </c>
      <c r="C7" s="4" t="n">
        <v>15</v>
      </c>
      <c r="D7" s="4" t="n">
        <v>24</v>
      </c>
      <c r="E7" s="4" t="n">
        <v>18</v>
      </c>
      <c r="F7" s="4" t="n">
        <v>5</v>
      </c>
      <c r="G7" s="4" t="n">
        <v>14</v>
      </c>
      <c r="H7" s="4" t="n">
        <v>7</v>
      </c>
      <c r="I7" s="4" t="n">
        <v>7</v>
      </c>
      <c r="J7" s="1" t="n">
        <f aca="false">OPR_2P!J7</f>
        <v>700</v>
      </c>
      <c r="K7" s="1" t="n">
        <f aca="false">OPR_2P!K7</f>
        <v>1200</v>
      </c>
    </row>
    <row r="8" customFormat="false" ht="15" hidden="false" customHeight="true" outlineLevel="0" collapsed="false">
      <c r="A8" s="4" t="n">
        <v>25</v>
      </c>
      <c r="B8" s="4" t="n">
        <v>7</v>
      </c>
      <c r="C8" s="4" t="n">
        <v>13</v>
      </c>
      <c r="D8" s="4" t="n">
        <v>13</v>
      </c>
      <c r="E8" s="4" t="n">
        <v>15</v>
      </c>
      <c r="F8" s="4" t="n">
        <v>13</v>
      </c>
      <c r="G8" s="4" t="n">
        <v>16</v>
      </c>
      <c r="H8" s="4" t="n">
        <v>19</v>
      </c>
      <c r="I8" s="4" t="n">
        <v>7</v>
      </c>
      <c r="J8" s="1" t="n">
        <f aca="false">OPR_2P!J8</f>
        <v>900</v>
      </c>
      <c r="K8" s="1" t="n">
        <f aca="false">OPR_2P!K8</f>
        <v>1400</v>
      </c>
    </row>
    <row r="9" customFormat="false" ht="15" hidden="false" customHeight="true" outlineLevel="0" collapsed="false">
      <c r="A9" s="4" t="n">
        <v>28</v>
      </c>
      <c r="B9" s="4" t="n">
        <v>12</v>
      </c>
      <c r="C9" s="4" t="n">
        <v>20</v>
      </c>
      <c r="D9" s="4" t="n">
        <v>28</v>
      </c>
      <c r="E9" s="4" t="n">
        <v>22</v>
      </c>
      <c r="F9" s="4" t="n">
        <v>14</v>
      </c>
      <c r="G9" s="4" t="n">
        <v>17</v>
      </c>
      <c r="H9" s="4" t="n">
        <v>13</v>
      </c>
      <c r="I9" s="4" t="n">
        <v>6</v>
      </c>
      <c r="J9" s="1" t="n">
        <f aca="false">OPR_2P!J9</f>
        <v>1100</v>
      </c>
      <c r="K9" s="1" t="n">
        <f aca="false">OPR_2P!K9</f>
        <v>1600</v>
      </c>
    </row>
    <row r="10" customFormat="false" ht="15" hidden="false" customHeight="true" outlineLevel="0" collapsed="false">
      <c r="A10" s="4" t="n">
        <v>30</v>
      </c>
      <c r="B10" s="4" t="n">
        <v>10</v>
      </c>
      <c r="C10" s="4" t="n">
        <v>27</v>
      </c>
      <c r="D10" s="4" t="n">
        <v>23</v>
      </c>
      <c r="E10" s="4" t="n">
        <v>18</v>
      </c>
      <c r="F10" s="4" t="n">
        <v>8</v>
      </c>
      <c r="G10" s="4" t="n">
        <v>17</v>
      </c>
      <c r="H10" s="4" t="n">
        <v>23</v>
      </c>
      <c r="I10" s="4" t="n">
        <v>8</v>
      </c>
      <c r="J10" s="1" t="n">
        <f aca="false">OPR_2P!J10</f>
        <v>1300</v>
      </c>
      <c r="K10" s="1" t="n">
        <f aca="false">OPR_2P!K10</f>
        <v>1800</v>
      </c>
    </row>
    <row r="11" customFormat="false" ht="15" hidden="false" customHeight="true" outlineLevel="0" collapsed="false">
      <c r="A11" s="4" t="n">
        <v>34</v>
      </c>
      <c r="B11" s="4" t="n">
        <v>19</v>
      </c>
      <c r="C11" s="4" t="n">
        <v>19</v>
      </c>
      <c r="D11" s="4" t="n">
        <v>39</v>
      </c>
      <c r="E11" s="4" t="n">
        <v>22</v>
      </c>
      <c r="F11" s="4" t="n">
        <v>9</v>
      </c>
      <c r="G11" s="4" t="n">
        <v>19</v>
      </c>
      <c r="H11" s="4" t="n">
        <v>13</v>
      </c>
      <c r="I11" s="4" t="n">
        <v>6</v>
      </c>
      <c r="J11" s="1" t="n">
        <f aca="false">OPR_2P!J11</f>
        <v>1500</v>
      </c>
      <c r="K11" s="1" t="n">
        <f aca="false">OPR_2P!K11</f>
        <v>2000</v>
      </c>
    </row>
    <row r="12" customFormat="false" ht="15" hidden="false" customHeight="true" outlineLevel="0" collapsed="false">
      <c r="A12" s="4" t="n">
        <v>42</v>
      </c>
      <c r="B12" s="4" t="n">
        <v>21</v>
      </c>
      <c r="C12" s="4" t="n">
        <v>26</v>
      </c>
      <c r="D12" s="4" t="n">
        <v>29</v>
      </c>
      <c r="E12" s="4" t="n">
        <v>20</v>
      </c>
      <c r="F12" s="4" t="n">
        <v>20</v>
      </c>
      <c r="G12" s="4" t="n">
        <v>18</v>
      </c>
      <c r="H12" s="4" t="n">
        <v>17</v>
      </c>
      <c r="I12" s="4" t="n">
        <v>10</v>
      </c>
      <c r="J12" s="1" t="n">
        <f aca="false">OPR_2P!J12</f>
        <v>1700</v>
      </c>
      <c r="K12" s="1" t="n">
        <f aca="false">OPR_2P!K12</f>
        <v>2200</v>
      </c>
    </row>
    <row r="13" customFormat="false" ht="15" hidden="false" customHeight="true" outlineLevel="0" collapsed="false">
      <c r="A13" s="4" t="n">
        <v>46</v>
      </c>
      <c r="B13" s="4" t="n">
        <v>10</v>
      </c>
      <c r="C13" s="4" t="n">
        <v>21</v>
      </c>
      <c r="D13" s="4" t="n">
        <v>19</v>
      </c>
      <c r="E13" s="4" t="n">
        <v>23</v>
      </c>
      <c r="F13" s="4" t="n">
        <v>24</v>
      </c>
      <c r="G13" s="4" t="n">
        <v>17</v>
      </c>
      <c r="H13" s="4" t="n">
        <v>32</v>
      </c>
      <c r="I13" s="4" t="n">
        <v>8</v>
      </c>
      <c r="J13" s="1" t="n">
        <f aca="false">OPR_2P!J13</f>
        <v>1900</v>
      </c>
      <c r="K13" s="1" t="n">
        <f aca="false">OPR_2P!K13</f>
        <v>2400</v>
      </c>
    </row>
    <row r="14" customFormat="false" ht="15" hidden="false" customHeight="true" outlineLevel="0" collapsed="false">
      <c r="A14" s="4" t="n">
        <v>50</v>
      </c>
      <c r="B14" s="4" t="n">
        <v>15</v>
      </c>
      <c r="C14" s="4" t="n">
        <v>38</v>
      </c>
      <c r="D14" s="4" t="n">
        <v>40</v>
      </c>
      <c r="E14" s="4" t="n">
        <v>29</v>
      </c>
      <c r="F14" s="4" t="n">
        <v>24</v>
      </c>
      <c r="G14" s="4" t="n">
        <v>15</v>
      </c>
      <c r="H14" s="4" t="n">
        <v>27</v>
      </c>
      <c r="I14" s="4" t="n">
        <v>13</v>
      </c>
      <c r="J14" s="1" t="n">
        <f aca="false">OPR_2P!J14</f>
        <v>2100</v>
      </c>
      <c r="K14" s="1" t="n">
        <f aca="false">OPR_2P!K14</f>
        <v>2600</v>
      </c>
    </row>
    <row r="15" customFormat="false" ht="15" hidden="false" customHeight="true" outlineLevel="0" collapsed="false">
      <c r="A15" s="4" t="n">
        <v>54</v>
      </c>
      <c r="B15" s="4" t="n">
        <v>15</v>
      </c>
      <c r="C15" s="4" t="n">
        <v>29</v>
      </c>
      <c r="D15" s="4" t="n">
        <v>31</v>
      </c>
      <c r="E15" s="4" t="n">
        <v>25</v>
      </c>
      <c r="F15" s="4" t="n">
        <v>16</v>
      </c>
      <c r="G15" s="4" t="n">
        <v>24</v>
      </c>
      <c r="H15" s="4" t="n">
        <v>18</v>
      </c>
      <c r="I15" s="4" t="n">
        <v>7</v>
      </c>
      <c r="J15" s="1" t="n">
        <f aca="false">OPR_2P!J15</f>
        <v>2300</v>
      </c>
      <c r="K15" s="1" t="n">
        <f aca="false">OPR_2P!K15</f>
        <v>2800</v>
      </c>
    </row>
    <row r="16" customFormat="false" ht="15" hidden="false" customHeight="true" outlineLevel="0" collapsed="false">
      <c r="A16" s="4" t="n">
        <v>57</v>
      </c>
      <c r="B16" s="4" t="n">
        <v>14</v>
      </c>
      <c r="C16" s="4" t="n">
        <v>22</v>
      </c>
      <c r="D16" s="4" t="n">
        <v>56</v>
      </c>
      <c r="E16" s="4" t="n">
        <v>41</v>
      </c>
      <c r="F16" s="4" t="n">
        <v>23</v>
      </c>
      <c r="G16" s="4" t="n">
        <v>13</v>
      </c>
      <c r="H16" s="4" t="n">
        <v>28</v>
      </c>
      <c r="I16" s="4" t="n">
        <v>9</v>
      </c>
      <c r="J16" s="1" t="n">
        <f aca="false">OPR_2P!J16</f>
        <v>2500</v>
      </c>
      <c r="K16" s="1" t="n">
        <f aca="false">OPR_2P!K16</f>
        <v>3000</v>
      </c>
    </row>
    <row r="17" customFormat="false" ht="15" hidden="false" customHeight="true" outlineLevel="0" collapsed="false">
      <c r="A17" s="4" t="n">
        <v>63</v>
      </c>
      <c r="B17" s="4" t="n">
        <v>29</v>
      </c>
      <c r="C17" s="4" t="n">
        <v>43</v>
      </c>
      <c r="D17" s="4" t="n">
        <v>55</v>
      </c>
      <c r="E17" s="4" t="n">
        <v>40</v>
      </c>
      <c r="F17" s="4" t="n">
        <v>22</v>
      </c>
      <c r="G17" s="4" t="n">
        <v>29</v>
      </c>
      <c r="H17" s="4" t="n">
        <v>31</v>
      </c>
      <c r="I17" s="4" t="n">
        <v>13</v>
      </c>
      <c r="J17" s="1" t="n">
        <f aca="false">OPR_2P!J17</f>
        <v>2700</v>
      </c>
      <c r="K17" s="1" t="n">
        <f aca="false">OPR_2P!K17</f>
        <v>3200</v>
      </c>
    </row>
    <row r="18" customFormat="false" ht="15" hidden="false" customHeight="true" outlineLevel="0" collapsed="false">
      <c r="A18" s="4" t="n">
        <v>70</v>
      </c>
      <c r="B18" s="4" t="n">
        <v>15</v>
      </c>
      <c r="C18" s="4" t="n">
        <v>34</v>
      </c>
      <c r="D18" s="4" t="n">
        <v>66</v>
      </c>
      <c r="E18" s="4" t="n">
        <v>37</v>
      </c>
      <c r="F18" s="4" t="n">
        <v>15</v>
      </c>
      <c r="G18" s="4" t="n">
        <v>16</v>
      </c>
      <c r="H18" s="4" t="n">
        <v>28</v>
      </c>
      <c r="I18" s="4" t="n">
        <v>12</v>
      </c>
      <c r="J18" s="1" t="n">
        <f aca="false">OPR_2P!J18</f>
        <v>2900</v>
      </c>
      <c r="K18" s="1" t="n">
        <f aca="false">OPR_2P!K18</f>
        <v>3400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1" ySplit="3" topLeftCell="L4" activePane="bottomRight" state="frozen"/>
      <selection pane="topLeft" activeCell="A1" activeCellId="0" sqref="A1"/>
      <selection pane="topRight" activeCell="L1" activeCellId="0" sqref="L1"/>
      <selection pane="bottomLeft" activeCell="A4" activeCellId="0" sqref="A4"/>
      <selection pane="bottomRight" activeCell="AD14" activeCellId="0" sqref="A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4.44"/>
    <col collapsed="false" customWidth="true" hidden="false" outlineLevel="0" max="3" min="3" style="1" width="5.33"/>
    <col collapsed="false" customWidth="true" hidden="false" outlineLevel="0" max="4" min="4" style="1" width="10.66"/>
    <col collapsed="false" customWidth="true" hidden="false" outlineLevel="0" max="6" min="5" style="1" width="15.33"/>
    <col collapsed="false" customWidth="true" hidden="false" outlineLevel="0" max="7" min="7" style="1" width="7.88"/>
    <col collapsed="false" customWidth="true" hidden="false" outlineLevel="0" max="8" min="8" style="1" width="10.33"/>
    <col collapsed="false" customWidth="true" hidden="false" outlineLevel="0" max="9" min="9" style="1" width="8.88"/>
    <col collapsed="false" customWidth="true" hidden="false" outlineLevel="0" max="10" min="10" style="1" width="19"/>
    <col collapsed="false" customWidth="true" hidden="false" outlineLevel="0" max="11" min="11" style="1" width="10.2"/>
    <col collapsed="false" customWidth="true" hidden="false" outlineLevel="0" max="70" min="12" style="1" width="3"/>
  </cols>
  <sheetData>
    <row r="1" customFormat="false" ht="27.75" hidden="false" customHeight="true" outlineLevel="0" collapsed="false">
      <c r="A1" s="135" t="s">
        <v>381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customFormat="false" ht="15" hidden="false" customHeight="true" outlineLevel="0" collapsed="false">
      <c r="J2" s="136" t="s">
        <v>136</v>
      </c>
    </row>
    <row r="3" customFormat="false" ht="39.75" hidden="false" customHeight="true" outlineLevel="0" collapsed="false">
      <c r="A3" s="137" t="s">
        <v>137</v>
      </c>
      <c r="B3" s="137" t="s">
        <v>11</v>
      </c>
      <c r="C3" s="138" t="s">
        <v>10</v>
      </c>
      <c r="D3" s="108" t="s">
        <v>138</v>
      </c>
      <c r="E3" s="110" t="s">
        <v>139</v>
      </c>
      <c r="F3" s="110" t="s">
        <v>140</v>
      </c>
      <c r="G3" s="111" t="s">
        <v>141</v>
      </c>
      <c r="H3" s="112" t="s">
        <v>142</v>
      </c>
      <c r="I3" s="110" t="s">
        <v>36</v>
      </c>
      <c r="J3" s="139" t="s">
        <v>143</v>
      </c>
      <c r="K3" s="140" t="s">
        <v>144</v>
      </c>
      <c r="L3" s="141" t="n">
        <v>46113</v>
      </c>
      <c r="M3" s="141" t="n">
        <v>46114</v>
      </c>
      <c r="N3" s="141" t="n">
        <v>46115</v>
      </c>
      <c r="O3" s="141" t="n">
        <v>46116</v>
      </c>
      <c r="P3" s="141" t="n">
        <v>46118</v>
      </c>
      <c r="Q3" s="141" t="n">
        <v>46119</v>
      </c>
      <c r="R3" s="141" t="n">
        <v>46120</v>
      </c>
      <c r="S3" s="141" t="n">
        <v>46121</v>
      </c>
      <c r="T3" s="141" t="n">
        <v>46122</v>
      </c>
      <c r="U3" s="141" t="n">
        <v>46123</v>
      </c>
      <c r="V3" s="141" t="n">
        <v>46124</v>
      </c>
      <c r="W3" s="141" t="n">
        <v>46125</v>
      </c>
      <c r="X3" s="141" t="n">
        <v>46126</v>
      </c>
      <c r="Y3" s="141" t="n">
        <v>46127</v>
      </c>
      <c r="Z3" s="141" t="n">
        <v>46128</v>
      </c>
      <c r="AA3" s="141" t="n">
        <v>46129</v>
      </c>
      <c r="AB3" s="141" t="n">
        <v>46130</v>
      </c>
      <c r="AC3" s="141" t="n">
        <v>46131</v>
      </c>
      <c r="AD3" s="141" t="n">
        <v>46132</v>
      </c>
      <c r="AE3" s="141" t="n">
        <v>46133</v>
      </c>
      <c r="AF3" s="141" t="n">
        <v>46134</v>
      </c>
      <c r="AG3" s="141" t="n">
        <v>46135</v>
      </c>
      <c r="AH3" s="141" t="n">
        <v>46136</v>
      </c>
      <c r="AI3" s="141" t="n">
        <v>46137</v>
      </c>
      <c r="AJ3" s="141" t="n">
        <v>46138</v>
      </c>
      <c r="AK3" s="141" t="n">
        <v>46139</v>
      </c>
      <c r="AL3" s="141" t="n">
        <v>46140</v>
      </c>
      <c r="AM3" s="141" t="n">
        <v>46141</v>
      </c>
      <c r="AN3" s="141" t="n">
        <v>46142</v>
      </c>
      <c r="AO3" s="141" t="n">
        <v>46143</v>
      </c>
      <c r="AP3" s="141" t="n">
        <v>46144</v>
      </c>
      <c r="AQ3" s="141" t="n">
        <v>46145</v>
      </c>
      <c r="AR3" s="141" t="n">
        <v>46146</v>
      </c>
      <c r="AS3" s="141" t="n">
        <v>46147</v>
      </c>
      <c r="AT3" s="141" t="n">
        <v>46148</v>
      </c>
      <c r="AU3" s="141" t="n">
        <v>46149</v>
      </c>
      <c r="AV3" s="141" t="n">
        <v>46150</v>
      </c>
      <c r="AW3" s="141" t="n">
        <v>46151</v>
      </c>
      <c r="AX3" s="141" t="n">
        <v>46152</v>
      </c>
      <c r="AY3" s="141" t="n">
        <v>46153</v>
      </c>
      <c r="AZ3" s="141" t="n">
        <v>46154</v>
      </c>
      <c r="BA3" s="141" t="n">
        <v>46155</v>
      </c>
      <c r="BB3" s="141" t="n">
        <v>46156</v>
      </c>
      <c r="BC3" s="141" t="n">
        <v>46157</v>
      </c>
      <c r="BD3" s="141" t="n">
        <v>46158</v>
      </c>
      <c r="BE3" s="141" t="n">
        <v>46159</v>
      </c>
      <c r="BF3" s="141" t="n">
        <v>46160</v>
      </c>
      <c r="BG3" s="141" t="n">
        <v>46161</v>
      </c>
      <c r="BH3" s="141" t="n">
        <v>46162</v>
      </c>
      <c r="BI3" s="141" t="n">
        <v>46163</v>
      </c>
      <c r="BJ3" s="141" t="n">
        <v>46164</v>
      </c>
      <c r="BK3" s="141" t="n">
        <v>46165</v>
      </c>
      <c r="BL3" s="141" t="n">
        <v>46166</v>
      </c>
      <c r="BM3" s="141" t="n">
        <v>46167</v>
      </c>
      <c r="BN3" s="141" t="n">
        <v>46168</v>
      </c>
      <c r="BO3" s="141" t="n">
        <v>46169</v>
      </c>
      <c r="BP3" s="141" t="n">
        <v>46170</v>
      </c>
      <c r="BQ3" s="141" t="n">
        <v>46171</v>
      </c>
      <c r="BR3" s="141" t="n">
        <v>46172</v>
      </c>
    </row>
    <row r="4" customFormat="false" ht="15" hidden="false" customHeight="true" outlineLevel="0" collapsed="false">
      <c r="A4" s="1" t="s">
        <v>382</v>
      </c>
      <c r="B4" s="1" t="n">
        <v>15</v>
      </c>
      <c r="C4" s="95" t="s">
        <v>383</v>
      </c>
      <c r="D4" s="1" t="n">
        <v>2</v>
      </c>
      <c r="E4" s="89" t="n">
        <v>46220.2916666667</v>
      </c>
      <c r="F4" s="89" t="n">
        <v>46244.2916666667</v>
      </c>
      <c r="G4" s="95" t="s">
        <v>161</v>
      </c>
      <c r="H4" s="1" t="str">
        <f aca="false">IF($A4="","",TEXT($F4,"MMM-YYYY"))</f>
        <v>Aug-2026</v>
      </c>
      <c r="I4" s="95" t="s">
        <v>157</v>
      </c>
      <c r="J4" s="96" t="n">
        <f aca="false">IF($A4="","",$F4+30)</f>
        <v>46274.2916666667</v>
      </c>
      <c r="K4" s="1" t="s">
        <v>155</v>
      </c>
      <c r="L4" s="1" t="str">
        <f aca="false">IF(AND(L$3&gt;=$E4,L$3&lt;=$F4),1,"")</f>
        <v/>
      </c>
      <c r="M4" s="1" t="str">
        <f aca="false">IF(AND(M$3&gt;=$E4,M$3&lt;=$F4),1,"")</f>
        <v/>
      </c>
      <c r="N4" s="1" t="str">
        <f aca="false">IF(AND(N$3&gt;=$E4,N$3&lt;=$F4),1,"")</f>
        <v/>
      </c>
      <c r="O4" s="1" t="str">
        <f aca="false">IF(AND(O$3&gt;=$E4,O$3&lt;=$F4),1,"")</f>
        <v/>
      </c>
      <c r="P4" s="1" t="str">
        <f aca="false">IF(AND(P$3&gt;=$E4,P$3&lt;=$F4),1,"")</f>
        <v/>
      </c>
      <c r="Q4" s="1" t="str">
        <f aca="false">IF(AND(Q$3&gt;=$E4,Q$3&lt;=$F4),1,"")</f>
        <v/>
      </c>
      <c r="R4" s="1" t="str">
        <f aca="false">IF(AND(R$3&gt;=$E4,R$3&lt;=$F4),1,"")</f>
        <v/>
      </c>
      <c r="S4" s="1" t="str">
        <f aca="false">IF(AND(S$3&gt;=$E4,S$3&lt;=$F4),1,"")</f>
        <v/>
      </c>
      <c r="T4" s="1" t="str">
        <f aca="false">IF(AND(T$3&gt;=$E4,T$3&lt;=$F4),1,"")</f>
        <v/>
      </c>
      <c r="U4" s="1" t="str">
        <f aca="false">IF(AND(U$3&gt;=$E4,U$3&lt;=$F4),1,"")</f>
        <v/>
      </c>
      <c r="V4" s="1" t="str">
        <f aca="false">IF(AND(V$3&gt;=$E4,V$3&lt;=$F4),1,"")</f>
        <v/>
      </c>
      <c r="W4" s="1" t="str">
        <f aca="false">IF(AND(W$3&gt;=$E4,W$3&lt;=$F4),1,"")</f>
        <v/>
      </c>
      <c r="X4" s="1" t="str">
        <f aca="false">IF(AND(X$3&gt;=$E4,X$3&lt;=$F4),1,"")</f>
        <v/>
      </c>
      <c r="Y4" s="1" t="str">
        <f aca="false">IF(AND(Y$3&gt;=$E4,Y$3&lt;=$F4),1,"")</f>
        <v/>
      </c>
      <c r="Z4" s="1" t="str">
        <f aca="false">IF(AND(Z$3&gt;=$E4,Z$3&lt;=$F4),1,"")</f>
        <v/>
      </c>
      <c r="AA4" s="1" t="str">
        <f aca="false">IF(AND(AA$3&gt;=$E4,AA$3&lt;=$F4),1,"")</f>
        <v/>
      </c>
      <c r="AB4" s="1" t="str">
        <f aca="false">IF(AND(AB$3&gt;=$E4,AB$3&lt;=$F4),1,"")</f>
        <v/>
      </c>
      <c r="AC4" s="1" t="str">
        <f aca="false">IF(AND(AC$3&gt;=$E4,AC$3&lt;=$F4),1,"")</f>
        <v/>
      </c>
      <c r="AD4" s="1" t="str">
        <f aca="false">IF(AND(AD$3&gt;=$E4,AD$3&lt;=$F4),1,"")</f>
        <v/>
      </c>
      <c r="AE4" s="1" t="str">
        <f aca="false">IF(AND(AE$3&gt;=$E4,AE$3&lt;=$F4),1,"")</f>
        <v/>
      </c>
      <c r="AF4" s="1" t="str">
        <f aca="false">IF(AND(AF$3&gt;=$E4,AF$3&lt;=$F4),1,"")</f>
        <v/>
      </c>
      <c r="AG4" s="1" t="str">
        <f aca="false">IF(AND(AG$3&gt;=$E4,AG$3&lt;=$F4),1,"")</f>
        <v/>
      </c>
      <c r="AH4" s="1" t="str">
        <f aca="false">IF(AND(AH$3&gt;=$E4,AH$3&lt;=$F4),1,"")</f>
        <v/>
      </c>
      <c r="AI4" s="1" t="str">
        <f aca="false">IF(AND(AI$3&gt;=$E4,AI$3&lt;=$F4),1,"")</f>
        <v/>
      </c>
      <c r="AJ4" s="1" t="str">
        <f aca="false">IF(AND(AJ$3&gt;=$E4,AJ$3&lt;=$F4),1,"")</f>
        <v/>
      </c>
      <c r="AK4" s="1" t="str">
        <f aca="false">IF(AND(AK$3&gt;=$E4,AK$3&lt;=$F4),1,"")</f>
        <v/>
      </c>
      <c r="AL4" s="1" t="str">
        <f aca="false">IF(AND(AL$3&gt;=$E4,AL$3&lt;=$F4),1,"")</f>
        <v/>
      </c>
      <c r="AM4" s="1" t="str">
        <f aca="false">IF(AND(AM$3&gt;=$E4,AM$3&lt;=$F4),1,"")</f>
        <v/>
      </c>
      <c r="AN4" s="1" t="str">
        <f aca="false">IF(AND(AN$3&gt;=$E4,AN$3&lt;=$F4),1,"")</f>
        <v/>
      </c>
      <c r="AO4" s="1" t="str">
        <f aca="false">IF(AND(AO$3&gt;=$E4,AO$3&lt;=$F4),1,"")</f>
        <v/>
      </c>
      <c r="AP4" s="1" t="str">
        <f aca="false">IF(AND(AP$3&gt;=$E4,AP$3&lt;=$F4),1,"")</f>
        <v/>
      </c>
      <c r="AQ4" s="1" t="str">
        <f aca="false">IF(AND(AQ$3&gt;=$E4,AQ$3&lt;=$F4),1,"")</f>
        <v/>
      </c>
      <c r="AR4" s="1" t="str">
        <f aca="false">IF(AND(AR$3&gt;=$E4,AR$3&lt;=$F4),1,"")</f>
        <v/>
      </c>
      <c r="AS4" s="1" t="str">
        <f aca="false">IF(AND(AS$3&gt;=$E4,AS$3&lt;=$F4),1,"")</f>
        <v/>
      </c>
      <c r="AT4" s="1" t="str">
        <f aca="false">IF(AND(AT$3&gt;=$E4,AT$3&lt;=$F4),1,"")</f>
        <v/>
      </c>
      <c r="AU4" s="1" t="str">
        <f aca="false">IF(AND(AU$3&gt;=$E4,AU$3&lt;=$F4),1,"")</f>
        <v/>
      </c>
      <c r="AV4" s="1" t="str">
        <f aca="false">IF(AND(AV$3&gt;=$E4,AV$3&lt;=$F4),1,"")</f>
        <v/>
      </c>
      <c r="AW4" s="1" t="str">
        <f aca="false">IF(AND(AW$3&gt;=$E4,AW$3&lt;=$F4),1,"")</f>
        <v/>
      </c>
      <c r="AX4" s="1" t="str">
        <f aca="false">IF(AND(AX$3&gt;=$E4,AX$3&lt;=$F4),1,"")</f>
        <v/>
      </c>
      <c r="AY4" s="1" t="str">
        <f aca="false">IF(AND(AY$3&gt;=$E4,AY$3&lt;=$F4),1,"")</f>
        <v/>
      </c>
      <c r="AZ4" s="1" t="str">
        <f aca="false">IF(AND(AZ$3&gt;=$E4,AZ$3&lt;=$F4),1,"")</f>
        <v/>
      </c>
      <c r="BA4" s="1" t="str">
        <f aca="false">IF(AND(BA$3&gt;=$E4,BA$3&lt;=$F4),1,"")</f>
        <v/>
      </c>
      <c r="BB4" s="1" t="str">
        <f aca="false">IF(AND(BB$3&gt;=$E4,BB$3&lt;=$F4),1,"")</f>
        <v/>
      </c>
      <c r="BC4" s="1" t="str">
        <f aca="false">IF(AND(BC$3&gt;=$E4,BC$3&lt;=$F4),1,"")</f>
        <v/>
      </c>
      <c r="BD4" s="1" t="str">
        <f aca="false">IF(AND(BD$3&gt;=$E4,BD$3&lt;=$F4),1,"")</f>
        <v/>
      </c>
      <c r="BE4" s="1" t="str">
        <f aca="false">IF(AND(BE$3&gt;=$E4,BE$3&lt;=$F4),1,"")</f>
        <v/>
      </c>
      <c r="BF4" s="1" t="str">
        <f aca="false">IF(AND(BF$3&gt;=$E4,BF$3&lt;=$F4),1,"")</f>
        <v/>
      </c>
      <c r="BG4" s="1" t="str">
        <f aca="false">IF(AND(BG$3&gt;=$E4,BG$3&lt;=$F4),1,"")</f>
        <v/>
      </c>
      <c r="BH4" s="1" t="str">
        <f aca="false">IF(AND(BH$3&gt;=$E4,BH$3&lt;=$F4),1,"")</f>
        <v/>
      </c>
      <c r="BI4" s="1" t="str">
        <f aca="false">IF(AND(BI$3&gt;=$E4,BI$3&lt;=$F4),1,"")</f>
        <v/>
      </c>
      <c r="BJ4" s="1" t="str">
        <f aca="false">IF(AND(BJ$3&gt;=$E4,BJ$3&lt;=$F4),1,"")</f>
        <v/>
      </c>
      <c r="BK4" s="1" t="str">
        <f aca="false">IF(AND(BK$3&gt;=$E4,BK$3&lt;=$F4),1,"")</f>
        <v/>
      </c>
      <c r="BL4" s="1" t="str">
        <f aca="false">IF(AND(BL$3&gt;=$E4,BL$3&lt;=$F4),1,"")</f>
        <v/>
      </c>
      <c r="BM4" s="1" t="str">
        <f aca="false">IF(AND(BM$3&gt;=$E4,BM$3&lt;=$F4),1,"")</f>
        <v/>
      </c>
      <c r="BN4" s="1" t="str">
        <f aca="false">IF(AND(BN$3&gt;=$E4,BN$3&lt;=$F4),1,"")</f>
        <v/>
      </c>
      <c r="BO4" s="1" t="str">
        <f aca="false">IF(AND(BO$3&gt;=$E4,BO$3&lt;=$F4),1,"")</f>
        <v/>
      </c>
      <c r="BP4" s="1" t="str">
        <f aca="false">IF(AND(BP$3&gt;=$E4,BP$3&lt;=$F4),1,"")</f>
        <v/>
      </c>
      <c r="BQ4" s="1" t="str">
        <f aca="false">IF(AND(BQ$3&gt;=$E4,BQ$3&lt;=$F4),1,"")</f>
        <v/>
      </c>
      <c r="BR4" s="1" t="str">
        <f aca="false">IF(AND(BR$3&gt;=$E4,BR$3&lt;=$F4),1,"")</f>
        <v/>
      </c>
    </row>
    <row r="5" customFormat="false" ht="15" hidden="false" customHeight="true" outlineLevel="0" collapsed="false">
      <c r="A5" s="1" t="s">
        <v>384</v>
      </c>
      <c r="B5" s="1" t="n">
        <v>54</v>
      </c>
      <c r="C5" s="95" t="s">
        <v>383</v>
      </c>
      <c r="D5" s="1" t="n">
        <v>2</v>
      </c>
      <c r="E5" s="89" t="n">
        <v>46230.2916666667</v>
      </c>
      <c r="F5" s="89" t="n">
        <v>46304.2916666667</v>
      </c>
      <c r="G5" s="95" t="s">
        <v>146</v>
      </c>
      <c r="H5" s="1" t="str">
        <f aca="false">IF($A5="","",TEXT($F5,"MMM-YYYY"))</f>
        <v>Oct-2026</v>
      </c>
      <c r="I5" s="95" t="s">
        <v>147</v>
      </c>
      <c r="J5" s="96" t="n">
        <f aca="false">IF($A5="","",$F5+30)</f>
        <v>46334.2916666667</v>
      </c>
      <c r="K5" s="1" t="s">
        <v>155</v>
      </c>
      <c r="L5" s="1" t="str">
        <f aca="false">IF(AND(L$3&gt;=$E5,L$3&lt;=$F5),1,"")</f>
        <v/>
      </c>
      <c r="M5" s="1" t="str">
        <f aca="false">IF(AND(M$3&gt;=$E5,M$3&lt;=$F5),1,"")</f>
        <v/>
      </c>
      <c r="N5" s="1" t="str">
        <f aca="false">IF(AND(N$3&gt;=$E5,N$3&lt;=$F5),1,"")</f>
        <v/>
      </c>
      <c r="O5" s="1" t="str">
        <f aca="false">IF(AND(O$3&gt;=$E5,O$3&lt;=$F5),1,"")</f>
        <v/>
      </c>
      <c r="P5" s="1" t="str">
        <f aca="false">IF(AND(P$3&gt;=$E5,P$3&lt;=$F5),1,"")</f>
        <v/>
      </c>
      <c r="Q5" s="1" t="str">
        <f aca="false">IF(AND(Q$3&gt;=$E5,Q$3&lt;=$F5),1,"")</f>
        <v/>
      </c>
      <c r="R5" s="1" t="str">
        <f aca="false">IF(AND(R$3&gt;=$E5,R$3&lt;=$F5),1,"")</f>
        <v/>
      </c>
      <c r="S5" s="1" t="str">
        <f aca="false">IF(AND(S$3&gt;=$E5,S$3&lt;=$F5),1,"")</f>
        <v/>
      </c>
      <c r="T5" s="1" t="str">
        <f aca="false">IF(AND(T$3&gt;=$E5,T$3&lt;=$F5),1,"")</f>
        <v/>
      </c>
      <c r="U5" s="1" t="str">
        <f aca="false">IF(AND(U$3&gt;=$E5,U$3&lt;=$F5),1,"")</f>
        <v/>
      </c>
      <c r="V5" s="1" t="str">
        <f aca="false">IF(AND(V$3&gt;=$E5,V$3&lt;=$F5),1,"")</f>
        <v/>
      </c>
      <c r="W5" s="1" t="str">
        <f aca="false">IF(AND(W$3&gt;=$E5,W$3&lt;=$F5),1,"")</f>
        <v/>
      </c>
      <c r="X5" s="1" t="str">
        <f aca="false">IF(AND(X$3&gt;=$E5,X$3&lt;=$F5),1,"")</f>
        <v/>
      </c>
      <c r="Y5" s="1" t="str">
        <f aca="false">IF(AND(Y$3&gt;=$E5,Y$3&lt;=$F5),1,"")</f>
        <v/>
      </c>
      <c r="Z5" s="1" t="str">
        <f aca="false">IF(AND(Z$3&gt;=$E5,Z$3&lt;=$F5),1,"")</f>
        <v/>
      </c>
      <c r="AA5" s="1" t="str">
        <f aca="false">IF(AND(AA$3&gt;=$E5,AA$3&lt;=$F5),1,"")</f>
        <v/>
      </c>
      <c r="AB5" s="1" t="str">
        <f aca="false">IF(AND(AB$3&gt;=$E5,AB$3&lt;=$F5),1,"")</f>
        <v/>
      </c>
      <c r="AC5" s="1" t="str">
        <f aca="false">IF(AND(AC$3&gt;=$E5,AC$3&lt;=$F5),1,"")</f>
        <v/>
      </c>
      <c r="AD5" s="1" t="str">
        <f aca="false">IF(AND(AD$3&gt;=$E5,AD$3&lt;=$F5),1,"")</f>
        <v/>
      </c>
      <c r="AE5" s="1" t="str">
        <f aca="false">IF(AND(AE$3&gt;=$E5,AE$3&lt;=$F5),1,"")</f>
        <v/>
      </c>
      <c r="AF5" s="1" t="str">
        <f aca="false">IF(AND(AF$3&gt;=$E5,AF$3&lt;=$F5),1,"")</f>
        <v/>
      </c>
      <c r="AG5" s="1" t="str">
        <f aca="false">IF(AND(AG$3&gt;=$E5,AG$3&lt;=$F5),1,"")</f>
        <v/>
      </c>
      <c r="AH5" s="1" t="str">
        <f aca="false">IF(AND(AH$3&gt;=$E5,AH$3&lt;=$F5),1,"")</f>
        <v/>
      </c>
      <c r="AI5" s="1" t="str">
        <f aca="false">IF(AND(AI$3&gt;=$E5,AI$3&lt;=$F5),1,"")</f>
        <v/>
      </c>
      <c r="AJ5" s="1" t="str">
        <f aca="false">IF(AND(AJ$3&gt;=$E5,AJ$3&lt;=$F5),1,"")</f>
        <v/>
      </c>
      <c r="AK5" s="1" t="str">
        <f aca="false">IF(AND(AK$3&gt;=$E5,AK$3&lt;=$F5),1,"")</f>
        <v/>
      </c>
      <c r="AL5" s="1" t="str">
        <f aca="false">IF(AND(AL$3&gt;=$E5,AL$3&lt;=$F5),1,"")</f>
        <v/>
      </c>
      <c r="AM5" s="1" t="str">
        <f aca="false">IF(AND(AM$3&gt;=$E5,AM$3&lt;=$F5),1,"")</f>
        <v/>
      </c>
      <c r="AN5" s="1" t="str">
        <f aca="false">IF(AND(AN$3&gt;=$E5,AN$3&lt;=$F5),1,"")</f>
        <v/>
      </c>
      <c r="AO5" s="1" t="str">
        <f aca="false">IF(AND(AO$3&gt;=$E5,AO$3&lt;=$F5),1,"")</f>
        <v/>
      </c>
      <c r="AP5" s="1" t="str">
        <f aca="false">IF(AND(AP$3&gt;=$E5,AP$3&lt;=$F5),1,"")</f>
        <v/>
      </c>
      <c r="AQ5" s="1" t="str">
        <f aca="false">IF(AND(AQ$3&gt;=$E5,AQ$3&lt;=$F5),1,"")</f>
        <v/>
      </c>
      <c r="AR5" s="1" t="str">
        <f aca="false">IF(AND(AR$3&gt;=$E5,AR$3&lt;=$F5),1,"")</f>
        <v/>
      </c>
      <c r="AS5" s="1" t="str">
        <f aca="false">IF(AND(AS$3&gt;=$E5,AS$3&lt;=$F5),1,"")</f>
        <v/>
      </c>
      <c r="AT5" s="1" t="str">
        <f aca="false">IF(AND(AT$3&gt;=$E5,AT$3&lt;=$F5),1,"")</f>
        <v/>
      </c>
      <c r="AU5" s="1" t="str">
        <f aca="false">IF(AND(AU$3&gt;=$E5,AU$3&lt;=$F5),1,"")</f>
        <v/>
      </c>
      <c r="AV5" s="1" t="str">
        <f aca="false">IF(AND(AV$3&gt;=$E5,AV$3&lt;=$F5),1,"")</f>
        <v/>
      </c>
      <c r="AW5" s="1" t="str">
        <f aca="false">IF(AND(AW$3&gt;=$E5,AW$3&lt;=$F5),1,"")</f>
        <v/>
      </c>
      <c r="AX5" s="1" t="str">
        <f aca="false">IF(AND(AX$3&gt;=$E5,AX$3&lt;=$F5),1,"")</f>
        <v/>
      </c>
      <c r="AY5" s="1" t="str">
        <f aca="false">IF(AND(AY$3&gt;=$E5,AY$3&lt;=$F5),1,"")</f>
        <v/>
      </c>
      <c r="AZ5" s="1" t="str">
        <f aca="false">IF(AND(AZ$3&gt;=$E5,AZ$3&lt;=$F5),1,"")</f>
        <v/>
      </c>
      <c r="BA5" s="1" t="str">
        <f aca="false">IF(AND(BA$3&gt;=$E5,BA$3&lt;=$F5),1,"")</f>
        <v/>
      </c>
      <c r="BB5" s="1" t="str">
        <f aca="false">IF(AND(BB$3&gt;=$E5,BB$3&lt;=$F5),1,"")</f>
        <v/>
      </c>
      <c r="BC5" s="1" t="str">
        <f aca="false">IF(AND(BC$3&gt;=$E5,BC$3&lt;=$F5),1,"")</f>
        <v/>
      </c>
      <c r="BD5" s="1" t="str">
        <f aca="false">IF(AND(BD$3&gt;=$E5,BD$3&lt;=$F5),1,"")</f>
        <v/>
      </c>
      <c r="BE5" s="1" t="str">
        <f aca="false">IF(AND(BE$3&gt;=$E5,BE$3&lt;=$F5),1,"")</f>
        <v/>
      </c>
      <c r="BF5" s="1" t="str">
        <f aca="false">IF(AND(BF$3&gt;=$E5,BF$3&lt;=$F5),1,"")</f>
        <v/>
      </c>
      <c r="BG5" s="1" t="str">
        <f aca="false">IF(AND(BG$3&gt;=$E5,BG$3&lt;=$F5),1,"")</f>
        <v/>
      </c>
      <c r="BH5" s="1" t="str">
        <f aca="false">IF(AND(BH$3&gt;=$E5,BH$3&lt;=$F5),1,"")</f>
        <v/>
      </c>
      <c r="BI5" s="1" t="str">
        <f aca="false">IF(AND(BI$3&gt;=$E5,BI$3&lt;=$F5),1,"")</f>
        <v/>
      </c>
      <c r="BJ5" s="1" t="str">
        <f aca="false">IF(AND(BJ$3&gt;=$E5,BJ$3&lt;=$F5),1,"")</f>
        <v/>
      </c>
      <c r="BK5" s="1" t="str">
        <f aca="false">IF(AND(BK$3&gt;=$E5,BK$3&lt;=$F5),1,"")</f>
        <v/>
      </c>
      <c r="BL5" s="1" t="str">
        <f aca="false">IF(AND(BL$3&gt;=$E5,BL$3&lt;=$F5),1,"")</f>
        <v/>
      </c>
      <c r="BM5" s="1" t="str">
        <f aca="false">IF(AND(BM$3&gt;=$E5,BM$3&lt;=$F5),1,"")</f>
        <v/>
      </c>
      <c r="BN5" s="1" t="str">
        <f aca="false">IF(AND(BN$3&gt;=$E5,BN$3&lt;=$F5),1,"")</f>
        <v/>
      </c>
      <c r="BO5" s="1" t="str">
        <f aca="false">IF(AND(BO$3&gt;=$E5,BO$3&lt;=$F5),1,"")</f>
        <v/>
      </c>
      <c r="BP5" s="1" t="str">
        <f aca="false">IF(AND(BP$3&gt;=$E5,BP$3&lt;=$F5),1,"")</f>
        <v/>
      </c>
      <c r="BQ5" s="1" t="str">
        <f aca="false">IF(AND(BQ$3&gt;=$E5,BQ$3&lt;=$F5),1,"")</f>
        <v/>
      </c>
      <c r="BR5" s="1" t="str">
        <f aca="false">IF(AND(BR$3&gt;=$E5,BR$3&lt;=$F5),1,"")</f>
        <v/>
      </c>
    </row>
    <row r="6" customFormat="false" ht="15" hidden="false" customHeight="true" outlineLevel="0" collapsed="false">
      <c r="A6" s="1" t="s">
        <v>385</v>
      </c>
      <c r="B6" s="1" t="n">
        <v>42</v>
      </c>
      <c r="C6" s="95" t="s">
        <v>386</v>
      </c>
      <c r="D6" s="1" t="n">
        <v>3</v>
      </c>
      <c r="E6" s="89" t="n">
        <v>46153.2916666667</v>
      </c>
      <c r="F6" s="89" t="n">
        <v>46221.2916666667</v>
      </c>
      <c r="G6" s="95" t="s">
        <v>146</v>
      </c>
      <c r="H6" s="1" t="str">
        <f aca="false">IF($A6="","",TEXT($F6,"MMM-YYYY"))</f>
        <v>Jul-2026</v>
      </c>
      <c r="I6" s="95" t="s">
        <v>157</v>
      </c>
      <c r="J6" s="96" t="n">
        <f aca="false">IF($A6="","",$F6+30)</f>
        <v>46251.2916666667</v>
      </c>
      <c r="K6" s="1" t="s">
        <v>159</v>
      </c>
      <c r="L6" s="1" t="str">
        <f aca="false">IF(AND(L$3&gt;=$E6,L$3&lt;=$F6),1,"")</f>
        <v/>
      </c>
      <c r="M6" s="1" t="str">
        <f aca="false">IF(AND(M$3&gt;=$E6,M$3&lt;=$F6),1,"")</f>
        <v/>
      </c>
      <c r="N6" s="1" t="str">
        <f aca="false">IF(AND(N$3&gt;=$E6,N$3&lt;=$F6),1,"")</f>
        <v/>
      </c>
      <c r="O6" s="1" t="str">
        <f aca="false">IF(AND(O$3&gt;=$E6,O$3&lt;=$F6),1,"")</f>
        <v/>
      </c>
      <c r="P6" s="1" t="str">
        <f aca="false">IF(AND(P$3&gt;=$E6,P$3&lt;=$F6),1,"")</f>
        <v/>
      </c>
      <c r="Q6" s="1" t="str">
        <f aca="false">IF(AND(Q$3&gt;=$E6,Q$3&lt;=$F6),1,"")</f>
        <v/>
      </c>
      <c r="R6" s="1" t="str">
        <f aca="false">IF(AND(R$3&gt;=$E6,R$3&lt;=$F6),1,"")</f>
        <v/>
      </c>
      <c r="S6" s="1" t="str">
        <f aca="false">IF(AND(S$3&gt;=$E6,S$3&lt;=$F6),1,"")</f>
        <v/>
      </c>
      <c r="T6" s="1" t="str">
        <f aca="false">IF(AND(T$3&gt;=$E6,T$3&lt;=$F6),1,"")</f>
        <v/>
      </c>
      <c r="U6" s="1" t="str">
        <f aca="false">IF(AND(U$3&gt;=$E6,U$3&lt;=$F6),1,"")</f>
        <v/>
      </c>
      <c r="V6" s="1" t="str">
        <f aca="false">IF(AND(V$3&gt;=$E6,V$3&lt;=$F6),1,"")</f>
        <v/>
      </c>
      <c r="W6" s="1" t="str">
        <f aca="false">IF(AND(W$3&gt;=$E6,W$3&lt;=$F6),1,"")</f>
        <v/>
      </c>
      <c r="X6" s="1" t="str">
        <f aca="false">IF(AND(X$3&gt;=$E6,X$3&lt;=$F6),1,"")</f>
        <v/>
      </c>
      <c r="Y6" s="1" t="str">
        <f aca="false">IF(AND(Y$3&gt;=$E6,Y$3&lt;=$F6),1,"")</f>
        <v/>
      </c>
      <c r="Z6" s="1" t="str">
        <f aca="false">IF(AND(Z$3&gt;=$E6,Z$3&lt;=$F6),1,"")</f>
        <v/>
      </c>
      <c r="AA6" s="1" t="str">
        <f aca="false">IF(AND(AA$3&gt;=$E6,AA$3&lt;=$F6),1,"")</f>
        <v/>
      </c>
      <c r="AB6" s="1" t="str">
        <f aca="false">IF(AND(AB$3&gt;=$E6,AB$3&lt;=$F6),1,"")</f>
        <v/>
      </c>
      <c r="AC6" s="1" t="str">
        <f aca="false">IF(AND(AC$3&gt;=$E6,AC$3&lt;=$F6),1,"")</f>
        <v/>
      </c>
      <c r="AD6" s="1" t="str">
        <f aca="false">IF(AND(AD$3&gt;=$E6,AD$3&lt;=$F6),1,"")</f>
        <v/>
      </c>
      <c r="AE6" s="1" t="str">
        <f aca="false">IF(AND(AE$3&gt;=$E6,AE$3&lt;=$F6),1,"")</f>
        <v/>
      </c>
      <c r="AF6" s="1" t="str">
        <f aca="false">IF(AND(AF$3&gt;=$E6,AF$3&lt;=$F6),1,"")</f>
        <v/>
      </c>
      <c r="AG6" s="1" t="str">
        <f aca="false">IF(AND(AG$3&gt;=$E6,AG$3&lt;=$F6),1,"")</f>
        <v/>
      </c>
      <c r="AH6" s="1" t="str">
        <f aca="false">IF(AND(AH$3&gt;=$E6,AH$3&lt;=$F6),1,"")</f>
        <v/>
      </c>
      <c r="AI6" s="1" t="str">
        <f aca="false">IF(AND(AI$3&gt;=$E6,AI$3&lt;=$F6),1,"")</f>
        <v/>
      </c>
      <c r="AJ6" s="1" t="str">
        <f aca="false">IF(AND(AJ$3&gt;=$E6,AJ$3&lt;=$F6),1,"")</f>
        <v/>
      </c>
      <c r="AK6" s="1" t="str">
        <f aca="false">IF(AND(AK$3&gt;=$E6,AK$3&lt;=$F6),1,"")</f>
        <v/>
      </c>
      <c r="AL6" s="1" t="str">
        <f aca="false">IF(AND(AL$3&gt;=$E6,AL$3&lt;=$F6),1,"")</f>
        <v/>
      </c>
      <c r="AM6" s="1" t="str">
        <f aca="false">IF(AND(AM$3&gt;=$E6,AM$3&lt;=$F6),1,"")</f>
        <v/>
      </c>
      <c r="AN6" s="1" t="str">
        <f aca="false">IF(AND(AN$3&gt;=$E6,AN$3&lt;=$F6),1,"")</f>
        <v/>
      </c>
      <c r="AO6" s="1" t="str">
        <f aca="false">IF(AND(AO$3&gt;=$E6,AO$3&lt;=$F6),1,"")</f>
        <v/>
      </c>
      <c r="AP6" s="1" t="str">
        <f aca="false">IF(AND(AP$3&gt;=$E6,AP$3&lt;=$F6),1,"")</f>
        <v/>
      </c>
      <c r="AQ6" s="1" t="str">
        <f aca="false">IF(AND(AQ$3&gt;=$E6,AQ$3&lt;=$F6),1,"")</f>
        <v/>
      </c>
      <c r="AR6" s="1" t="str">
        <f aca="false">IF(AND(AR$3&gt;=$E6,AR$3&lt;=$F6),1,"")</f>
        <v/>
      </c>
      <c r="AS6" s="1" t="str">
        <f aca="false">IF(AND(AS$3&gt;=$E6,AS$3&lt;=$F6),1,"")</f>
        <v/>
      </c>
      <c r="AT6" s="1" t="str">
        <f aca="false">IF(AND(AT$3&gt;=$E6,AT$3&lt;=$F6),1,"")</f>
        <v/>
      </c>
      <c r="AU6" s="1" t="str">
        <f aca="false">IF(AND(AU$3&gt;=$E6,AU$3&lt;=$F6),1,"")</f>
        <v/>
      </c>
      <c r="AV6" s="1" t="str">
        <f aca="false">IF(AND(AV$3&gt;=$E6,AV$3&lt;=$F6),1,"")</f>
        <v/>
      </c>
      <c r="AW6" s="1" t="str">
        <f aca="false">IF(AND(AW$3&gt;=$E6,AW$3&lt;=$F6),1,"")</f>
        <v/>
      </c>
      <c r="AX6" s="1" t="str">
        <f aca="false">IF(AND(AX$3&gt;=$E6,AX$3&lt;=$F6),1,"")</f>
        <v/>
      </c>
      <c r="AY6" s="1" t="str">
        <f aca="false">IF(AND(AY$3&gt;=$E6,AY$3&lt;=$F6),1,"")</f>
        <v/>
      </c>
      <c r="AZ6" s="1" t="n">
        <f aca="false">IF(AND(AZ$3&gt;=$E6,AZ$3&lt;=$F6),1,"")</f>
        <v>1</v>
      </c>
      <c r="BA6" s="1" t="n">
        <f aca="false">IF(AND(BA$3&gt;=$E6,BA$3&lt;=$F6),1,"")</f>
        <v>1</v>
      </c>
      <c r="BB6" s="1" t="n">
        <f aca="false">IF(AND(BB$3&gt;=$E6,BB$3&lt;=$F6),1,"")</f>
        <v>1</v>
      </c>
      <c r="BC6" s="1" t="n">
        <f aca="false">IF(AND(BC$3&gt;=$E6,BC$3&lt;=$F6),1,"")</f>
        <v>1</v>
      </c>
      <c r="BD6" s="1" t="n">
        <f aca="false">IF(AND(BD$3&gt;=$E6,BD$3&lt;=$F6),1,"")</f>
        <v>1</v>
      </c>
      <c r="BE6" s="1" t="n">
        <f aca="false">IF(AND(BE$3&gt;=$E6,BE$3&lt;=$F6),1,"")</f>
        <v>1</v>
      </c>
      <c r="BF6" s="1" t="n">
        <f aca="false">IF(AND(BF$3&gt;=$E6,BF$3&lt;=$F6),1,"")</f>
        <v>1</v>
      </c>
      <c r="BG6" s="1" t="n">
        <f aca="false">IF(AND(BG$3&gt;=$E6,BG$3&lt;=$F6),1,"")</f>
        <v>1</v>
      </c>
      <c r="BH6" s="1" t="n">
        <f aca="false">IF(AND(BH$3&gt;=$E6,BH$3&lt;=$F6),1,"")</f>
        <v>1</v>
      </c>
      <c r="BI6" s="1" t="n">
        <f aca="false">IF(AND(BI$3&gt;=$E6,BI$3&lt;=$F6),1,"")</f>
        <v>1</v>
      </c>
      <c r="BJ6" s="1" t="n">
        <f aca="false">IF(AND(BJ$3&gt;=$E6,BJ$3&lt;=$F6),1,"")</f>
        <v>1</v>
      </c>
      <c r="BK6" s="1" t="n">
        <f aca="false">IF(AND(BK$3&gt;=$E6,BK$3&lt;=$F6),1,"")</f>
        <v>1</v>
      </c>
      <c r="BL6" s="1" t="n">
        <f aca="false">IF(AND(BL$3&gt;=$E6,BL$3&lt;=$F6),1,"")</f>
        <v>1</v>
      </c>
      <c r="BM6" s="1" t="n">
        <f aca="false">IF(AND(BM$3&gt;=$E6,BM$3&lt;=$F6),1,"")</f>
        <v>1</v>
      </c>
      <c r="BN6" s="1" t="n">
        <f aca="false">IF(AND(BN$3&gt;=$E6,BN$3&lt;=$F6),1,"")</f>
        <v>1</v>
      </c>
      <c r="BO6" s="1" t="n">
        <f aca="false">IF(AND(BO$3&gt;=$E6,BO$3&lt;=$F6),1,"")</f>
        <v>1</v>
      </c>
      <c r="BP6" s="1" t="n">
        <f aca="false">IF(AND(BP$3&gt;=$E6,BP$3&lt;=$F6),1,"")</f>
        <v>1</v>
      </c>
      <c r="BQ6" s="1" t="n">
        <f aca="false">IF(AND(BQ$3&gt;=$E6,BQ$3&lt;=$F6),1,"")</f>
        <v>1</v>
      </c>
      <c r="BR6" s="1" t="n">
        <f aca="false">IF(AND(BR$3&gt;=$E6,BR$3&lt;=$F6),1,"")</f>
        <v>1</v>
      </c>
    </row>
    <row r="7" customFormat="false" ht="15" hidden="false" customHeight="true" outlineLevel="0" collapsed="false">
      <c r="A7" s="1" t="s">
        <v>387</v>
      </c>
      <c r="B7" s="1" t="n">
        <v>42</v>
      </c>
      <c r="C7" s="95" t="s">
        <v>388</v>
      </c>
      <c r="D7" s="1" t="n">
        <v>2</v>
      </c>
      <c r="E7" s="89" t="n">
        <v>46118.2916666667</v>
      </c>
      <c r="F7" s="89" t="n">
        <v>46161.2916666667</v>
      </c>
      <c r="G7" s="95" t="s">
        <v>154</v>
      </c>
      <c r="H7" s="1" t="str">
        <f aca="false">IF($A7="","",TEXT($F7,"MMM-YYYY"))</f>
        <v>May-2026</v>
      </c>
      <c r="I7" s="95" t="s">
        <v>147</v>
      </c>
      <c r="J7" s="96" t="n">
        <f aca="false">IF($A7="","",$F7+30)</f>
        <v>46191.2916666667</v>
      </c>
      <c r="K7" s="1" t="s">
        <v>155</v>
      </c>
      <c r="L7" s="1" t="str">
        <f aca="false">IF(AND(L$3&gt;=$E7,L$3&lt;=$F7),1,"")</f>
        <v/>
      </c>
      <c r="M7" s="1" t="str">
        <f aca="false">IF(AND(M$3&gt;=$E7,M$3&lt;=$F7),1,"")</f>
        <v/>
      </c>
      <c r="N7" s="1" t="str">
        <f aca="false">IF(AND(N$3&gt;=$E7,N$3&lt;=$F7),1,"")</f>
        <v/>
      </c>
      <c r="O7" s="1" t="str">
        <f aca="false">IF(AND(O$3&gt;=$E7,O$3&lt;=$F7),1,"")</f>
        <v/>
      </c>
      <c r="P7" s="1" t="str">
        <f aca="false">IF(AND(P$3&gt;=$E7,P$3&lt;=$F7),1,"")</f>
        <v/>
      </c>
      <c r="Q7" s="1" t="n">
        <f aca="false">IF(AND(Q$3&gt;=$E7,Q$3&lt;=$F7),1,"")</f>
        <v>1</v>
      </c>
      <c r="R7" s="1" t="n">
        <f aca="false">IF(AND(R$3&gt;=$E7,R$3&lt;=$F7),1,"")</f>
        <v>1</v>
      </c>
      <c r="S7" s="1" t="n">
        <f aca="false">IF(AND(S$3&gt;=$E7,S$3&lt;=$F7),1,"")</f>
        <v>1</v>
      </c>
      <c r="T7" s="1" t="n">
        <f aca="false">IF(AND(T$3&gt;=$E7,T$3&lt;=$F7),1,"")</f>
        <v>1</v>
      </c>
      <c r="U7" s="1" t="n">
        <f aca="false">IF(AND(U$3&gt;=$E7,U$3&lt;=$F7),1,"")</f>
        <v>1</v>
      </c>
      <c r="V7" s="1" t="n">
        <f aca="false">IF(AND(V$3&gt;=$E7,V$3&lt;=$F7),1,"")</f>
        <v>1</v>
      </c>
      <c r="W7" s="1" t="n">
        <f aca="false">IF(AND(W$3&gt;=$E7,W$3&lt;=$F7),1,"")</f>
        <v>1</v>
      </c>
      <c r="X7" s="1" t="n">
        <f aca="false">IF(AND(X$3&gt;=$E7,X$3&lt;=$F7),1,"")</f>
        <v>1</v>
      </c>
      <c r="Y7" s="1" t="n">
        <f aca="false">IF(AND(Y$3&gt;=$E7,Y$3&lt;=$F7),1,"")</f>
        <v>1</v>
      </c>
      <c r="Z7" s="1" t="n">
        <f aca="false">IF(AND(Z$3&gt;=$E7,Z$3&lt;=$F7),1,"")</f>
        <v>1</v>
      </c>
      <c r="AA7" s="1" t="n">
        <f aca="false">IF(AND(AA$3&gt;=$E7,AA$3&lt;=$F7),1,"")</f>
        <v>1</v>
      </c>
      <c r="AB7" s="1" t="n">
        <f aca="false">IF(AND(AB$3&gt;=$E7,AB$3&lt;=$F7),1,"")</f>
        <v>1</v>
      </c>
      <c r="AC7" s="1" t="n">
        <f aca="false">IF(AND(AC$3&gt;=$E7,AC$3&lt;=$F7),1,"")</f>
        <v>1</v>
      </c>
      <c r="AD7" s="1" t="n">
        <f aca="false">IF(AND(AD$3&gt;=$E7,AD$3&lt;=$F7),1,"")</f>
        <v>1</v>
      </c>
      <c r="AE7" s="1" t="n">
        <f aca="false">IF(AND(AE$3&gt;=$E7,AE$3&lt;=$F7),1,"")</f>
        <v>1</v>
      </c>
      <c r="AF7" s="1" t="n">
        <f aca="false">IF(AND(AF$3&gt;=$E7,AF$3&lt;=$F7),1,"")</f>
        <v>1</v>
      </c>
      <c r="AG7" s="1" t="n">
        <f aca="false">IF(AND(AG$3&gt;=$E7,AG$3&lt;=$F7),1,"")</f>
        <v>1</v>
      </c>
      <c r="AH7" s="1" t="n">
        <f aca="false">IF(AND(AH$3&gt;=$E7,AH$3&lt;=$F7),1,"")</f>
        <v>1</v>
      </c>
      <c r="AI7" s="1" t="n">
        <f aca="false">IF(AND(AI$3&gt;=$E7,AI$3&lt;=$F7),1,"")</f>
        <v>1</v>
      </c>
      <c r="AJ7" s="1" t="n">
        <f aca="false">IF(AND(AJ$3&gt;=$E7,AJ$3&lt;=$F7),1,"")</f>
        <v>1</v>
      </c>
      <c r="AK7" s="1" t="n">
        <f aca="false">IF(AND(AK$3&gt;=$E7,AK$3&lt;=$F7),1,"")</f>
        <v>1</v>
      </c>
      <c r="AL7" s="1" t="n">
        <f aca="false">IF(AND(AL$3&gt;=$E7,AL$3&lt;=$F7),1,"")</f>
        <v>1</v>
      </c>
      <c r="AM7" s="1" t="n">
        <f aca="false">IF(AND(AM$3&gt;=$E7,AM$3&lt;=$F7),1,"")</f>
        <v>1</v>
      </c>
      <c r="AN7" s="1" t="n">
        <f aca="false">IF(AND(AN$3&gt;=$E7,AN$3&lt;=$F7),1,"")</f>
        <v>1</v>
      </c>
      <c r="AO7" s="1" t="n">
        <f aca="false">IF(AND(AO$3&gt;=$E7,AO$3&lt;=$F7),1,"")</f>
        <v>1</v>
      </c>
      <c r="AP7" s="1" t="n">
        <f aca="false">IF(AND(AP$3&gt;=$E7,AP$3&lt;=$F7),1,"")</f>
        <v>1</v>
      </c>
      <c r="AQ7" s="1" t="n">
        <f aca="false">IF(AND(AQ$3&gt;=$E7,AQ$3&lt;=$F7),1,"")</f>
        <v>1</v>
      </c>
      <c r="AR7" s="1" t="n">
        <f aca="false">IF(AND(AR$3&gt;=$E7,AR$3&lt;=$F7),1,"")</f>
        <v>1</v>
      </c>
      <c r="AS7" s="1" t="n">
        <f aca="false">IF(AND(AS$3&gt;=$E7,AS$3&lt;=$F7),1,"")</f>
        <v>1</v>
      </c>
      <c r="AT7" s="1" t="n">
        <f aca="false">IF(AND(AT$3&gt;=$E7,AT$3&lt;=$F7),1,"")</f>
        <v>1</v>
      </c>
      <c r="AU7" s="1" t="n">
        <f aca="false">IF(AND(AU$3&gt;=$E7,AU$3&lt;=$F7),1,"")</f>
        <v>1</v>
      </c>
      <c r="AV7" s="1" t="n">
        <f aca="false">IF(AND(AV$3&gt;=$E7,AV$3&lt;=$F7),1,"")</f>
        <v>1</v>
      </c>
      <c r="AW7" s="1" t="n">
        <f aca="false">IF(AND(AW$3&gt;=$E7,AW$3&lt;=$F7),1,"")</f>
        <v>1</v>
      </c>
      <c r="AX7" s="1" t="n">
        <f aca="false">IF(AND(AX$3&gt;=$E7,AX$3&lt;=$F7),1,"")</f>
        <v>1</v>
      </c>
      <c r="AY7" s="1" t="n">
        <f aca="false">IF(AND(AY$3&gt;=$E7,AY$3&lt;=$F7),1,"")</f>
        <v>1</v>
      </c>
      <c r="AZ7" s="1" t="n">
        <f aca="false">IF(AND(AZ$3&gt;=$E7,AZ$3&lt;=$F7),1,"")</f>
        <v>1</v>
      </c>
      <c r="BA7" s="1" t="n">
        <f aca="false">IF(AND(BA$3&gt;=$E7,BA$3&lt;=$F7),1,"")</f>
        <v>1</v>
      </c>
      <c r="BB7" s="1" t="n">
        <f aca="false">IF(AND(BB$3&gt;=$E7,BB$3&lt;=$F7),1,"")</f>
        <v>1</v>
      </c>
      <c r="BC7" s="1" t="n">
        <f aca="false">IF(AND(BC$3&gt;=$E7,BC$3&lt;=$F7),1,"")</f>
        <v>1</v>
      </c>
      <c r="BD7" s="1" t="n">
        <f aca="false">IF(AND(BD$3&gt;=$E7,BD$3&lt;=$F7),1,"")</f>
        <v>1</v>
      </c>
      <c r="BE7" s="1" t="n">
        <f aca="false">IF(AND(BE$3&gt;=$E7,BE$3&lt;=$F7),1,"")</f>
        <v>1</v>
      </c>
      <c r="BF7" s="1" t="n">
        <f aca="false">IF(AND(BF$3&gt;=$E7,BF$3&lt;=$F7),1,"")</f>
        <v>1</v>
      </c>
      <c r="BG7" s="1" t="n">
        <f aca="false">IF(AND(BG$3&gt;=$E7,BG$3&lt;=$F7),1,"")</f>
        <v>1</v>
      </c>
      <c r="BH7" s="1" t="str">
        <f aca="false">IF(AND(BH$3&gt;=$E7,BH$3&lt;=$F7),1,"")</f>
        <v/>
      </c>
      <c r="BI7" s="1" t="str">
        <f aca="false">IF(AND(BI$3&gt;=$E7,BI$3&lt;=$F7),1,"")</f>
        <v/>
      </c>
      <c r="BJ7" s="1" t="str">
        <f aca="false">IF(AND(BJ$3&gt;=$E7,BJ$3&lt;=$F7),1,"")</f>
        <v/>
      </c>
      <c r="BK7" s="1" t="str">
        <f aca="false">IF(AND(BK$3&gt;=$E7,BK$3&lt;=$F7),1,"")</f>
        <v/>
      </c>
      <c r="BL7" s="1" t="str">
        <f aca="false">IF(AND(BL$3&gt;=$E7,BL$3&lt;=$F7),1,"")</f>
        <v/>
      </c>
      <c r="BM7" s="1" t="str">
        <f aca="false">IF(AND(BM$3&gt;=$E7,BM$3&lt;=$F7),1,"")</f>
        <v/>
      </c>
      <c r="BN7" s="1" t="str">
        <f aca="false">IF(AND(BN$3&gt;=$E7,BN$3&lt;=$F7),1,"")</f>
        <v/>
      </c>
      <c r="BO7" s="1" t="str">
        <f aca="false">IF(AND(BO$3&gt;=$E7,BO$3&lt;=$F7),1,"")</f>
        <v/>
      </c>
      <c r="BP7" s="1" t="str">
        <f aca="false">IF(AND(BP$3&gt;=$E7,BP$3&lt;=$F7),1,"")</f>
        <v/>
      </c>
      <c r="BQ7" s="1" t="str">
        <f aca="false">IF(AND(BQ$3&gt;=$E7,BQ$3&lt;=$F7),1,"")</f>
        <v/>
      </c>
      <c r="BR7" s="1" t="str">
        <f aca="false">IF(AND(BR$3&gt;=$E7,BR$3&lt;=$F7),1,"")</f>
        <v/>
      </c>
    </row>
    <row r="8" customFormat="false" ht="15" hidden="false" customHeight="true" outlineLevel="0" collapsed="false">
      <c r="A8" s="1" t="s">
        <v>389</v>
      </c>
      <c r="B8" s="1" t="n">
        <v>42</v>
      </c>
      <c r="C8" s="95" t="s">
        <v>390</v>
      </c>
      <c r="D8" s="1" t="n">
        <v>1</v>
      </c>
      <c r="E8" s="89" t="n">
        <v>46220.2916666667</v>
      </c>
      <c r="F8" s="89" t="n">
        <v>46262.2916666667</v>
      </c>
      <c r="G8" s="95" t="s">
        <v>161</v>
      </c>
      <c r="H8" s="1" t="str">
        <f aca="false">IF($A8="","",TEXT($F8,"MMM-YYYY"))</f>
        <v>Aug-2026</v>
      </c>
      <c r="I8" s="95" t="s">
        <v>157</v>
      </c>
      <c r="J8" s="96" t="n">
        <f aca="false">IF($A8="","",$F8+30)</f>
        <v>46292.2916666667</v>
      </c>
      <c r="K8" s="1" t="s">
        <v>159</v>
      </c>
      <c r="L8" s="1" t="str">
        <f aca="false">IF(AND(L$3&gt;=$E8,L$3&lt;=$F8),1,"")</f>
        <v/>
      </c>
      <c r="M8" s="1" t="str">
        <f aca="false">IF(AND(M$3&gt;=$E8,M$3&lt;=$F8),1,"")</f>
        <v/>
      </c>
      <c r="N8" s="1" t="str">
        <f aca="false">IF(AND(N$3&gt;=$E8,N$3&lt;=$F8),1,"")</f>
        <v/>
      </c>
      <c r="O8" s="1" t="str">
        <f aca="false">IF(AND(O$3&gt;=$E8,O$3&lt;=$F8),1,"")</f>
        <v/>
      </c>
      <c r="P8" s="1" t="str">
        <f aca="false">IF(AND(P$3&gt;=$E8,P$3&lt;=$F8),1,"")</f>
        <v/>
      </c>
      <c r="Q8" s="1" t="str">
        <f aca="false">IF(AND(Q$3&gt;=$E8,Q$3&lt;=$F8),1,"")</f>
        <v/>
      </c>
      <c r="R8" s="1" t="str">
        <f aca="false">IF(AND(R$3&gt;=$E8,R$3&lt;=$F8),1,"")</f>
        <v/>
      </c>
      <c r="S8" s="1" t="str">
        <f aca="false">IF(AND(S$3&gt;=$E8,S$3&lt;=$F8),1,"")</f>
        <v/>
      </c>
      <c r="T8" s="1" t="str">
        <f aca="false">IF(AND(T$3&gt;=$E8,T$3&lt;=$F8),1,"")</f>
        <v/>
      </c>
      <c r="U8" s="1" t="str">
        <f aca="false">IF(AND(U$3&gt;=$E8,U$3&lt;=$F8),1,"")</f>
        <v/>
      </c>
      <c r="V8" s="1" t="str">
        <f aca="false">IF(AND(V$3&gt;=$E8,V$3&lt;=$F8),1,"")</f>
        <v/>
      </c>
      <c r="W8" s="1" t="str">
        <f aca="false">IF(AND(W$3&gt;=$E8,W$3&lt;=$F8),1,"")</f>
        <v/>
      </c>
      <c r="X8" s="1" t="str">
        <f aca="false">IF(AND(X$3&gt;=$E8,X$3&lt;=$F8),1,"")</f>
        <v/>
      </c>
      <c r="Y8" s="1" t="str">
        <f aca="false">IF(AND(Y$3&gt;=$E8,Y$3&lt;=$F8),1,"")</f>
        <v/>
      </c>
      <c r="Z8" s="1" t="str">
        <f aca="false">IF(AND(Z$3&gt;=$E8,Z$3&lt;=$F8),1,"")</f>
        <v/>
      </c>
      <c r="AA8" s="1" t="str">
        <f aca="false">IF(AND(AA$3&gt;=$E8,AA$3&lt;=$F8),1,"")</f>
        <v/>
      </c>
      <c r="AB8" s="1" t="str">
        <f aca="false">IF(AND(AB$3&gt;=$E8,AB$3&lt;=$F8),1,"")</f>
        <v/>
      </c>
      <c r="AC8" s="1" t="str">
        <f aca="false">IF(AND(AC$3&gt;=$E8,AC$3&lt;=$F8),1,"")</f>
        <v/>
      </c>
      <c r="AD8" s="1" t="str">
        <f aca="false">IF(AND(AD$3&gt;=$E8,AD$3&lt;=$F8),1,"")</f>
        <v/>
      </c>
      <c r="AE8" s="1" t="str">
        <f aca="false">IF(AND(AE$3&gt;=$E8,AE$3&lt;=$F8),1,"")</f>
        <v/>
      </c>
      <c r="AF8" s="1" t="str">
        <f aca="false">IF(AND(AF$3&gt;=$E8,AF$3&lt;=$F8),1,"")</f>
        <v/>
      </c>
      <c r="AG8" s="1" t="str">
        <f aca="false">IF(AND(AG$3&gt;=$E8,AG$3&lt;=$F8),1,"")</f>
        <v/>
      </c>
      <c r="AH8" s="1" t="str">
        <f aca="false">IF(AND(AH$3&gt;=$E8,AH$3&lt;=$F8),1,"")</f>
        <v/>
      </c>
      <c r="AI8" s="1" t="str">
        <f aca="false">IF(AND(AI$3&gt;=$E8,AI$3&lt;=$F8),1,"")</f>
        <v/>
      </c>
      <c r="AJ8" s="1" t="str">
        <f aca="false">IF(AND(AJ$3&gt;=$E8,AJ$3&lt;=$F8),1,"")</f>
        <v/>
      </c>
      <c r="AK8" s="1" t="str">
        <f aca="false">IF(AND(AK$3&gt;=$E8,AK$3&lt;=$F8),1,"")</f>
        <v/>
      </c>
      <c r="AL8" s="1" t="str">
        <f aca="false">IF(AND(AL$3&gt;=$E8,AL$3&lt;=$F8),1,"")</f>
        <v/>
      </c>
      <c r="AM8" s="1" t="str">
        <f aca="false">IF(AND(AM$3&gt;=$E8,AM$3&lt;=$F8),1,"")</f>
        <v/>
      </c>
      <c r="AN8" s="1" t="str">
        <f aca="false">IF(AND(AN$3&gt;=$E8,AN$3&lt;=$F8),1,"")</f>
        <v/>
      </c>
      <c r="AO8" s="1" t="str">
        <f aca="false">IF(AND(AO$3&gt;=$E8,AO$3&lt;=$F8),1,"")</f>
        <v/>
      </c>
      <c r="AP8" s="1" t="str">
        <f aca="false">IF(AND(AP$3&gt;=$E8,AP$3&lt;=$F8),1,"")</f>
        <v/>
      </c>
      <c r="AQ8" s="1" t="str">
        <f aca="false">IF(AND(AQ$3&gt;=$E8,AQ$3&lt;=$F8),1,"")</f>
        <v/>
      </c>
      <c r="AR8" s="1" t="str">
        <f aca="false">IF(AND(AR$3&gt;=$E8,AR$3&lt;=$F8),1,"")</f>
        <v/>
      </c>
      <c r="AS8" s="1" t="str">
        <f aca="false">IF(AND(AS$3&gt;=$E8,AS$3&lt;=$F8),1,"")</f>
        <v/>
      </c>
      <c r="AT8" s="1" t="str">
        <f aca="false">IF(AND(AT$3&gt;=$E8,AT$3&lt;=$F8),1,"")</f>
        <v/>
      </c>
      <c r="AU8" s="1" t="str">
        <f aca="false">IF(AND(AU$3&gt;=$E8,AU$3&lt;=$F8),1,"")</f>
        <v/>
      </c>
      <c r="AV8" s="1" t="str">
        <f aca="false">IF(AND(AV$3&gt;=$E8,AV$3&lt;=$F8),1,"")</f>
        <v/>
      </c>
      <c r="AW8" s="1" t="str">
        <f aca="false">IF(AND(AW$3&gt;=$E8,AW$3&lt;=$F8),1,"")</f>
        <v/>
      </c>
      <c r="AX8" s="1" t="str">
        <f aca="false">IF(AND(AX$3&gt;=$E8,AX$3&lt;=$F8),1,"")</f>
        <v/>
      </c>
      <c r="AY8" s="1" t="str">
        <f aca="false">IF(AND(AY$3&gt;=$E8,AY$3&lt;=$F8),1,"")</f>
        <v/>
      </c>
      <c r="AZ8" s="1" t="str">
        <f aca="false">IF(AND(AZ$3&gt;=$E8,AZ$3&lt;=$F8),1,"")</f>
        <v/>
      </c>
      <c r="BA8" s="1" t="str">
        <f aca="false">IF(AND(BA$3&gt;=$E8,BA$3&lt;=$F8),1,"")</f>
        <v/>
      </c>
      <c r="BB8" s="1" t="str">
        <f aca="false">IF(AND(BB$3&gt;=$E8,BB$3&lt;=$F8),1,"")</f>
        <v/>
      </c>
      <c r="BC8" s="1" t="str">
        <f aca="false">IF(AND(BC$3&gt;=$E8,BC$3&lt;=$F8),1,"")</f>
        <v/>
      </c>
      <c r="BD8" s="1" t="str">
        <f aca="false">IF(AND(BD$3&gt;=$E8,BD$3&lt;=$F8),1,"")</f>
        <v/>
      </c>
      <c r="BE8" s="1" t="str">
        <f aca="false">IF(AND(BE$3&gt;=$E8,BE$3&lt;=$F8),1,"")</f>
        <v/>
      </c>
      <c r="BF8" s="1" t="str">
        <f aca="false">IF(AND(BF$3&gt;=$E8,BF$3&lt;=$F8),1,"")</f>
        <v/>
      </c>
      <c r="BG8" s="1" t="str">
        <f aca="false">IF(AND(BG$3&gt;=$E8,BG$3&lt;=$F8),1,"")</f>
        <v/>
      </c>
      <c r="BH8" s="1" t="str">
        <f aca="false">IF(AND(BH$3&gt;=$E8,BH$3&lt;=$F8),1,"")</f>
        <v/>
      </c>
      <c r="BI8" s="1" t="str">
        <f aca="false">IF(AND(BI$3&gt;=$E8,BI$3&lt;=$F8),1,"")</f>
        <v/>
      </c>
      <c r="BJ8" s="1" t="str">
        <f aca="false">IF(AND(BJ$3&gt;=$E8,BJ$3&lt;=$F8),1,"")</f>
        <v/>
      </c>
      <c r="BK8" s="1" t="str">
        <f aca="false">IF(AND(BK$3&gt;=$E8,BK$3&lt;=$F8),1,"")</f>
        <v/>
      </c>
      <c r="BL8" s="1" t="str">
        <f aca="false">IF(AND(BL$3&gt;=$E8,BL$3&lt;=$F8),1,"")</f>
        <v/>
      </c>
      <c r="BM8" s="1" t="str">
        <f aca="false">IF(AND(BM$3&gt;=$E8,BM$3&lt;=$F8),1,"")</f>
        <v/>
      </c>
      <c r="BN8" s="1" t="str">
        <f aca="false">IF(AND(BN$3&gt;=$E8,BN$3&lt;=$F8),1,"")</f>
        <v/>
      </c>
      <c r="BO8" s="1" t="str">
        <f aca="false">IF(AND(BO$3&gt;=$E8,BO$3&lt;=$F8),1,"")</f>
        <v/>
      </c>
      <c r="BP8" s="1" t="str">
        <f aca="false">IF(AND(BP$3&gt;=$E8,BP$3&lt;=$F8),1,"")</f>
        <v/>
      </c>
      <c r="BQ8" s="1" t="str">
        <f aca="false">IF(AND(BQ$3&gt;=$E8,BQ$3&lt;=$F8),1,"")</f>
        <v/>
      </c>
      <c r="BR8" s="1" t="str">
        <f aca="false">IF(AND(BR$3&gt;=$E8,BR$3&lt;=$F8),1,"")</f>
        <v/>
      </c>
    </row>
    <row r="9" customFormat="false" ht="15" hidden="false" customHeight="true" outlineLevel="0" collapsed="false">
      <c r="A9" s="1" t="s">
        <v>391</v>
      </c>
      <c r="B9" s="1" t="n">
        <v>9</v>
      </c>
      <c r="C9" s="95" t="s">
        <v>386</v>
      </c>
      <c r="D9" s="1" t="n">
        <v>3</v>
      </c>
      <c r="E9" s="89" t="n">
        <v>46195.2916666667</v>
      </c>
      <c r="F9" s="89" t="n">
        <v>46263.2916666667</v>
      </c>
      <c r="G9" s="95" t="s">
        <v>161</v>
      </c>
      <c r="H9" s="1" t="str">
        <f aca="false">IF($A9="","",TEXT($F9,"MMM-YYYY"))</f>
        <v>Aug-2026</v>
      </c>
      <c r="I9" s="95" t="s">
        <v>147</v>
      </c>
      <c r="J9" s="96" t="n">
        <f aca="false">IF($A9="","",$F9+30)</f>
        <v>46293.2916666667</v>
      </c>
      <c r="K9" s="1" t="s">
        <v>392</v>
      </c>
      <c r="L9" s="1" t="str">
        <f aca="false">IF(AND(L$3&gt;=$E9,L$3&lt;=$F9),1,"")</f>
        <v/>
      </c>
      <c r="M9" s="1" t="str">
        <f aca="false">IF(AND(M$3&gt;=$E9,M$3&lt;=$F9),1,"")</f>
        <v/>
      </c>
      <c r="N9" s="1" t="str">
        <f aca="false">IF(AND(N$3&gt;=$E9,N$3&lt;=$F9),1,"")</f>
        <v/>
      </c>
      <c r="O9" s="1" t="str">
        <f aca="false">IF(AND(O$3&gt;=$E9,O$3&lt;=$F9),1,"")</f>
        <v/>
      </c>
      <c r="P9" s="1" t="str">
        <f aca="false">IF(AND(P$3&gt;=$E9,P$3&lt;=$F9),1,"")</f>
        <v/>
      </c>
      <c r="Q9" s="1" t="str">
        <f aca="false">IF(AND(Q$3&gt;=$E9,Q$3&lt;=$F9),1,"")</f>
        <v/>
      </c>
      <c r="R9" s="1" t="str">
        <f aca="false">IF(AND(R$3&gt;=$E9,R$3&lt;=$F9),1,"")</f>
        <v/>
      </c>
      <c r="S9" s="1" t="str">
        <f aca="false">IF(AND(S$3&gt;=$E9,S$3&lt;=$F9),1,"")</f>
        <v/>
      </c>
      <c r="T9" s="1" t="str">
        <f aca="false">IF(AND(T$3&gt;=$E9,T$3&lt;=$F9),1,"")</f>
        <v/>
      </c>
      <c r="U9" s="1" t="str">
        <f aca="false">IF(AND(U$3&gt;=$E9,U$3&lt;=$F9),1,"")</f>
        <v/>
      </c>
      <c r="V9" s="1" t="str">
        <f aca="false">IF(AND(V$3&gt;=$E9,V$3&lt;=$F9),1,"")</f>
        <v/>
      </c>
      <c r="W9" s="1" t="str">
        <f aca="false">IF(AND(W$3&gt;=$E9,W$3&lt;=$F9),1,"")</f>
        <v/>
      </c>
      <c r="X9" s="1" t="str">
        <f aca="false">IF(AND(X$3&gt;=$E9,X$3&lt;=$F9),1,"")</f>
        <v/>
      </c>
      <c r="Y9" s="1" t="str">
        <f aca="false">IF(AND(Y$3&gt;=$E9,Y$3&lt;=$F9),1,"")</f>
        <v/>
      </c>
      <c r="Z9" s="1" t="str">
        <f aca="false">IF(AND(Z$3&gt;=$E9,Z$3&lt;=$F9),1,"")</f>
        <v/>
      </c>
      <c r="AA9" s="1" t="str">
        <f aca="false">IF(AND(AA$3&gt;=$E9,AA$3&lt;=$F9),1,"")</f>
        <v/>
      </c>
      <c r="AB9" s="1" t="str">
        <f aca="false">IF(AND(AB$3&gt;=$E9,AB$3&lt;=$F9),1,"")</f>
        <v/>
      </c>
      <c r="AC9" s="1" t="str">
        <f aca="false">IF(AND(AC$3&gt;=$E9,AC$3&lt;=$F9),1,"")</f>
        <v/>
      </c>
      <c r="AD9" s="1" t="str">
        <f aca="false">IF(AND(AD$3&gt;=$E9,AD$3&lt;=$F9),1,"")</f>
        <v/>
      </c>
      <c r="AE9" s="1" t="str">
        <f aca="false">IF(AND(AE$3&gt;=$E9,AE$3&lt;=$F9),1,"")</f>
        <v/>
      </c>
      <c r="AF9" s="1" t="str">
        <f aca="false">IF(AND(AF$3&gt;=$E9,AF$3&lt;=$F9),1,"")</f>
        <v/>
      </c>
      <c r="AG9" s="1" t="str">
        <f aca="false">IF(AND(AG$3&gt;=$E9,AG$3&lt;=$F9),1,"")</f>
        <v/>
      </c>
      <c r="AH9" s="1" t="str">
        <f aca="false">IF(AND(AH$3&gt;=$E9,AH$3&lt;=$F9),1,"")</f>
        <v/>
      </c>
      <c r="AI9" s="1" t="str">
        <f aca="false">IF(AND(AI$3&gt;=$E9,AI$3&lt;=$F9),1,"")</f>
        <v/>
      </c>
      <c r="AJ9" s="1" t="str">
        <f aca="false">IF(AND(AJ$3&gt;=$E9,AJ$3&lt;=$F9),1,"")</f>
        <v/>
      </c>
      <c r="AK9" s="1" t="str">
        <f aca="false">IF(AND(AK$3&gt;=$E9,AK$3&lt;=$F9),1,"")</f>
        <v/>
      </c>
      <c r="AL9" s="1" t="str">
        <f aca="false">IF(AND(AL$3&gt;=$E9,AL$3&lt;=$F9),1,"")</f>
        <v/>
      </c>
      <c r="AM9" s="1" t="str">
        <f aca="false">IF(AND(AM$3&gt;=$E9,AM$3&lt;=$F9),1,"")</f>
        <v/>
      </c>
      <c r="AN9" s="1" t="str">
        <f aca="false">IF(AND(AN$3&gt;=$E9,AN$3&lt;=$F9),1,"")</f>
        <v/>
      </c>
      <c r="AO9" s="1" t="str">
        <f aca="false">IF(AND(AO$3&gt;=$E9,AO$3&lt;=$F9),1,"")</f>
        <v/>
      </c>
      <c r="AP9" s="1" t="str">
        <f aca="false">IF(AND(AP$3&gt;=$E9,AP$3&lt;=$F9),1,"")</f>
        <v/>
      </c>
      <c r="AQ9" s="1" t="str">
        <f aca="false">IF(AND(AQ$3&gt;=$E9,AQ$3&lt;=$F9),1,"")</f>
        <v/>
      </c>
      <c r="AR9" s="1" t="str">
        <f aca="false">IF(AND(AR$3&gt;=$E9,AR$3&lt;=$F9),1,"")</f>
        <v/>
      </c>
      <c r="AS9" s="1" t="str">
        <f aca="false">IF(AND(AS$3&gt;=$E9,AS$3&lt;=$F9),1,"")</f>
        <v/>
      </c>
      <c r="AT9" s="1" t="str">
        <f aca="false">IF(AND(AT$3&gt;=$E9,AT$3&lt;=$F9),1,"")</f>
        <v/>
      </c>
      <c r="AU9" s="1" t="str">
        <f aca="false">IF(AND(AU$3&gt;=$E9,AU$3&lt;=$F9),1,"")</f>
        <v/>
      </c>
      <c r="AV9" s="1" t="str">
        <f aca="false">IF(AND(AV$3&gt;=$E9,AV$3&lt;=$F9),1,"")</f>
        <v/>
      </c>
      <c r="AW9" s="1" t="str">
        <f aca="false">IF(AND(AW$3&gt;=$E9,AW$3&lt;=$F9),1,"")</f>
        <v/>
      </c>
      <c r="AX9" s="1" t="str">
        <f aca="false">IF(AND(AX$3&gt;=$E9,AX$3&lt;=$F9),1,"")</f>
        <v/>
      </c>
      <c r="AY9" s="1" t="str">
        <f aca="false">IF(AND(AY$3&gt;=$E9,AY$3&lt;=$F9),1,"")</f>
        <v/>
      </c>
      <c r="AZ9" s="1" t="str">
        <f aca="false">IF(AND(AZ$3&gt;=$E9,AZ$3&lt;=$F9),1,"")</f>
        <v/>
      </c>
      <c r="BA9" s="1" t="str">
        <f aca="false">IF(AND(BA$3&gt;=$E9,BA$3&lt;=$F9),1,"")</f>
        <v/>
      </c>
      <c r="BB9" s="1" t="str">
        <f aca="false">IF(AND(BB$3&gt;=$E9,BB$3&lt;=$F9),1,"")</f>
        <v/>
      </c>
      <c r="BC9" s="1" t="str">
        <f aca="false">IF(AND(BC$3&gt;=$E9,BC$3&lt;=$F9),1,"")</f>
        <v/>
      </c>
      <c r="BD9" s="1" t="str">
        <f aca="false">IF(AND(BD$3&gt;=$E9,BD$3&lt;=$F9),1,"")</f>
        <v/>
      </c>
      <c r="BE9" s="1" t="str">
        <f aca="false">IF(AND(BE$3&gt;=$E9,BE$3&lt;=$F9),1,"")</f>
        <v/>
      </c>
      <c r="BF9" s="1" t="str">
        <f aca="false">IF(AND(BF$3&gt;=$E9,BF$3&lt;=$F9),1,"")</f>
        <v/>
      </c>
      <c r="BG9" s="1" t="str">
        <f aca="false">IF(AND(BG$3&gt;=$E9,BG$3&lt;=$F9),1,"")</f>
        <v/>
      </c>
      <c r="BH9" s="1" t="str">
        <f aca="false">IF(AND(BH$3&gt;=$E9,BH$3&lt;=$F9),1,"")</f>
        <v/>
      </c>
      <c r="BI9" s="1" t="str">
        <f aca="false">IF(AND(BI$3&gt;=$E9,BI$3&lt;=$F9),1,"")</f>
        <v/>
      </c>
      <c r="BJ9" s="1" t="str">
        <f aca="false">IF(AND(BJ$3&gt;=$E9,BJ$3&lt;=$F9),1,"")</f>
        <v/>
      </c>
      <c r="BK9" s="1" t="str">
        <f aca="false">IF(AND(BK$3&gt;=$E9,BK$3&lt;=$F9),1,"")</f>
        <v/>
      </c>
      <c r="BL9" s="1" t="str">
        <f aca="false">IF(AND(BL$3&gt;=$E9,BL$3&lt;=$F9),1,"")</f>
        <v/>
      </c>
      <c r="BM9" s="1" t="str">
        <f aca="false">IF(AND(BM$3&gt;=$E9,BM$3&lt;=$F9),1,"")</f>
        <v/>
      </c>
      <c r="BN9" s="1" t="str">
        <f aca="false">IF(AND(BN$3&gt;=$E9,BN$3&lt;=$F9),1,"")</f>
        <v/>
      </c>
      <c r="BO9" s="1" t="str">
        <f aca="false">IF(AND(BO$3&gt;=$E9,BO$3&lt;=$F9),1,"")</f>
        <v/>
      </c>
      <c r="BP9" s="1" t="str">
        <f aca="false">IF(AND(BP$3&gt;=$E9,BP$3&lt;=$F9),1,"")</f>
        <v/>
      </c>
      <c r="BQ9" s="1" t="str">
        <f aca="false">IF(AND(BQ$3&gt;=$E9,BQ$3&lt;=$F9),1,"")</f>
        <v/>
      </c>
      <c r="BR9" s="1" t="str">
        <f aca="false">IF(AND(BR$3&gt;=$E9,BR$3&lt;=$F9),1,"")</f>
        <v/>
      </c>
    </row>
    <row r="10" customFormat="false" ht="15" hidden="false" customHeight="true" outlineLevel="0" collapsed="false">
      <c r="A10" s="1" t="s">
        <v>393</v>
      </c>
      <c r="B10" s="1" t="n">
        <v>20</v>
      </c>
      <c r="C10" s="95" t="s">
        <v>383</v>
      </c>
      <c r="D10" s="1" t="n">
        <v>2</v>
      </c>
      <c r="E10" s="89" t="n">
        <v>46152.2916666667</v>
      </c>
      <c r="F10" s="89" t="n">
        <v>46208.2916666667</v>
      </c>
      <c r="G10" s="95" t="s">
        <v>161</v>
      </c>
      <c r="H10" s="1" t="str">
        <f aca="false">IF($A10="","",TEXT($F10,"MMM-YYYY"))</f>
        <v>Jul-2026</v>
      </c>
      <c r="I10" s="95" t="s">
        <v>150</v>
      </c>
      <c r="J10" s="96" t="n">
        <f aca="false">IF($A10="","",$F10+30)</f>
        <v>46238.2916666667</v>
      </c>
      <c r="K10" s="1" t="s">
        <v>151</v>
      </c>
      <c r="L10" s="1" t="str">
        <f aca="false">IF(AND(L$3&gt;=$E10,L$3&lt;=$F10),1,"")</f>
        <v/>
      </c>
      <c r="M10" s="1" t="str">
        <f aca="false">IF(AND(M$3&gt;=$E10,M$3&lt;=$F10),1,"")</f>
        <v/>
      </c>
      <c r="N10" s="1" t="str">
        <f aca="false">IF(AND(N$3&gt;=$E10,N$3&lt;=$F10),1,"")</f>
        <v/>
      </c>
      <c r="O10" s="1" t="str">
        <f aca="false">IF(AND(O$3&gt;=$E10,O$3&lt;=$F10),1,"")</f>
        <v/>
      </c>
      <c r="P10" s="1" t="str">
        <f aca="false">IF(AND(P$3&gt;=$E10,P$3&lt;=$F10),1,"")</f>
        <v/>
      </c>
      <c r="Q10" s="1" t="str">
        <f aca="false">IF(AND(Q$3&gt;=$E10,Q$3&lt;=$F10),1,"")</f>
        <v/>
      </c>
      <c r="R10" s="1" t="str">
        <f aca="false">IF(AND(R$3&gt;=$E10,R$3&lt;=$F10),1,"")</f>
        <v/>
      </c>
      <c r="S10" s="1" t="str">
        <f aca="false">IF(AND(S$3&gt;=$E10,S$3&lt;=$F10),1,"")</f>
        <v/>
      </c>
      <c r="T10" s="1" t="str">
        <f aca="false">IF(AND(T$3&gt;=$E10,T$3&lt;=$F10),1,"")</f>
        <v/>
      </c>
      <c r="U10" s="1" t="str">
        <f aca="false">IF(AND(U$3&gt;=$E10,U$3&lt;=$F10),1,"")</f>
        <v/>
      </c>
      <c r="V10" s="1" t="str">
        <f aca="false">IF(AND(V$3&gt;=$E10,V$3&lt;=$F10),1,"")</f>
        <v/>
      </c>
      <c r="W10" s="1" t="str">
        <f aca="false">IF(AND(W$3&gt;=$E10,W$3&lt;=$F10),1,"")</f>
        <v/>
      </c>
      <c r="X10" s="1" t="str">
        <f aca="false">IF(AND(X$3&gt;=$E10,X$3&lt;=$F10),1,"")</f>
        <v/>
      </c>
      <c r="Y10" s="1" t="str">
        <f aca="false">IF(AND(Y$3&gt;=$E10,Y$3&lt;=$F10),1,"")</f>
        <v/>
      </c>
      <c r="Z10" s="1" t="str">
        <f aca="false">IF(AND(Z$3&gt;=$E10,Z$3&lt;=$F10),1,"")</f>
        <v/>
      </c>
      <c r="AA10" s="1" t="str">
        <f aca="false">IF(AND(AA$3&gt;=$E10,AA$3&lt;=$F10),1,"")</f>
        <v/>
      </c>
      <c r="AB10" s="1" t="str">
        <f aca="false">IF(AND(AB$3&gt;=$E10,AB$3&lt;=$F10),1,"")</f>
        <v/>
      </c>
      <c r="AC10" s="1" t="str">
        <f aca="false">IF(AND(AC$3&gt;=$E10,AC$3&lt;=$F10),1,"")</f>
        <v/>
      </c>
      <c r="AD10" s="1" t="str">
        <f aca="false">IF(AND(AD$3&gt;=$E10,AD$3&lt;=$F10),1,"")</f>
        <v/>
      </c>
      <c r="AE10" s="1" t="str">
        <f aca="false">IF(AND(AE$3&gt;=$E10,AE$3&lt;=$F10),1,"")</f>
        <v/>
      </c>
      <c r="AF10" s="1" t="str">
        <f aca="false">IF(AND(AF$3&gt;=$E10,AF$3&lt;=$F10),1,"")</f>
        <v/>
      </c>
      <c r="AG10" s="1" t="str">
        <f aca="false">IF(AND(AG$3&gt;=$E10,AG$3&lt;=$F10),1,"")</f>
        <v/>
      </c>
      <c r="AH10" s="1" t="str">
        <f aca="false">IF(AND(AH$3&gt;=$E10,AH$3&lt;=$F10),1,"")</f>
        <v/>
      </c>
      <c r="AI10" s="1" t="str">
        <f aca="false">IF(AND(AI$3&gt;=$E10,AI$3&lt;=$F10),1,"")</f>
        <v/>
      </c>
      <c r="AJ10" s="1" t="str">
        <f aca="false">IF(AND(AJ$3&gt;=$E10,AJ$3&lt;=$F10),1,"")</f>
        <v/>
      </c>
      <c r="AK10" s="1" t="str">
        <f aca="false">IF(AND(AK$3&gt;=$E10,AK$3&lt;=$F10),1,"")</f>
        <v/>
      </c>
      <c r="AL10" s="1" t="str">
        <f aca="false">IF(AND(AL$3&gt;=$E10,AL$3&lt;=$F10),1,"")</f>
        <v/>
      </c>
      <c r="AM10" s="1" t="str">
        <f aca="false">IF(AND(AM$3&gt;=$E10,AM$3&lt;=$F10),1,"")</f>
        <v/>
      </c>
      <c r="AN10" s="1" t="str">
        <f aca="false">IF(AND(AN$3&gt;=$E10,AN$3&lt;=$F10),1,"")</f>
        <v/>
      </c>
      <c r="AO10" s="1" t="str">
        <f aca="false">IF(AND(AO$3&gt;=$E10,AO$3&lt;=$F10),1,"")</f>
        <v/>
      </c>
      <c r="AP10" s="1" t="str">
        <f aca="false">IF(AND(AP$3&gt;=$E10,AP$3&lt;=$F10),1,"")</f>
        <v/>
      </c>
      <c r="AQ10" s="1" t="str">
        <f aca="false">IF(AND(AQ$3&gt;=$E10,AQ$3&lt;=$F10),1,"")</f>
        <v/>
      </c>
      <c r="AR10" s="1" t="str">
        <f aca="false">IF(AND(AR$3&gt;=$E10,AR$3&lt;=$F10),1,"")</f>
        <v/>
      </c>
      <c r="AS10" s="1" t="str">
        <f aca="false">IF(AND(AS$3&gt;=$E10,AS$3&lt;=$F10),1,"")</f>
        <v/>
      </c>
      <c r="AT10" s="1" t="str">
        <f aca="false">IF(AND(AT$3&gt;=$E10,AT$3&lt;=$F10),1,"")</f>
        <v/>
      </c>
      <c r="AU10" s="1" t="str">
        <f aca="false">IF(AND(AU$3&gt;=$E10,AU$3&lt;=$F10),1,"")</f>
        <v/>
      </c>
      <c r="AV10" s="1" t="str">
        <f aca="false">IF(AND(AV$3&gt;=$E10,AV$3&lt;=$F10),1,"")</f>
        <v/>
      </c>
      <c r="AW10" s="1" t="str">
        <f aca="false">IF(AND(AW$3&gt;=$E10,AW$3&lt;=$F10),1,"")</f>
        <v/>
      </c>
      <c r="AX10" s="1" t="str">
        <f aca="false">IF(AND(AX$3&gt;=$E10,AX$3&lt;=$F10),1,"")</f>
        <v/>
      </c>
      <c r="AY10" s="1" t="n">
        <f aca="false">IF(AND(AY$3&gt;=$E10,AY$3&lt;=$F10),1,"")</f>
        <v>1</v>
      </c>
      <c r="AZ10" s="1" t="n">
        <f aca="false">IF(AND(AZ$3&gt;=$E10,AZ$3&lt;=$F10),1,"")</f>
        <v>1</v>
      </c>
      <c r="BA10" s="1" t="n">
        <f aca="false">IF(AND(BA$3&gt;=$E10,BA$3&lt;=$F10),1,"")</f>
        <v>1</v>
      </c>
      <c r="BB10" s="1" t="n">
        <f aca="false">IF(AND(BB$3&gt;=$E10,BB$3&lt;=$F10),1,"")</f>
        <v>1</v>
      </c>
      <c r="BC10" s="1" t="n">
        <f aca="false">IF(AND(BC$3&gt;=$E10,BC$3&lt;=$F10),1,"")</f>
        <v>1</v>
      </c>
      <c r="BD10" s="1" t="n">
        <f aca="false">IF(AND(BD$3&gt;=$E10,BD$3&lt;=$F10),1,"")</f>
        <v>1</v>
      </c>
      <c r="BE10" s="1" t="n">
        <f aca="false">IF(AND(BE$3&gt;=$E10,BE$3&lt;=$F10),1,"")</f>
        <v>1</v>
      </c>
      <c r="BF10" s="1" t="n">
        <f aca="false">IF(AND(BF$3&gt;=$E10,BF$3&lt;=$F10),1,"")</f>
        <v>1</v>
      </c>
      <c r="BG10" s="1" t="n">
        <f aca="false">IF(AND(BG$3&gt;=$E10,BG$3&lt;=$F10),1,"")</f>
        <v>1</v>
      </c>
      <c r="BH10" s="1" t="n">
        <f aca="false">IF(AND(BH$3&gt;=$E10,BH$3&lt;=$F10),1,"")</f>
        <v>1</v>
      </c>
      <c r="BI10" s="1" t="n">
        <f aca="false">IF(AND(BI$3&gt;=$E10,BI$3&lt;=$F10),1,"")</f>
        <v>1</v>
      </c>
      <c r="BJ10" s="1" t="n">
        <f aca="false">IF(AND(BJ$3&gt;=$E10,BJ$3&lt;=$F10),1,"")</f>
        <v>1</v>
      </c>
      <c r="BK10" s="1" t="n">
        <f aca="false">IF(AND(BK$3&gt;=$E10,BK$3&lt;=$F10),1,"")</f>
        <v>1</v>
      </c>
      <c r="BL10" s="1" t="n">
        <f aca="false">IF(AND(BL$3&gt;=$E10,BL$3&lt;=$F10),1,"")</f>
        <v>1</v>
      </c>
      <c r="BM10" s="1" t="n">
        <f aca="false">IF(AND(BM$3&gt;=$E10,BM$3&lt;=$F10),1,"")</f>
        <v>1</v>
      </c>
      <c r="BN10" s="1" t="n">
        <f aca="false">IF(AND(BN$3&gt;=$E10,BN$3&lt;=$F10),1,"")</f>
        <v>1</v>
      </c>
      <c r="BO10" s="1" t="n">
        <f aca="false">IF(AND(BO$3&gt;=$E10,BO$3&lt;=$F10),1,"")</f>
        <v>1</v>
      </c>
      <c r="BP10" s="1" t="n">
        <f aca="false">IF(AND(BP$3&gt;=$E10,BP$3&lt;=$F10),1,"")</f>
        <v>1</v>
      </c>
      <c r="BQ10" s="1" t="n">
        <f aca="false">IF(AND(BQ$3&gt;=$E10,BQ$3&lt;=$F10),1,"")</f>
        <v>1</v>
      </c>
      <c r="BR10" s="1" t="n">
        <f aca="false">IF(AND(BR$3&gt;=$E10,BR$3&lt;=$F10),1,"")</f>
        <v>1</v>
      </c>
    </row>
    <row r="11" customFormat="false" ht="15" hidden="false" customHeight="true" outlineLevel="0" collapsed="false">
      <c r="A11" s="1" t="s">
        <v>394</v>
      </c>
      <c r="B11" s="1" t="n">
        <v>63</v>
      </c>
      <c r="C11" s="95" t="s">
        <v>395</v>
      </c>
      <c r="D11" s="1" t="n">
        <v>1</v>
      </c>
      <c r="E11" s="89" t="n">
        <v>46154.2916666667</v>
      </c>
      <c r="F11" s="89" t="n">
        <v>46214.2916666667</v>
      </c>
      <c r="G11" s="95" t="s">
        <v>161</v>
      </c>
      <c r="H11" s="1" t="str">
        <f aca="false">IF($A11="","",TEXT($F11,"MMM-YYYY"))</f>
        <v>Jul-2026</v>
      </c>
      <c r="I11" s="95" t="s">
        <v>150</v>
      </c>
      <c r="J11" s="96" t="n">
        <f aca="false">IF($A11="","",$F11+30)</f>
        <v>46244.2916666667</v>
      </c>
      <c r="K11" s="1" t="s">
        <v>155</v>
      </c>
      <c r="L11" s="1" t="str">
        <f aca="false">IF(AND(L$3&gt;=$E11,L$3&lt;=$F11),1,"")</f>
        <v/>
      </c>
      <c r="M11" s="1" t="str">
        <f aca="false">IF(AND(M$3&gt;=$E11,M$3&lt;=$F11),1,"")</f>
        <v/>
      </c>
      <c r="N11" s="1" t="str">
        <f aca="false">IF(AND(N$3&gt;=$E11,N$3&lt;=$F11),1,"")</f>
        <v/>
      </c>
      <c r="O11" s="1" t="str">
        <f aca="false">IF(AND(O$3&gt;=$E11,O$3&lt;=$F11),1,"")</f>
        <v/>
      </c>
      <c r="P11" s="1" t="str">
        <f aca="false">IF(AND(P$3&gt;=$E11,P$3&lt;=$F11),1,"")</f>
        <v/>
      </c>
      <c r="Q11" s="1" t="str">
        <f aca="false">IF(AND(Q$3&gt;=$E11,Q$3&lt;=$F11),1,"")</f>
        <v/>
      </c>
      <c r="R11" s="1" t="str">
        <f aca="false">IF(AND(R$3&gt;=$E11,R$3&lt;=$F11),1,"")</f>
        <v/>
      </c>
      <c r="S11" s="1" t="str">
        <f aca="false">IF(AND(S$3&gt;=$E11,S$3&lt;=$F11),1,"")</f>
        <v/>
      </c>
      <c r="T11" s="1" t="str">
        <f aca="false">IF(AND(T$3&gt;=$E11,T$3&lt;=$F11),1,"")</f>
        <v/>
      </c>
      <c r="U11" s="1" t="str">
        <f aca="false">IF(AND(U$3&gt;=$E11,U$3&lt;=$F11),1,"")</f>
        <v/>
      </c>
      <c r="V11" s="1" t="str">
        <f aca="false">IF(AND(V$3&gt;=$E11,V$3&lt;=$F11),1,"")</f>
        <v/>
      </c>
      <c r="W11" s="1" t="str">
        <f aca="false">IF(AND(W$3&gt;=$E11,W$3&lt;=$F11),1,"")</f>
        <v/>
      </c>
      <c r="X11" s="1" t="str">
        <f aca="false">IF(AND(X$3&gt;=$E11,X$3&lt;=$F11),1,"")</f>
        <v/>
      </c>
      <c r="Y11" s="1" t="str">
        <f aca="false">IF(AND(Y$3&gt;=$E11,Y$3&lt;=$F11),1,"")</f>
        <v/>
      </c>
      <c r="Z11" s="1" t="str">
        <f aca="false">IF(AND(Z$3&gt;=$E11,Z$3&lt;=$F11),1,"")</f>
        <v/>
      </c>
      <c r="AA11" s="1" t="str">
        <f aca="false">IF(AND(AA$3&gt;=$E11,AA$3&lt;=$F11),1,"")</f>
        <v/>
      </c>
      <c r="AB11" s="1" t="str">
        <f aca="false">IF(AND(AB$3&gt;=$E11,AB$3&lt;=$F11),1,"")</f>
        <v/>
      </c>
      <c r="AC11" s="1" t="str">
        <f aca="false">IF(AND(AC$3&gt;=$E11,AC$3&lt;=$F11),1,"")</f>
        <v/>
      </c>
      <c r="AD11" s="1" t="str">
        <f aca="false">IF(AND(AD$3&gt;=$E11,AD$3&lt;=$F11),1,"")</f>
        <v/>
      </c>
      <c r="AE11" s="1" t="str">
        <f aca="false">IF(AND(AE$3&gt;=$E11,AE$3&lt;=$F11),1,"")</f>
        <v/>
      </c>
      <c r="AF11" s="1" t="str">
        <f aca="false">IF(AND(AF$3&gt;=$E11,AF$3&lt;=$F11),1,"")</f>
        <v/>
      </c>
      <c r="AG11" s="1" t="str">
        <f aca="false">IF(AND(AG$3&gt;=$E11,AG$3&lt;=$F11),1,"")</f>
        <v/>
      </c>
      <c r="AH11" s="1" t="str">
        <f aca="false">IF(AND(AH$3&gt;=$E11,AH$3&lt;=$F11),1,"")</f>
        <v/>
      </c>
      <c r="AI11" s="1" t="str">
        <f aca="false">IF(AND(AI$3&gt;=$E11,AI$3&lt;=$F11),1,"")</f>
        <v/>
      </c>
      <c r="AJ11" s="1" t="str">
        <f aca="false">IF(AND(AJ$3&gt;=$E11,AJ$3&lt;=$F11),1,"")</f>
        <v/>
      </c>
      <c r="AK11" s="1" t="str">
        <f aca="false">IF(AND(AK$3&gt;=$E11,AK$3&lt;=$F11),1,"")</f>
        <v/>
      </c>
      <c r="AL11" s="1" t="str">
        <f aca="false">IF(AND(AL$3&gt;=$E11,AL$3&lt;=$F11),1,"")</f>
        <v/>
      </c>
      <c r="AM11" s="1" t="str">
        <f aca="false">IF(AND(AM$3&gt;=$E11,AM$3&lt;=$F11),1,"")</f>
        <v/>
      </c>
      <c r="AN11" s="1" t="str">
        <f aca="false">IF(AND(AN$3&gt;=$E11,AN$3&lt;=$F11),1,"")</f>
        <v/>
      </c>
      <c r="AO11" s="1" t="str">
        <f aca="false">IF(AND(AO$3&gt;=$E11,AO$3&lt;=$F11),1,"")</f>
        <v/>
      </c>
      <c r="AP11" s="1" t="str">
        <f aca="false">IF(AND(AP$3&gt;=$E11,AP$3&lt;=$F11),1,"")</f>
        <v/>
      </c>
      <c r="AQ11" s="1" t="str">
        <f aca="false">IF(AND(AQ$3&gt;=$E11,AQ$3&lt;=$F11),1,"")</f>
        <v/>
      </c>
      <c r="AR11" s="1" t="str">
        <f aca="false">IF(AND(AR$3&gt;=$E11,AR$3&lt;=$F11),1,"")</f>
        <v/>
      </c>
      <c r="AS11" s="1" t="str">
        <f aca="false">IF(AND(AS$3&gt;=$E11,AS$3&lt;=$F11),1,"")</f>
        <v/>
      </c>
      <c r="AT11" s="1" t="str">
        <f aca="false">IF(AND(AT$3&gt;=$E11,AT$3&lt;=$F11),1,"")</f>
        <v/>
      </c>
      <c r="AU11" s="1" t="str">
        <f aca="false">IF(AND(AU$3&gt;=$E11,AU$3&lt;=$F11),1,"")</f>
        <v/>
      </c>
      <c r="AV11" s="1" t="str">
        <f aca="false">IF(AND(AV$3&gt;=$E11,AV$3&lt;=$F11),1,"")</f>
        <v/>
      </c>
      <c r="AW11" s="1" t="str">
        <f aca="false">IF(AND(AW$3&gt;=$E11,AW$3&lt;=$F11),1,"")</f>
        <v/>
      </c>
      <c r="AX11" s="1" t="str">
        <f aca="false">IF(AND(AX$3&gt;=$E11,AX$3&lt;=$F11),1,"")</f>
        <v/>
      </c>
      <c r="AY11" s="1" t="str">
        <f aca="false">IF(AND(AY$3&gt;=$E11,AY$3&lt;=$F11),1,"")</f>
        <v/>
      </c>
      <c r="AZ11" s="1" t="str">
        <f aca="false">IF(AND(AZ$3&gt;=$E11,AZ$3&lt;=$F11),1,"")</f>
        <v/>
      </c>
      <c r="BA11" s="1" t="n">
        <f aca="false">IF(AND(BA$3&gt;=$E11,BA$3&lt;=$F11),1,"")</f>
        <v>1</v>
      </c>
      <c r="BB11" s="1" t="n">
        <f aca="false">IF(AND(BB$3&gt;=$E11,BB$3&lt;=$F11),1,"")</f>
        <v>1</v>
      </c>
      <c r="BC11" s="1" t="n">
        <f aca="false">IF(AND(BC$3&gt;=$E11,BC$3&lt;=$F11),1,"")</f>
        <v>1</v>
      </c>
      <c r="BD11" s="1" t="n">
        <f aca="false">IF(AND(BD$3&gt;=$E11,BD$3&lt;=$F11),1,"")</f>
        <v>1</v>
      </c>
      <c r="BE11" s="1" t="n">
        <f aca="false">IF(AND(BE$3&gt;=$E11,BE$3&lt;=$F11),1,"")</f>
        <v>1</v>
      </c>
      <c r="BF11" s="1" t="n">
        <f aca="false">IF(AND(BF$3&gt;=$E11,BF$3&lt;=$F11),1,"")</f>
        <v>1</v>
      </c>
      <c r="BG11" s="1" t="n">
        <f aca="false">IF(AND(BG$3&gt;=$E11,BG$3&lt;=$F11),1,"")</f>
        <v>1</v>
      </c>
      <c r="BH11" s="1" t="n">
        <f aca="false">IF(AND(BH$3&gt;=$E11,BH$3&lt;=$F11),1,"")</f>
        <v>1</v>
      </c>
      <c r="BI11" s="1" t="n">
        <f aca="false">IF(AND(BI$3&gt;=$E11,BI$3&lt;=$F11),1,"")</f>
        <v>1</v>
      </c>
      <c r="BJ11" s="1" t="n">
        <f aca="false">IF(AND(BJ$3&gt;=$E11,BJ$3&lt;=$F11),1,"")</f>
        <v>1</v>
      </c>
      <c r="BK11" s="1" t="n">
        <f aca="false">IF(AND(BK$3&gt;=$E11,BK$3&lt;=$F11),1,"")</f>
        <v>1</v>
      </c>
      <c r="BL11" s="1" t="n">
        <f aca="false">IF(AND(BL$3&gt;=$E11,BL$3&lt;=$F11),1,"")</f>
        <v>1</v>
      </c>
      <c r="BM11" s="1" t="n">
        <f aca="false">IF(AND(BM$3&gt;=$E11,BM$3&lt;=$F11),1,"")</f>
        <v>1</v>
      </c>
      <c r="BN11" s="1" t="n">
        <f aca="false">IF(AND(BN$3&gt;=$E11,BN$3&lt;=$F11),1,"")</f>
        <v>1</v>
      </c>
      <c r="BO11" s="1" t="n">
        <f aca="false">IF(AND(BO$3&gt;=$E11,BO$3&lt;=$F11),1,"")</f>
        <v>1</v>
      </c>
      <c r="BP11" s="1" t="n">
        <f aca="false">IF(AND(BP$3&gt;=$E11,BP$3&lt;=$F11),1,"")</f>
        <v>1</v>
      </c>
      <c r="BQ11" s="1" t="n">
        <f aca="false">IF(AND(BQ$3&gt;=$E11,BQ$3&lt;=$F11),1,"")</f>
        <v>1</v>
      </c>
      <c r="BR11" s="1" t="n">
        <f aca="false">IF(AND(BR$3&gt;=$E11,BR$3&lt;=$F11),1,"")</f>
        <v>1</v>
      </c>
    </row>
    <row r="12" customFormat="false" ht="15" hidden="false" customHeight="true" outlineLevel="0" collapsed="false">
      <c r="A12" s="1" t="s">
        <v>396</v>
      </c>
      <c r="B12" s="1" t="n">
        <v>46</v>
      </c>
      <c r="C12" s="95" t="s">
        <v>383</v>
      </c>
      <c r="D12" s="1" t="n">
        <v>2</v>
      </c>
      <c r="E12" s="89" t="n">
        <v>46220.2916666667</v>
      </c>
      <c r="F12" s="89" t="n">
        <v>46255.2916666667</v>
      </c>
      <c r="G12" s="95" t="s">
        <v>161</v>
      </c>
      <c r="H12" s="1" t="str">
        <f aca="false">IF($A12="","",TEXT($F12,"MMM-YYYY"))</f>
        <v>Aug-2026</v>
      </c>
      <c r="I12" s="95" t="s">
        <v>150</v>
      </c>
      <c r="J12" s="96" t="n">
        <f aca="false">IF($A12="","",$F12+30)</f>
        <v>46285.2916666667</v>
      </c>
      <c r="K12" s="1" t="s">
        <v>151</v>
      </c>
      <c r="L12" s="1" t="str">
        <f aca="false">IF(AND(L$3&gt;=$E12,L$3&lt;=$F12),1,"")</f>
        <v/>
      </c>
      <c r="M12" s="1" t="str">
        <f aca="false">IF(AND(M$3&gt;=$E12,M$3&lt;=$F12),1,"")</f>
        <v/>
      </c>
      <c r="N12" s="1" t="str">
        <f aca="false">IF(AND(N$3&gt;=$E12,N$3&lt;=$F12),1,"")</f>
        <v/>
      </c>
      <c r="O12" s="1" t="str">
        <f aca="false">IF(AND(O$3&gt;=$E12,O$3&lt;=$F12),1,"")</f>
        <v/>
      </c>
      <c r="P12" s="1" t="str">
        <f aca="false">IF(AND(P$3&gt;=$E12,P$3&lt;=$F12),1,"")</f>
        <v/>
      </c>
      <c r="Q12" s="1" t="str">
        <f aca="false">IF(AND(Q$3&gt;=$E12,Q$3&lt;=$F12),1,"")</f>
        <v/>
      </c>
      <c r="R12" s="1" t="str">
        <f aca="false">IF(AND(R$3&gt;=$E12,R$3&lt;=$F12),1,"")</f>
        <v/>
      </c>
      <c r="S12" s="1" t="str">
        <f aca="false">IF(AND(S$3&gt;=$E12,S$3&lt;=$F12),1,"")</f>
        <v/>
      </c>
      <c r="T12" s="1" t="str">
        <f aca="false">IF(AND(T$3&gt;=$E12,T$3&lt;=$F12),1,"")</f>
        <v/>
      </c>
      <c r="U12" s="1" t="str">
        <f aca="false">IF(AND(U$3&gt;=$E12,U$3&lt;=$F12),1,"")</f>
        <v/>
      </c>
      <c r="V12" s="1" t="str">
        <f aca="false">IF(AND(V$3&gt;=$E12,V$3&lt;=$F12),1,"")</f>
        <v/>
      </c>
      <c r="W12" s="1" t="str">
        <f aca="false">IF(AND(W$3&gt;=$E12,W$3&lt;=$F12),1,"")</f>
        <v/>
      </c>
      <c r="X12" s="1" t="str">
        <f aca="false">IF(AND(X$3&gt;=$E12,X$3&lt;=$F12),1,"")</f>
        <v/>
      </c>
      <c r="Y12" s="1" t="str">
        <f aca="false">IF(AND(Y$3&gt;=$E12,Y$3&lt;=$F12),1,"")</f>
        <v/>
      </c>
      <c r="Z12" s="1" t="str">
        <f aca="false">IF(AND(Z$3&gt;=$E12,Z$3&lt;=$F12),1,"")</f>
        <v/>
      </c>
      <c r="AA12" s="1" t="str">
        <f aca="false">IF(AND(AA$3&gt;=$E12,AA$3&lt;=$F12),1,"")</f>
        <v/>
      </c>
      <c r="AB12" s="1" t="str">
        <f aca="false">IF(AND(AB$3&gt;=$E12,AB$3&lt;=$F12),1,"")</f>
        <v/>
      </c>
      <c r="AC12" s="1" t="str">
        <f aca="false">IF(AND(AC$3&gt;=$E12,AC$3&lt;=$F12),1,"")</f>
        <v/>
      </c>
      <c r="AD12" s="1" t="str">
        <f aca="false">IF(AND(AD$3&gt;=$E12,AD$3&lt;=$F12),1,"")</f>
        <v/>
      </c>
      <c r="AE12" s="1" t="str">
        <f aca="false">IF(AND(AE$3&gt;=$E12,AE$3&lt;=$F12),1,"")</f>
        <v/>
      </c>
      <c r="AF12" s="1" t="str">
        <f aca="false">IF(AND(AF$3&gt;=$E12,AF$3&lt;=$F12),1,"")</f>
        <v/>
      </c>
      <c r="AG12" s="1" t="str">
        <f aca="false">IF(AND(AG$3&gt;=$E12,AG$3&lt;=$F12),1,"")</f>
        <v/>
      </c>
      <c r="AH12" s="1" t="str">
        <f aca="false">IF(AND(AH$3&gt;=$E12,AH$3&lt;=$F12),1,"")</f>
        <v/>
      </c>
      <c r="AI12" s="1" t="str">
        <f aca="false">IF(AND(AI$3&gt;=$E12,AI$3&lt;=$F12),1,"")</f>
        <v/>
      </c>
      <c r="AJ12" s="1" t="str">
        <f aca="false">IF(AND(AJ$3&gt;=$E12,AJ$3&lt;=$F12),1,"")</f>
        <v/>
      </c>
      <c r="AK12" s="1" t="str">
        <f aca="false">IF(AND(AK$3&gt;=$E12,AK$3&lt;=$F12),1,"")</f>
        <v/>
      </c>
      <c r="AL12" s="1" t="str">
        <f aca="false">IF(AND(AL$3&gt;=$E12,AL$3&lt;=$F12),1,"")</f>
        <v/>
      </c>
      <c r="AM12" s="1" t="str">
        <f aca="false">IF(AND(AM$3&gt;=$E12,AM$3&lt;=$F12),1,"")</f>
        <v/>
      </c>
      <c r="AN12" s="1" t="str">
        <f aca="false">IF(AND(AN$3&gt;=$E12,AN$3&lt;=$F12),1,"")</f>
        <v/>
      </c>
      <c r="AO12" s="1" t="str">
        <f aca="false">IF(AND(AO$3&gt;=$E12,AO$3&lt;=$F12),1,"")</f>
        <v/>
      </c>
      <c r="AP12" s="1" t="str">
        <f aca="false">IF(AND(AP$3&gt;=$E12,AP$3&lt;=$F12),1,"")</f>
        <v/>
      </c>
      <c r="AQ12" s="1" t="str">
        <f aca="false">IF(AND(AQ$3&gt;=$E12,AQ$3&lt;=$F12),1,"")</f>
        <v/>
      </c>
      <c r="AR12" s="1" t="str">
        <f aca="false">IF(AND(AR$3&gt;=$E12,AR$3&lt;=$F12),1,"")</f>
        <v/>
      </c>
      <c r="AS12" s="1" t="str">
        <f aca="false">IF(AND(AS$3&gt;=$E12,AS$3&lt;=$F12),1,"")</f>
        <v/>
      </c>
      <c r="AT12" s="1" t="str">
        <f aca="false">IF(AND(AT$3&gt;=$E12,AT$3&lt;=$F12),1,"")</f>
        <v/>
      </c>
      <c r="AU12" s="1" t="str">
        <f aca="false">IF(AND(AU$3&gt;=$E12,AU$3&lt;=$F12),1,"")</f>
        <v/>
      </c>
      <c r="AV12" s="1" t="str">
        <f aca="false">IF(AND(AV$3&gt;=$E12,AV$3&lt;=$F12),1,"")</f>
        <v/>
      </c>
      <c r="AW12" s="1" t="str">
        <f aca="false">IF(AND(AW$3&gt;=$E12,AW$3&lt;=$F12),1,"")</f>
        <v/>
      </c>
      <c r="AX12" s="1" t="str">
        <f aca="false">IF(AND(AX$3&gt;=$E12,AX$3&lt;=$F12),1,"")</f>
        <v/>
      </c>
      <c r="AY12" s="1" t="str">
        <f aca="false">IF(AND(AY$3&gt;=$E12,AY$3&lt;=$F12),1,"")</f>
        <v/>
      </c>
      <c r="AZ12" s="1" t="str">
        <f aca="false">IF(AND(AZ$3&gt;=$E12,AZ$3&lt;=$F12),1,"")</f>
        <v/>
      </c>
      <c r="BA12" s="1" t="str">
        <f aca="false">IF(AND(BA$3&gt;=$E12,BA$3&lt;=$F12),1,"")</f>
        <v/>
      </c>
      <c r="BB12" s="1" t="str">
        <f aca="false">IF(AND(BB$3&gt;=$E12,BB$3&lt;=$F12),1,"")</f>
        <v/>
      </c>
      <c r="BC12" s="1" t="str">
        <f aca="false">IF(AND(BC$3&gt;=$E12,BC$3&lt;=$F12),1,"")</f>
        <v/>
      </c>
      <c r="BD12" s="1" t="str">
        <f aca="false">IF(AND(BD$3&gt;=$E12,BD$3&lt;=$F12),1,"")</f>
        <v/>
      </c>
      <c r="BE12" s="1" t="str">
        <f aca="false">IF(AND(BE$3&gt;=$E12,BE$3&lt;=$F12),1,"")</f>
        <v/>
      </c>
      <c r="BF12" s="1" t="str">
        <f aca="false">IF(AND(BF$3&gt;=$E12,BF$3&lt;=$F12),1,"")</f>
        <v/>
      </c>
      <c r="BG12" s="1" t="str">
        <f aca="false">IF(AND(BG$3&gt;=$E12,BG$3&lt;=$F12),1,"")</f>
        <v/>
      </c>
      <c r="BH12" s="1" t="str">
        <f aca="false">IF(AND(BH$3&gt;=$E12,BH$3&lt;=$F12),1,"")</f>
        <v/>
      </c>
      <c r="BI12" s="1" t="str">
        <f aca="false">IF(AND(BI$3&gt;=$E12,BI$3&lt;=$F12),1,"")</f>
        <v/>
      </c>
      <c r="BJ12" s="1" t="str">
        <f aca="false">IF(AND(BJ$3&gt;=$E12,BJ$3&lt;=$F12),1,"")</f>
        <v/>
      </c>
      <c r="BK12" s="1" t="str">
        <f aca="false">IF(AND(BK$3&gt;=$E12,BK$3&lt;=$F12),1,"")</f>
        <v/>
      </c>
      <c r="BL12" s="1" t="str">
        <f aca="false">IF(AND(BL$3&gt;=$E12,BL$3&lt;=$F12),1,"")</f>
        <v/>
      </c>
      <c r="BM12" s="1" t="str">
        <f aca="false">IF(AND(BM$3&gt;=$E12,BM$3&lt;=$F12),1,"")</f>
        <v/>
      </c>
      <c r="BN12" s="1" t="str">
        <f aca="false">IF(AND(BN$3&gt;=$E12,BN$3&lt;=$F12),1,"")</f>
        <v/>
      </c>
      <c r="BO12" s="1" t="str">
        <f aca="false">IF(AND(BO$3&gt;=$E12,BO$3&lt;=$F12),1,"")</f>
        <v/>
      </c>
      <c r="BP12" s="1" t="str">
        <f aca="false">IF(AND(BP$3&gt;=$E12,BP$3&lt;=$F12),1,"")</f>
        <v/>
      </c>
      <c r="BQ12" s="1" t="str">
        <f aca="false">IF(AND(BQ$3&gt;=$E12,BQ$3&lt;=$F12),1,"")</f>
        <v/>
      </c>
      <c r="BR12" s="1" t="str">
        <f aca="false">IF(AND(BR$3&gt;=$E12,BR$3&lt;=$F12),1,"")</f>
        <v/>
      </c>
    </row>
    <row r="13" customFormat="false" ht="15" hidden="false" customHeight="true" outlineLevel="0" collapsed="false">
      <c r="A13" s="1" t="s">
        <v>397</v>
      </c>
      <c r="B13" s="1" t="n">
        <v>20</v>
      </c>
      <c r="C13" s="95" t="s">
        <v>398</v>
      </c>
      <c r="D13" s="1" t="n">
        <v>2</v>
      </c>
      <c r="E13" s="89" t="n">
        <v>46139.2916666667</v>
      </c>
      <c r="F13" s="89" t="n">
        <v>46191.2916666667</v>
      </c>
      <c r="G13" s="95" t="s">
        <v>154</v>
      </c>
      <c r="H13" s="1" t="str">
        <f aca="false">IF($A13="","",TEXT($F13,"MMM-YYYY"))</f>
        <v>Jun-2026</v>
      </c>
      <c r="I13" s="95" t="s">
        <v>147</v>
      </c>
      <c r="J13" s="96" t="n">
        <f aca="false">IF($A13="","",$F13+30)</f>
        <v>46221.2916666667</v>
      </c>
      <c r="K13" s="1" t="s">
        <v>159</v>
      </c>
      <c r="L13" s="1" t="str">
        <f aca="false">IF(AND(L$3&gt;=$E13,L$3&lt;=$F13),1,"")</f>
        <v/>
      </c>
      <c r="M13" s="1" t="str">
        <f aca="false">IF(AND(M$3&gt;=$E13,M$3&lt;=$F13),1,"")</f>
        <v/>
      </c>
      <c r="N13" s="1" t="str">
        <f aca="false">IF(AND(N$3&gt;=$E13,N$3&lt;=$F13),1,"")</f>
        <v/>
      </c>
      <c r="O13" s="1" t="str">
        <f aca="false">IF(AND(O$3&gt;=$E13,O$3&lt;=$F13),1,"")</f>
        <v/>
      </c>
      <c r="P13" s="1" t="str">
        <f aca="false">IF(AND(P$3&gt;=$E13,P$3&lt;=$F13),1,"")</f>
        <v/>
      </c>
      <c r="Q13" s="1" t="str">
        <f aca="false">IF(AND(Q$3&gt;=$E13,Q$3&lt;=$F13),1,"")</f>
        <v/>
      </c>
      <c r="R13" s="1" t="str">
        <f aca="false">IF(AND(R$3&gt;=$E13,R$3&lt;=$F13),1,"")</f>
        <v/>
      </c>
      <c r="S13" s="1" t="str">
        <f aca="false">IF(AND(S$3&gt;=$E13,S$3&lt;=$F13),1,"")</f>
        <v/>
      </c>
      <c r="T13" s="1" t="str">
        <f aca="false">IF(AND(T$3&gt;=$E13,T$3&lt;=$F13),1,"")</f>
        <v/>
      </c>
      <c r="U13" s="1" t="str">
        <f aca="false">IF(AND(U$3&gt;=$E13,U$3&lt;=$F13),1,"")</f>
        <v/>
      </c>
      <c r="V13" s="1" t="str">
        <f aca="false">IF(AND(V$3&gt;=$E13,V$3&lt;=$F13),1,"")</f>
        <v/>
      </c>
      <c r="W13" s="1" t="str">
        <f aca="false">IF(AND(W$3&gt;=$E13,W$3&lt;=$F13),1,"")</f>
        <v/>
      </c>
      <c r="X13" s="1" t="str">
        <f aca="false">IF(AND(X$3&gt;=$E13,X$3&lt;=$F13),1,"")</f>
        <v/>
      </c>
      <c r="Y13" s="1" t="str">
        <f aca="false">IF(AND(Y$3&gt;=$E13,Y$3&lt;=$F13),1,"")</f>
        <v/>
      </c>
      <c r="Z13" s="1" t="str">
        <f aca="false">IF(AND(Z$3&gt;=$E13,Z$3&lt;=$F13),1,"")</f>
        <v/>
      </c>
      <c r="AA13" s="1" t="str">
        <f aca="false">IF(AND(AA$3&gt;=$E13,AA$3&lt;=$F13),1,"")</f>
        <v/>
      </c>
      <c r="AB13" s="1" t="str">
        <f aca="false">IF(AND(AB$3&gt;=$E13,AB$3&lt;=$F13),1,"")</f>
        <v/>
      </c>
      <c r="AC13" s="1" t="str">
        <f aca="false">IF(AND(AC$3&gt;=$E13,AC$3&lt;=$F13),1,"")</f>
        <v/>
      </c>
      <c r="AD13" s="1" t="str">
        <f aca="false">IF(AND(AD$3&gt;=$E13,AD$3&lt;=$F13),1,"")</f>
        <v/>
      </c>
      <c r="AE13" s="1" t="str">
        <f aca="false">IF(AND(AE$3&gt;=$E13,AE$3&lt;=$F13),1,"")</f>
        <v/>
      </c>
      <c r="AF13" s="1" t="str">
        <f aca="false">IF(AND(AF$3&gt;=$E13,AF$3&lt;=$F13),1,"")</f>
        <v/>
      </c>
      <c r="AG13" s="1" t="str">
        <f aca="false">IF(AND(AG$3&gt;=$E13,AG$3&lt;=$F13),1,"")</f>
        <v/>
      </c>
      <c r="AH13" s="1" t="str">
        <f aca="false">IF(AND(AH$3&gt;=$E13,AH$3&lt;=$F13),1,"")</f>
        <v/>
      </c>
      <c r="AI13" s="1" t="str">
        <f aca="false">IF(AND(AI$3&gt;=$E13,AI$3&lt;=$F13),1,"")</f>
        <v/>
      </c>
      <c r="AJ13" s="1" t="str">
        <f aca="false">IF(AND(AJ$3&gt;=$E13,AJ$3&lt;=$F13),1,"")</f>
        <v/>
      </c>
      <c r="AK13" s="1" t="str">
        <f aca="false">IF(AND(AK$3&gt;=$E13,AK$3&lt;=$F13),1,"")</f>
        <v/>
      </c>
      <c r="AL13" s="1" t="n">
        <f aca="false">IF(AND(AL$3&gt;=$E13,AL$3&lt;=$F13),1,"")</f>
        <v>1</v>
      </c>
      <c r="AM13" s="1" t="n">
        <f aca="false">IF(AND(AM$3&gt;=$E13,AM$3&lt;=$F13),1,"")</f>
        <v>1</v>
      </c>
      <c r="AN13" s="1" t="n">
        <f aca="false">IF(AND(AN$3&gt;=$E13,AN$3&lt;=$F13),1,"")</f>
        <v>1</v>
      </c>
      <c r="AO13" s="1" t="n">
        <f aca="false">IF(AND(AO$3&gt;=$E13,AO$3&lt;=$F13),1,"")</f>
        <v>1</v>
      </c>
      <c r="AP13" s="1" t="n">
        <f aca="false">IF(AND(AP$3&gt;=$E13,AP$3&lt;=$F13),1,"")</f>
        <v>1</v>
      </c>
      <c r="AQ13" s="1" t="n">
        <f aca="false">IF(AND(AQ$3&gt;=$E13,AQ$3&lt;=$F13),1,"")</f>
        <v>1</v>
      </c>
      <c r="AR13" s="1" t="n">
        <f aca="false">IF(AND(AR$3&gt;=$E13,AR$3&lt;=$F13),1,"")</f>
        <v>1</v>
      </c>
      <c r="AS13" s="1" t="n">
        <f aca="false">IF(AND(AS$3&gt;=$E13,AS$3&lt;=$F13),1,"")</f>
        <v>1</v>
      </c>
      <c r="AT13" s="1" t="n">
        <f aca="false">IF(AND(AT$3&gt;=$E13,AT$3&lt;=$F13),1,"")</f>
        <v>1</v>
      </c>
      <c r="AU13" s="1" t="n">
        <f aca="false">IF(AND(AU$3&gt;=$E13,AU$3&lt;=$F13),1,"")</f>
        <v>1</v>
      </c>
      <c r="AV13" s="1" t="n">
        <f aca="false">IF(AND(AV$3&gt;=$E13,AV$3&lt;=$F13),1,"")</f>
        <v>1</v>
      </c>
      <c r="AW13" s="1" t="n">
        <f aca="false">IF(AND(AW$3&gt;=$E13,AW$3&lt;=$F13),1,"")</f>
        <v>1</v>
      </c>
      <c r="AX13" s="1" t="n">
        <f aca="false">IF(AND(AX$3&gt;=$E13,AX$3&lt;=$F13),1,"")</f>
        <v>1</v>
      </c>
      <c r="AY13" s="1" t="n">
        <f aca="false">IF(AND(AY$3&gt;=$E13,AY$3&lt;=$F13),1,"")</f>
        <v>1</v>
      </c>
      <c r="AZ13" s="1" t="n">
        <f aca="false">IF(AND(AZ$3&gt;=$E13,AZ$3&lt;=$F13),1,"")</f>
        <v>1</v>
      </c>
      <c r="BA13" s="1" t="n">
        <f aca="false">IF(AND(BA$3&gt;=$E13,BA$3&lt;=$F13),1,"")</f>
        <v>1</v>
      </c>
      <c r="BB13" s="1" t="n">
        <f aca="false">IF(AND(BB$3&gt;=$E13,BB$3&lt;=$F13),1,"")</f>
        <v>1</v>
      </c>
      <c r="BC13" s="1" t="n">
        <f aca="false">IF(AND(BC$3&gt;=$E13,BC$3&lt;=$F13),1,"")</f>
        <v>1</v>
      </c>
      <c r="BD13" s="1" t="n">
        <f aca="false">IF(AND(BD$3&gt;=$E13,BD$3&lt;=$F13),1,"")</f>
        <v>1</v>
      </c>
      <c r="BE13" s="1" t="n">
        <f aca="false">IF(AND(BE$3&gt;=$E13,BE$3&lt;=$F13),1,"")</f>
        <v>1</v>
      </c>
      <c r="BF13" s="1" t="n">
        <f aca="false">IF(AND(BF$3&gt;=$E13,BF$3&lt;=$F13),1,"")</f>
        <v>1</v>
      </c>
      <c r="BG13" s="1" t="n">
        <f aca="false">IF(AND(BG$3&gt;=$E13,BG$3&lt;=$F13),1,"")</f>
        <v>1</v>
      </c>
      <c r="BH13" s="1" t="n">
        <f aca="false">IF(AND(BH$3&gt;=$E13,BH$3&lt;=$F13),1,"")</f>
        <v>1</v>
      </c>
      <c r="BI13" s="1" t="n">
        <f aca="false">IF(AND(BI$3&gt;=$E13,BI$3&lt;=$F13),1,"")</f>
        <v>1</v>
      </c>
      <c r="BJ13" s="1" t="n">
        <f aca="false">IF(AND(BJ$3&gt;=$E13,BJ$3&lt;=$F13),1,"")</f>
        <v>1</v>
      </c>
      <c r="BK13" s="1" t="n">
        <f aca="false">IF(AND(BK$3&gt;=$E13,BK$3&lt;=$F13),1,"")</f>
        <v>1</v>
      </c>
      <c r="BL13" s="1" t="n">
        <f aca="false">IF(AND(BL$3&gt;=$E13,BL$3&lt;=$F13),1,"")</f>
        <v>1</v>
      </c>
      <c r="BM13" s="1" t="n">
        <f aca="false">IF(AND(BM$3&gt;=$E13,BM$3&lt;=$F13),1,"")</f>
        <v>1</v>
      </c>
      <c r="BN13" s="1" t="n">
        <f aca="false">IF(AND(BN$3&gt;=$E13,BN$3&lt;=$F13),1,"")</f>
        <v>1</v>
      </c>
      <c r="BO13" s="1" t="n">
        <f aca="false">IF(AND(BO$3&gt;=$E13,BO$3&lt;=$F13),1,"")</f>
        <v>1</v>
      </c>
      <c r="BP13" s="1" t="n">
        <f aca="false">IF(AND(BP$3&gt;=$E13,BP$3&lt;=$F13),1,"")</f>
        <v>1</v>
      </c>
      <c r="BQ13" s="1" t="n">
        <f aca="false">IF(AND(BQ$3&gt;=$E13,BQ$3&lt;=$F13),1,"")</f>
        <v>1</v>
      </c>
      <c r="BR13" s="1" t="n">
        <f aca="false">IF(AND(BR$3&gt;=$E13,BR$3&lt;=$F13),1,"")</f>
        <v>1</v>
      </c>
    </row>
    <row r="14" customFormat="false" ht="15" hidden="false" customHeight="true" outlineLevel="0" collapsed="false">
      <c r="A14" s="1" t="s">
        <v>399</v>
      </c>
      <c r="B14" s="1" t="n">
        <v>50</v>
      </c>
      <c r="C14" s="95" t="s">
        <v>383</v>
      </c>
      <c r="D14" s="1" t="n">
        <v>2</v>
      </c>
      <c r="E14" s="89" t="n">
        <v>46218.2916666667</v>
      </c>
      <c r="F14" s="89" t="n">
        <v>46292.2916666667</v>
      </c>
      <c r="G14" s="95" t="s">
        <v>154</v>
      </c>
      <c r="H14" s="1" t="str">
        <f aca="false">IF($A14="","",TEXT($F14,"MMM-YYYY"))</f>
        <v>Sep-2026</v>
      </c>
      <c r="I14" s="95" t="s">
        <v>157</v>
      </c>
      <c r="J14" s="96" t="n">
        <f aca="false">IF($A14="","",$F14+30)</f>
        <v>46322.2916666667</v>
      </c>
      <c r="K14" s="1" t="s">
        <v>159</v>
      </c>
      <c r="L14" s="1" t="str">
        <f aca="false">IF(AND(L$3&gt;=$E14,L$3&lt;=$F14),1,"")</f>
        <v/>
      </c>
      <c r="M14" s="1" t="str">
        <f aca="false">IF(AND(M$3&gt;=$E14,M$3&lt;=$F14),1,"")</f>
        <v/>
      </c>
      <c r="N14" s="1" t="str">
        <f aca="false">IF(AND(N$3&gt;=$E14,N$3&lt;=$F14),1,"")</f>
        <v/>
      </c>
      <c r="O14" s="1" t="str">
        <f aca="false">IF(AND(O$3&gt;=$E14,O$3&lt;=$F14),1,"")</f>
        <v/>
      </c>
      <c r="P14" s="1" t="str">
        <f aca="false">IF(AND(P$3&gt;=$E14,P$3&lt;=$F14),1,"")</f>
        <v/>
      </c>
      <c r="Q14" s="1" t="str">
        <f aca="false">IF(AND(Q$3&gt;=$E14,Q$3&lt;=$F14),1,"")</f>
        <v/>
      </c>
      <c r="R14" s="1" t="str">
        <f aca="false">IF(AND(R$3&gt;=$E14,R$3&lt;=$F14),1,"")</f>
        <v/>
      </c>
      <c r="S14" s="1" t="str">
        <f aca="false">IF(AND(S$3&gt;=$E14,S$3&lt;=$F14),1,"")</f>
        <v/>
      </c>
      <c r="T14" s="1" t="str">
        <f aca="false">IF(AND(T$3&gt;=$E14,T$3&lt;=$F14),1,"")</f>
        <v/>
      </c>
      <c r="U14" s="1" t="str">
        <f aca="false">IF(AND(U$3&gt;=$E14,U$3&lt;=$F14),1,"")</f>
        <v/>
      </c>
      <c r="V14" s="1" t="str">
        <f aca="false">IF(AND(V$3&gt;=$E14,V$3&lt;=$F14),1,"")</f>
        <v/>
      </c>
      <c r="W14" s="1" t="str">
        <f aca="false">IF(AND(W$3&gt;=$E14,W$3&lt;=$F14),1,"")</f>
        <v/>
      </c>
      <c r="X14" s="1" t="str">
        <f aca="false">IF(AND(X$3&gt;=$E14,X$3&lt;=$F14),1,"")</f>
        <v/>
      </c>
      <c r="Y14" s="1" t="str">
        <f aca="false">IF(AND(Y$3&gt;=$E14,Y$3&lt;=$F14),1,"")</f>
        <v/>
      </c>
      <c r="Z14" s="1" t="str">
        <f aca="false">IF(AND(Z$3&gt;=$E14,Z$3&lt;=$F14),1,"")</f>
        <v/>
      </c>
      <c r="AA14" s="1" t="str">
        <f aca="false">IF(AND(AA$3&gt;=$E14,AA$3&lt;=$F14),1,"")</f>
        <v/>
      </c>
      <c r="AB14" s="1" t="str">
        <f aca="false">IF(AND(AB$3&gt;=$E14,AB$3&lt;=$F14),1,"")</f>
        <v/>
      </c>
      <c r="AC14" s="1" t="str">
        <f aca="false">IF(AND(AC$3&gt;=$E14,AC$3&lt;=$F14),1,"")</f>
        <v/>
      </c>
      <c r="AD14" s="1" t="str">
        <f aca="false">IF(AND(AD$3&gt;=$E14,AD$3&lt;=$F14),1,"")</f>
        <v/>
      </c>
      <c r="AE14" s="1" t="str">
        <f aca="false">IF(AND(AE$3&gt;=$E14,AE$3&lt;=$F14),1,"")</f>
        <v/>
      </c>
      <c r="AF14" s="1" t="str">
        <f aca="false">IF(AND(AF$3&gt;=$E14,AF$3&lt;=$F14),1,"")</f>
        <v/>
      </c>
      <c r="AG14" s="1" t="str">
        <f aca="false">IF(AND(AG$3&gt;=$E14,AG$3&lt;=$F14),1,"")</f>
        <v/>
      </c>
      <c r="AH14" s="1" t="str">
        <f aca="false">IF(AND(AH$3&gt;=$E14,AH$3&lt;=$F14),1,"")</f>
        <v/>
      </c>
      <c r="AI14" s="1" t="str">
        <f aca="false">IF(AND(AI$3&gt;=$E14,AI$3&lt;=$F14),1,"")</f>
        <v/>
      </c>
      <c r="AJ14" s="1" t="str">
        <f aca="false">IF(AND(AJ$3&gt;=$E14,AJ$3&lt;=$F14),1,"")</f>
        <v/>
      </c>
      <c r="AK14" s="1" t="str">
        <f aca="false">IF(AND(AK$3&gt;=$E14,AK$3&lt;=$F14),1,"")</f>
        <v/>
      </c>
      <c r="AL14" s="1" t="str">
        <f aca="false">IF(AND(AL$3&gt;=$E14,AL$3&lt;=$F14),1,"")</f>
        <v/>
      </c>
      <c r="AM14" s="1" t="str">
        <f aca="false">IF(AND(AM$3&gt;=$E14,AM$3&lt;=$F14),1,"")</f>
        <v/>
      </c>
      <c r="AN14" s="1" t="str">
        <f aca="false">IF(AND(AN$3&gt;=$E14,AN$3&lt;=$F14),1,"")</f>
        <v/>
      </c>
      <c r="AO14" s="1" t="str">
        <f aca="false">IF(AND(AO$3&gt;=$E14,AO$3&lt;=$F14),1,"")</f>
        <v/>
      </c>
      <c r="AP14" s="1" t="str">
        <f aca="false">IF(AND(AP$3&gt;=$E14,AP$3&lt;=$F14),1,"")</f>
        <v/>
      </c>
      <c r="AQ14" s="1" t="str">
        <f aca="false">IF(AND(AQ$3&gt;=$E14,AQ$3&lt;=$F14),1,"")</f>
        <v/>
      </c>
      <c r="AR14" s="1" t="str">
        <f aca="false">IF(AND(AR$3&gt;=$E14,AR$3&lt;=$F14),1,"")</f>
        <v/>
      </c>
      <c r="AS14" s="1" t="str">
        <f aca="false">IF(AND(AS$3&gt;=$E14,AS$3&lt;=$F14),1,"")</f>
        <v/>
      </c>
      <c r="AT14" s="1" t="str">
        <f aca="false">IF(AND(AT$3&gt;=$E14,AT$3&lt;=$F14),1,"")</f>
        <v/>
      </c>
      <c r="AU14" s="1" t="str">
        <f aca="false">IF(AND(AU$3&gt;=$E14,AU$3&lt;=$F14),1,"")</f>
        <v/>
      </c>
      <c r="AV14" s="1" t="str">
        <f aca="false">IF(AND(AV$3&gt;=$E14,AV$3&lt;=$F14),1,"")</f>
        <v/>
      </c>
      <c r="AW14" s="1" t="str">
        <f aca="false">IF(AND(AW$3&gt;=$E14,AW$3&lt;=$F14),1,"")</f>
        <v/>
      </c>
      <c r="AX14" s="1" t="str">
        <f aca="false">IF(AND(AX$3&gt;=$E14,AX$3&lt;=$F14),1,"")</f>
        <v/>
      </c>
      <c r="AY14" s="1" t="str">
        <f aca="false">IF(AND(AY$3&gt;=$E14,AY$3&lt;=$F14),1,"")</f>
        <v/>
      </c>
      <c r="AZ14" s="1" t="str">
        <f aca="false">IF(AND(AZ$3&gt;=$E14,AZ$3&lt;=$F14),1,"")</f>
        <v/>
      </c>
      <c r="BA14" s="1" t="str">
        <f aca="false">IF(AND(BA$3&gt;=$E14,BA$3&lt;=$F14),1,"")</f>
        <v/>
      </c>
      <c r="BB14" s="1" t="str">
        <f aca="false">IF(AND(BB$3&gt;=$E14,BB$3&lt;=$F14),1,"")</f>
        <v/>
      </c>
      <c r="BC14" s="1" t="str">
        <f aca="false">IF(AND(BC$3&gt;=$E14,BC$3&lt;=$F14),1,"")</f>
        <v/>
      </c>
      <c r="BD14" s="1" t="str">
        <f aca="false">IF(AND(BD$3&gt;=$E14,BD$3&lt;=$F14),1,"")</f>
        <v/>
      </c>
      <c r="BE14" s="1" t="str">
        <f aca="false">IF(AND(BE$3&gt;=$E14,BE$3&lt;=$F14),1,"")</f>
        <v/>
      </c>
      <c r="BF14" s="1" t="str">
        <f aca="false">IF(AND(BF$3&gt;=$E14,BF$3&lt;=$F14),1,"")</f>
        <v/>
      </c>
      <c r="BG14" s="1" t="str">
        <f aca="false">IF(AND(BG$3&gt;=$E14,BG$3&lt;=$F14),1,"")</f>
        <v/>
      </c>
      <c r="BH14" s="1" t="str">
        <f aca="false">IF(AND(BH$3&gt;=$E14,BH$3&lt;=$F14),1,"")</f>
        <v/>
      </c>
      <c r="BI14" s="1" t="str">
        <f aca="false">IF(AND(BI$3&gt;=$E14,BI$3&lt;=$F14),1,"")</f>
        <v/>
      </c>
      <c r="BJ14" s="1" t="str">
        <f aca="false">IF(AND(BJ$3&gt;=$E14,BJ$3&lt;=$F14),1,"")</f>
        <v/>
      </c>
      <c r="BK14" s="1" t="str">
        <f aca="false">IF(AND(BK$3&gt;=$E14,BK$3&lt;=$F14),1,"")</f>
        <v/>
      </c>
      <c r="BL14" s="1" t="str">
        <f aca="false">IF(AND(BL$3&gt;=$E14,BL$3&lt;=$F14),1,"")</f>
        <v/>
      </c>
      <c r="BM14" s="1" t="str">
        <f aca="false">IF(AND(BM$3&gt;=$E14,BM$3&lt;=$F14),1,"")</f>
        <v/>
      </c>
      <c r="BN14" s="1" t="str">
        <f aca="false">IF(AND(BN$3&gt;=$E14,BN$3&lt;=$F14),1,"")</f>
        <v/>
      </c>
      <c r="BO14" s="1" t="str">
        <f aca="false">IF(AND(BO$3&gt;=$E14,BO$3&lt;=$F14),1,"")</f>
        <v/>
      </c>
      <c r="BP14" s="1" t="str">
        <f aca="false">IF(AND(BP$3&gt;=$E14,BP$3&lt;=$F14),1,"")</f>
        <v/>
      </c>
      <c r="BQ14" s="1" t="str">
        <f aca="false">IF(AND(BQ$3&gt;=$E14,BQ$3&lt;=$F14),1,"")</f>
        <v/>
      </c>
      <c r="BR14" s="1" t="str">
        <f aca="false">IF(AND(BR$3&gt;=$E14,BR$3&lt;=$F14),1,"")</f>
        <v/>
      </c>
    </row>
    <row r="15" customFormat="false" ht="15" hidden="false" customHeight="true" outlineLevel="0" collapsed="false">
      <c r="A15" s="1" t="s">
        <v>400</v>
      </c>
      <c r="B15" s="1" t="n">
        <v>46</v>
      </c>
      <c r="C15" s="95" t="s">
        <v>401</v>
      </c>
      <c r="D15" s="1" t="n">
        <v>4</v>
      </c>
      <c r="E15" s="89" t="n">
        <v>46217.2916666667</v>
      </c>
      <c r="F15" s="89" t="n">
        <v>46241.2916666667</v>
      </c>
      <c r="G15" s="95" t="s">
        <v>154</v>
      </c>
      <c r="H15" s="1" t="str">
        <f aca="false">IF($A15="","",TEXT($F15,"MMM-YYYY"))</f>
        <v>Aug-2026</v>
      </c>
      <c r="I15" s="95" t="s">
        <v>147</v>
      </c>
      <c r="J15" s="96" t="n">
        <f aca="false">IF($A15="","",$F15+30)</f>
        <v>46271.2916666667</v>
      </c>
      <c r="K15" s="1" t="s">
        <v>159</v>
      </c>
      <c r="L15" s="1" t="str">
        <f aca="false">IF(AND(L$3&gt;=$E15,L$3&lt;=$F15),1,"")</f>
        <v/>
      </c>
      <c r="M15" s="1" t="str">
        <f aca="false">IF(AND(M$3&gt;=$E15,M$3&lt;=$F15),1,"")</f>
        <v/>
      </c>
      <c r="N15" s="1" t="str">
        <f aca="false">IF(AND(N$3&gt;=$E15,N$3&lt;=$F15),1,"")</f>
        <v/>
      </c>
      <c r="O15" s="1" t="str">
        <f aca="false">IF(AND(O$3&gt;=$E15,O$3&lt;=$F15),1,"")</f>
        <v/>
      </c>
      <c r="P15" s="1" t="str">
        <f aca="false">IF(AND(P$3&gt;=$E15,P$3&lt;=$F15),1,"")</f>
        <v/>
      </c>
      <c r="Q15" s="1" t="str">
        <f aca="false">IF(AND(Q$3&gt;=$E15,Q$3&lt;=$F15),1,"")</f>
        <v/>
      </c>
      <c r="R15" s="1" t="str">
        <f aca="false">IF(AND(R$3&gt;=$E15,R$3&lt;=$F15),1,"")</f>
        <v/>
      </c>
      <c r="S15" s="1" t="str">
        <f aca="false">IF(AND(S$3&gt;=$E15,S$3&lt;=$F15),1,"")</f>
        <v/>
      </c>
      <c r="T15" s="1" t="str">
        <f aca="false">IF(AND(T$3&gt;=$E15,T$3&lt;=$F15),1,"")</f>
        <v/>
      </c>
      <c r="U15" s="1" t="str">
        <f aca="false">IF(AND(U$3&gt;=$E15,U$3&lt;=$F15),1,"")</f>
        <v/>
      </c>
      <c r="V15" s="1" t="str">
        <f aca="false">IF(AND(V$3&gt;=$E15,V$3&lt;=$F15),1,"")</f>
        <v/>
      </c>
      <c r="W15" s="1" t="str">
        <f aca="false">IF(AND(W$3&gt;=$E15,W$3&lt;=$F15),1,"")</f>
        <v/>
      </c>
      <c r="X15" s="1" t="str">
        <f aca="false">IF(AND(X$3&gt;=$E15,X$3&lt;=$F15),1,"")</f>
        <v/>
      </c>
      <c r="Y15" s="1" t="str">
        <f aca="false">IF(AND(Y$3&gt;=$E15,Y$3&lt;=$F15),1,"")</f>
        <v/>
      </c>
      <c r="Z15" s="1" t="str">
        <f aca="false">IF(AND(Z$3&gt;=$E15,Z$3&lt;=$F15),1,"")</f>
        <v/>
      </c>
      <c r="AA15" s="1" t="str">
        <f aca="false">IF(AND(AA$3&gt;=$E15,AA$3&lt;=$F15),1,"")</f>
        <v/>
      </c>
      <c r="AB15" s="1" t="str">
        <f aca="false">IF(AND(AB$3&gt;=$E15,AB$3&lt;=$F15),1,"")</f>
        <v/>
      </c>
      <c r="AC15" s="1" t="str">
        <f aca="false">IF(AND(AC$3&gt;=$E15,AC$3&lt;=$F15),1,"")</f>
        <v/>
      </c>
      <c r="AD15" s="1" t="str">
        <f aca="false">IF(AND(AD$3&gt;=$E15,AD$3&lt;=$F15),1,"")</f>
        <v/>
      </c>
      <c r="AE15" s="1" t="str">
        <f aca="false">IF(AND(AE$3&gt;=$E15,AE$3&lt;=$F15),1,"")</f>
        <v/>
      </c>
      <c r="AF15" s="1" t="str">
        <f aca="false">IF(AND(AF$3&gt;=$E15,AF$3&lt;=$F15),1,"")</f>
        <v/>
      </c>
      <c r="AG15" s="1" t="str">
        <f aca="false">IF(AND(AG$3&gt;=$E15,AG$3&lt;=$F15),1,"")</f>
        <v/>
      </c>
      <c r="AH15" s="1" t="str">
        <f aca="false">IF(AND(AH$3&gt;=$E15,AH$3&lt;=$F15),1,"")</f>
        <v/>
      </c>
      <c r="AI15" s="1" t="str">
        <f aca="false">IF(AND(AI$3&gt;=$E15,AI$3&lt;=$F15),1,"")</f>
        <v/>
      </c>
      <c r="AJ15" s="1" t="str">
        <f aca="false">IF(AND(AJ$3&gt;=$E15,AJ$3&lt;=$F15),1,"")</f>
        <v/>
      </c>
      <c r="AK15" s="1" t="str">
        <f aca="false">IF(AND(AK$3&gt;=$E15,AK$3&lt;=$F15),1,"")</f>
        <v/>
      </c>
      <c r="AL15" s="1" t="str">
        <f aca="false">IF(AND(AL$3&gt;=$E15,AL$3&lt;=$F15),1,"")</f>
        <v/>
      </c>
      <c r="AM15" s="1" t="str">
        <f aca="false">IF(AND(AM$3&gt;=$E15,AM$3&lt;=$F15),1,"")</f>
        <v/>
      </c>
      <c r="AN15" s="1" t="str">
        <f aca="false">IF(AND(AN$3&gt;=$E15,AN$3&lt;=$F15),1,"")</f>
        <v/>
      </c>
      <c r="AO15" s="1" t="str">
        <f aca="false">IF(AND(AO$3&gt;=$E15,AO$3&lt;=$F15),1,"")</f>
        <v/>
      </c>
      <c r="AP15" s="1" t="str">
        <f aca="false">IF(AND(AP$3&gt;=$E15,AP$3&lt;=$F15),1,"")</f>
        <v/>
      </c>
      <c r="AQ15" s="1" t="str">
        <f aca="false">IF(AND(AQ$3&gt;=$E15,AQ$3&lt;=$F15),1,"")</f>
        <v/>
      </c>
      <c r="AR15" s="1" t="str">
        <f aca="false">IF(AND(AR$3&gt;=$E15,AR$3&lt;=$F15),1,"")</f>
        <v/>
      </c>
      <c r="AS15" s="1" t="str">
        <f aca="false">IF(AND(AS$3&gt;=$E15,AS$3&lt;=$F15),1,"")</f>
        <v/>
      </c>
      <c r="AT15" s="1" t="str">
        <f aca="false">IF(AND(AT$3&gt;=$E15,AT$3&lt;=$F15),1,"")</f>
        <v/>
      </c>
      <c r="AU15" s="1" t="str">
        <f aca="false">IF(AND(AU$3&gt;=$E15,AU$3&lt;=$F15),1,"")</f>
        <v/>
      </c>
      <c r="AV15" s="1" t="str">
        <f aca="false">IF(AND(AV$3&gt;=$E15,AV$3&lt;=$F15),1,"")</f>
        <v/>
      </c>
      <c r="AW15" s="1" t="str">
        <f aca="false">IF(AND(AW$3&gt;=$E15,AW$3&lt;=$F15),1,"")</f>
        <v/>
      </c>
      <c r="AX15" s="1" t="str">
        <f aca="false">IF(AND(AX$3&gt;=$E15,AX$3&lt;=$F15),1,"")</f>
        <v/>
      </c>
      <c r="AY15" s="1" t="str">
        <f aca="false">IF(AND(AY$3&gt;=$E15,AY$3&lt;=$F15),1,"")</f>
        <v/>
      </c>
      <c r="AZ15" s="1" t="str">
        <f aca="false">IF(AND(AZ$3&gt;=$E15,AZ$3&lt;=$F15),1,"")</f>
        <v/>
      </c>
      <c r="BA15" s="1" t="str">
        <f aca="false">IF(AND(BA$3&gt;=$E15,BA$3&lt;=$F15),1,"")</f>
        <v/>
      </c>
      <c r="BB15" s="1" t="str">
        <f aca="false">IF(AND(BB$3&gt;=$E15,BB$3&lt;=$F15),1,"")</f>
        <v/>
      </c>
      <c r="BC15" s="1" t="str">
        <f aca="false">IF(AND(BC$3&gt;=$E15,BC$3&lt;=$F15),1,"")</f>
        <v/>
      </c>
      <c r="BD15" s="1" t="str">
        <f aca="false">IF(AND(BD$3&gt;=$E15,BD$3&lt;=$F15),1,"")</f>
        <v/>
      </c>
      <c r="BE15" s="1" t="str">
        <f aca="false">IF(AND(BE$3&gt;=$E15,BE$3&lt;=$F15),1,"")</f>
        <v/>
      </c>
      <c r="BF15" s="1" t="str">
        <f aca="false">IF(AND(BF$3&gt;=$E15,BF$3&lt;=$F15),1,"")</f>
        <v/>
      </c>
      <c r="BG15" s="1" t="str">
        <f aca="false">IF(AND(BG$3&gt;=$E15,BG$3&lt;=$F15),1,"")</f>
        <v/>
      </c>
      <c r="BH15" s="1" t="str">
        <f aca="false">IF(AND(BH$3&gt;=$E15,BH$3&lt;=$F15),1,"")</f>
        <v/>
      </c>
      <c r="BI15" s="1" t="str">
        <f aca="false">IF(AND(BI$3&gt;=$E15,BI$3&lt;=$F15),1,"")</f>
        <v/>
      </c>
      <c r="BJ15" s="1" t="str">
        <f aca="false">IF(AND(BJ$3&gt;=$E15,BJ$3&lt;=$F15),1,"")</f>
        <v/>
      </c>
      <c r="BK15" s="1" t="str">
        <f aca="false">IF(AND(BK$3&gt;=$E15,BK$3&lt;=$F15),1,"")</f>
        <v/>
      </c>
      <c r="BL15" s="1" t="str">
        <f aca="false">IF(AND(BL$3&gt;=$E15,BL$3&lt;=$F15),1,"")</f>
        <v/>
      </c>
      <c r="BM15" s="1" t="str">
        <f aca="false">IF(AND(BM$3&gt;=$E15,BM$3&lt;=$F15),1,"")</f>
        <v/>
      </c>
      <c r="BN15" s="1" t="str">
        <f aca="false">IF(AND(BN$3&gt;=$E15,BN$3&lt;=$F15),1,"")</f>
        <v/>
      </c>
      <c r="BO15" s="1" t="str">
        <f aca="false">IF(AND(BO$3&gt;=$E15,BO$3&lt;=$F15),1,"")</f>
        <v/>
      </c>
      <c r="BP15" s="1" t="str">
        <f aca="false">IF(AND(BP$3&gt;=$E15,BP$3&lt;=$F15),1,"")</f>
        <v/>
      </c>
      <c r="BQ15" s="1" t="str">
        <f aca="false">IF(AND(BQ$3&gt;=$E15,BQ$3&lt;=$F15),1,"")</f>
        <v/>
      </c>
      <c r="BR15" s="1" t="str">
        <f aca="false">IF(AND(BR$3&gt;=$E15,BR$3&lt;=$F15),1,"")</f>
        <v/>
      </c>
    </row>
    <row r="16" customFormat="false" ht="15" hidden="false" customHeight="true" outlineLevel="0" collapsed="false">
      <c r="A16" s="1" t="s">
        <v>402</v>
      </c>
      <c r="B16" s="1" t="n">
        <v>25</v>
      </c>
      <c r="C16" s="95" t="s">
        <v>395</v>
      </c>
      <c r="D16" s="1" t="n">
        <v>1</v>
      </c>
      <c r="E16" s="89" t="n">
        <v>46151.2916666667</v>
      </c>
      <c r="F16" s="89" t="n">
        <v>46205.2916666667</v>
      </c>
      <c r="G16" s="95" t="s">
        <v>154</v>
      </c>
      <c r="H16" s="1" t="str">
        <f aca="false">IF($A16="","",TEXT($F16,"MMM-YYYY"))</f>
        <v>Jul-2026</v>
      </c>
      <c r="I16" s="95" t="s">
        <v>157</v>
      </c>
      <c r="J16" s="96" t="n">
        <f aca="false">IF($A16="","",$F16+30)</f>
        <v>46235.2916666667</v>
      </c>
      <c r="K16" s="1" t="s">
        <v>155</v>
      </c>
      <c r="L16" s="1" t="str">
        <f aca="false">IF(AND(L$3&gt;=$E16,L$3&lt;=$F16),1,"")</f>
        <v/>
      </c>
      <c r="M16" s="1" t="str">
        <f aca="false">IF(AND(M$3&gt;=$E16,M$3&lt;=$F16),1,"")</f>
        <v/>
      </c>
      <c r="N16" s="1" t="str">
        <f aca="false">IF(AND(N$3&gt;=$E16,N$3&lt;=$F16),1,"")</f>
        <v/>
      </c>
      <c r="O16" s="1" t="str">
        <f aca="false">IF(AND(O$3&gt;=$E16,O$3&lt;=$F16),1,"")</f>
        <v/>
      </c>
      <c r="P16" s="1" t="str">
        <f aca="false">IF(AND(P$3&gt;=$E16,P$3&lt;=$F16),1,"")</f>
        <v/>
      </c>
      <c r="Q16" s="1" t="str">
        <f aca="false">IF(AND(Q$3&gt;=$E16,Q$3&lt;=$F16),1,"")</f>
        <v/>
      </c>
      <c r="R16" s="1" t="str">
        <f aca="false">IF(AND(R$3&gt;=$E16,R$3&lt;=$F16),1,"")</f>
        <v/>
      </c>
      <c r="S16" s="1" t="str">
        <f aca="false">IF(AND(S$3&gt;=$E16,S$3&lt;=$F16),1,"")</f>
        <v/>
      </c>
      <c r="T16" s="1" t="str">
        <f aca="false">IF(AND(T$3&gt;=$E16,T$3&lt;=$F16),1,"")</f>
        <v/>
      </c>
      <c r="U16" s="1" t="str">
        <f aca="false">IF(AND(U$3&gt;=$E16,U$3&lt;=$F16),1,"")</f>
        <v/>
      </c>
      <c r="V16" s="1" t="str">
        <f aca="false">IF(AND(V$3&gt;=$E16,V$3&lt;=$F16),1,"")</f>
        <v/>
      </c>
      <c r="W16" s="1" t="str">
        <f aca="false">IF(AND(W$3&gt;=$E16,W$3&lt;=$F16),1,"")</f>
        <v/>
      </c>
      <c r="X16" s="1" t="str">
        <f aca="false">IF(AND(X$3&gt;=$E16,X$3&lt;=$F16),1,"")</f>
        <v/>
      </c>
      <c r="Y16" s="1" t="str">
        <f aca="false">IF(AND(Y$3&gt;=$E16,Y$3&lt;=$F16),1,"")</f>
        <v/>
      </c>
      <c r="Z16" s="1" t="str">
        <f aca="false">IF(AND(Z$3&gt;=$E16,Z$3&lt;=$F16),1,"")</f>
        <v/>
      </c>
      <c r="AA16" s="1" t="str">
        <f aca="false">IF(AND(AA$3&gt;=$E16,AA$3&lt;=$F16),1,"")</f>
        <v/>
      </c>
      <c r="AB16" s="1" t="str">
        <f aca="false">IF(AND(AB$3&gt;=$E16,AB$3&lt;=$F16),1,"")</f>
        <v/>
      </c>
      <c r="AC16" s="1" t="str">
        <f aca="false">IF(AND(AC$3&gt;=$E16,AC$3&lt;=$F16),1,"")</f>
        <v/>
      </c>
      <c r="AD16" s="1" t="str">
        <f aca="false">IF(AND(AD$3&gt;=$E16,AD$3&lt;=$F16),1,"")</f>
        <v/>
      </c>
      <c r="AE16" s="1" t="str">
        <f aca="false">IF(AND(AE$3&gt;=$E16,AE$3&lt;=$F16),1,"")</f>
        <v/>
      </c>
      <c r="AF16" s="1" t="str">
        <f aca="false">IF(AND(AF$3&gt;=$E16,AF$3&lt;=$F16),1,"")</f>
        <v/>
      </c>
      <c r="AG16" s="1" t="str">
        <f aca="false">IF(AND(AG$3&gt;=$E16,AG$3&lt;=$F16),1,"")</f>
        <v/>
      </c>
      <c r="AH16" s="1" t="str">
        <f aca="false">IF(AND(AH$3&gt;=$E16,AH$3&lt;=$F16),1,"")</f>
        <v/>
      </c>
      <c r="AI16" s="1" t="str">
        <f aca="false">IF(AND(AI$3&gt;=$E16,AI$3&lt;=$F16),1,"")</f>
        <v/>
      </c>
      <c r="AJ16" s="1" t="str">
        <f aca="false">IF(AND(AJ$3&gt;=$E16,AJ$3&lt;=$F16),1,"")</f>
        <v/>
      </c>
      <c r="AK16" s="1" t="str">
        <f aca="false">IF(AND(AK$3&gt;=$E16,AK$3&lt;=$F16),1,"")</f>
        <v/>
      </c>
      <c r="AL16" s="1" t="str">
        <f aca="false">IF(AND(AL$3&gt;=$E16,AL$3&lt;=$F16),1,"")</f>
        <v/>
      </c>
      <c r="AM16" s="1" t="str">
        <f aca="false">IF(AND(AM$3&gt;=$E16,AM$3&lt;=$F16),1,"")</f>
        <v/>
      </c>
      <c r="AN16" s="1" t="str">
        <f aca="false">IF(AND(AN$3&gt;=$E16,AN$3&lt;=$F16),1,"")</f>
        <v/>
      </c>
      <c r="AO16" s="1" t="str">
        <f aca="false">IF(AND(AO$3&gt;=$E16,AO$3&lt;=$F16),1,"")</f>
        <v/>
      </c>
      <c r="AP16" s="1" t="str">
        <f aca="false">IF(AND(AP$3&gt;=$E16,AP$3&lt;=$F16),1,"")</f>
        <v/>
      </c>
      <c r="AQ16" s="1" t="str">
        <f aca="false">IF(AND(AQ$3&gt;=$E16,AQ$3&lt;=$F16),1,"")</f>
        <v/>
      </c>
      <c r="AR16" s="1" t="str">
        <f aca="false">IF(AND(AR$3&gt;=$E16,AR$3&lt;=$F16),1,"")</f>
        <v/>
      </c>
      <c r="AS16" s="1" t="str">
        <f aca="false">IF(AND(AS$3&gt;=$E16,AS$3&lt;=$F16),1,"")</f>
        <v/>
      </c>
      <c r="AT16" s="1" t="str">
        <f aca="false">IF(AND(AT$3&gt;=$E16,AT$3&lt;=$F16),1,"")</f>
        <v/>
      </c>
      <c r="AU16" s="1" t="str">
        <f aca="false">IF(AND(AU$3&gt;=$E16,AU$3&lt;=$F16),1,"")</f>
        <v/>
      </c>
      <c r="AV16" s="1" t="str">
        <f aca="false">IF(AND(AV$3&gt;=$E16,AV$3&lt;=$F16),1,"")</f>
        <v/>
      </c>
      <c r="AW16" s="1" t="str">
        <f aca="false">IF(AND(AW$3&gt;=$E16,AW$3&lt;=$F16),1,"")</f>
        <v/>
      </c>
      <c r="AX16" s="1" t="n">
        <f aca="false">IF(AND(AX$3&gt;=$E16,AX$3&lt;=$F16),1,"")</f>
        <v>1</v>
      </c>
      <c r="AY16" s="1" t="n">
        <f aca="false">IF(AND(AY$3&gt;=$E16,AY$3&lt;=$F16),1,"")</f>
        <v>1</v>
      </c>
      <c r="AZ16" s="1" t="n">
        <f aca="false">IF(AND(AZ$3&gt;=$E16,AZ$3&lt;=$F16),1,"")</f>
        <v>1</v>
      </c>
      <c r="BA16" s="1" t="n">
        <f aca="false">IF(AND(BA$3&gt;=$E16,BA$3&lt;=$F16),1,"")</f>
        <v>1</v>
      </c>
      <c r="BB16" s="1" t="n">
        <f aca="false">IF(AND(BB$3&gt;=$E16,BB$3&lt;=$F16),1,"")</f>
        <v>1</v>
      </c>
      <c r="BC16" s="1" t="n">
        <f aca="false">IF(AND(BC$3&gt;=$E16,BC$3&lt;=$F16),1,"")</f>
        <v>1</v>
      </c>
      <c r="BD16" s="1" t="n">
        <f aca="false">IF(AND(BD$3&gt;=$E16,BD$3&lt;=$F16),1,"")</f>
        <v>1</v>
      </c>
      <c r="BE16" s="1" t="n">
        <f aca="false">IF(AND(BE$3&gt;=$E16,BE$3&lt;=$F16),1,"")</f>
        <v>1</v>
      </c>
      <c r="BF16" s="1" t="n">
        <f aca="false">IF(AND(BF$3&gt;=$E16,BF$3&lt;=$F16),1,"")</f>
        <v>1</v>
      </c>
      <c r="BG16" s="1" t="n">
        <f aca="false">IF(AND(BG$3&gt;=$E16,BG$3&lt;=$F16),1,"")</f>
        <v>1</v>
      </c>
      <c r="BH16" s="1" t="n">
        <f aca="false">IF(AND(BH$3&gt;=$E16,BH$3&lt;=$F16),1,"")</f>
        <v>1</v>
      </c>
      <c r="BI16" s="1" t="n">
        <f aca="false">IF(AND(BI$3&gt;=$E16,BI$3&lt;=$F16),1,"")</f>
        <v>1</v>
      </c>
      <c r="BJ16" s="1" t="n">
        <f aca="false">IF(AND(BJ$3&gt;=$E16,BJ$3&lt;=$F16),1,"")</f>
        <v>1</v>
      </c>
      <c r="BK16" s="1" t="n">
        <f aca="false">IF(AND(BK$3&gt;=$E16,BK$3&lt;=$F16),1,"")</f>
        <v>1</v>
      </c>
      <c r="BL16" s="1" t="n">
        <f aca="false">IF(AND(BL$3&gt;=$E16,BL$3&lt;=$F16),1,"")</f>
        <v>1</v>
      </c>
      <c r="BM16" s="1" t="n">
        <f aca="false">IF(AND(BM$3&gt;=$E16,BM$3&lt;=$F16),1,"")</f>
        <v>1</v>
      </c>
      <c r="BN16" s="1" t="n">
        <f aca="false">IF(AND(BN$3&gt;=$E16,BN$3&lt;=$F16),1,"")</f>
        <v>1</v>
      </c>
      <c r="BO16" s="1" t="n">
        <f aca="false">IF(AND(BO$3&gt;=$E16,BO$3&lt;=$F16),1,"")</f>
        <v>1</v>
      </c>
      <c r="BP16" s="1" t="n">
        <f aca="false">IF(AND(BP$3&gt;=$E16,BP$3&lt;=$F16),1,"")</f>
        <v>1</v>
      </c>
      <c r="BQ16" s="1" t="n">
        <f aca="false">IF(AND(BQ$3&gt;=$E16,BQ$3&lt;=$F16),1,"")</f>
        <v>1</v>
      </c>
      <c r="BR16" s="1" t="n">
        <f aca="false">IF(AND(BR$3&gt;=$E16,BR$3&lt;=$F16),1,"")</f>
        <v>1</v>
      </c>
    </row>
    <row r="17" customFormat="false" ht="15" hidden="false" customHeight="true" outlineLevel="0" collapsed="false">
      <c r="A17" s="1" t="s">
        <v>403</v>
      </c>
      <c r="B17" s="1" t="n">
        <v>25</v>
      </c>
      <c r="C17" s="95" t="s">
        <v>383</v>
      </c>
      <c r="D17" s="1" t="n">
        <v>2</v>
      </c>
      <c r="E17" s="89" t="n">
        <v>46214.2916666667</v>
      </c>
      <c r="F17" s="89" t="n">
        <v>46285.2916666667</v>
      </c>
      <c r="G17" s="95" t="s">
        <v>161</v>
      </c>
      <c r="H17" s="1" t="str">
        <f aca="false">IF($A17="","",TEXT($F17,"MMM-YYYY"))</f>
        <v>Sep-2026</v>
      </c>
      <c r="I17" s="95" t="s">
        <v>157</v>
      </c>
      <c r="J17" s="96" t="n">
        <f aca="false">IF($A17="","",$F17+30)</f>
        <v>46315.2916666667</v>
      </c>
      <c r="K17" s="1" t="s">
        <v>159</v>
      </c>
      <c r="L17" s="1" t="str">
        <f aca="false">IF(AND(L$3&gt;=$E17,L$3&lt;=$F17),1,"")</f>
        <v/>
      </c>
      <c r="M17" s="1" t="str">
        <f aca="false">IF(AND(M$3&gt;=$E17,M$3&lt;=$F17),1,"")</f>
        <v/>
      </c>
      <c r="N17" s="1" t="str">
        <f aca="false">IF(AND(N$3&gt;=$E17,N$3&lt;=$F17),1,"")</f>
        <v/>
      </c>
      <c r="O17" s="1" t="str">
        <f aca="false">IF(AND(O$3&gt;=$E17,O$3&lt;=$F17),1,"")</f>
        <v/>
      </c>
      <c r="P17" s="1" t="str">
        <f aca="false">IF(AND(P$3&gt;=$E17,P$3&lt;=$F17),1,"")</f>
        <v/>
      </c>
      <c r="Q17" s="1" t="str">
        <f aca="false">IF(AND(Q$3&gt;=$E17,Q$3&lt;=$F17),1,"")</f>
        <v/>
      </c>
      <c r="R17" s="1" t="str">
        <f aca="false">IF(AND(R$3&gt;=$E17,R$3&lt;=$F17),1,"")</f>
        <v/>
      </c>
      <c r="S17" s="1" t="str">
        <f aca="false">IF(AND(S$3&gt;=$E17,S$3&lt;=$F17),1,"")</f>
        <v/>
      </c>
      <c r="T17" s="1" t="str">
        <f aca="false">IF(AND(T$3&gt;=$E17,T$3&lt;=$F17),1,"")</f>
        <v/>
      </c>
      <c r="U17" s="1" t="str">
        <f aca="false">IF(AND(U$3&gt;=$E17,U$3&lt;=$F17),1,"")</f>
        <v/>
      </c>
      <c r="V17" s="1" t="str">
        <f aca="false">IF(AND(V$3&gt;=$E17,V$3&lt;=$F17),1,"")</f>
        <v/>
      </c>
      <c r="W17" s="1" t="str">
        <f aca="false">IF(AND(W$3&gt;=$E17,W$3&lt;=$F17),1,"")</f>
        <v/>
      </c>
      <c r="X17" s="1" t="str">
        <f aca="false">IF(AND(X$3&gt;=$E17,X$3&lt;=$F17),1,"")</f>
        <v/>
      </c>
      <c r="Y17" s="1" t="str">
        <f aca="false">IF(AND(Y$3&gt;=$E17,Y$3&lt;=$F17),1,"")</f>
        <v/>
      </c>
      <c r="Z17" s="1" t="str">
        <f aca="false">IF(AND(Z$3&gt;=$E17,Z$3&lt;=$F17),1,"")</f>
        <v/>
      </c>
      <c r="AA17" s="1" t="str">
        <f aca="false">IF(AND(AA$3&gt;=$E17,AA$3&lt;=$F17),1,"")</f>
        <v/>
      </c>
      <c r="AB17" s="1" t="str">
        <f aca="false">IF(AND(AB$3&gt;=$E17,AB$3&lt;=$F17),1,"")</f>
        <v/>
      </c>
      <c r="AC17" s="1" t="str">
        <f aca="false">IF(AND(AC$3&gt;=$E17,AC$3&lt;=$F17),1,"")</f>
        <v/>
      </c>
      <c r="AD17" s="1" t="str">
        <f aca="false">IF(AND(AD$3&gt;=$E17,AD$3&lt;=$F17),1,"")</f>
        <v/>
      </c>
      <c r="AE17" s="1" t="str">
        <f aca="false">IF(AND(AE$3&gt;=$E17,AE$3&lt;=$F17),1,"")</f>
        <v/>
      </c>
      <c r="AF17" s="1" t="str">
        <f aca="false">IF(AND(AF$3&gt;=$E17,AF$3&lt;=$F17),1,"")</f>
        <v/>
      </c>
      <c r="AG17" s="1" t="str">
        <f aca="false">IF(AND(AG$3&gt;=$E17,AG$3&lt;=$F17),1,"")</f>
        <v/>
      </c>
      <c r="AH17" s="1" t="str">
        <f aca="false">IF(AND(AH$3&gt;=$E17,AH$3&lt;=$F17),1,"")</f>
        <v/>
      </c>
      <c r="AI17" s="1" t="str">
        <f aca="false">IF(AND(AI$3&gt;=$E17,AI$3&lt;=$F17),1,"")</f>
        <v/>
      </c>
      <c r="AJ17" s="1" t="str">
        <f aca="false">IF(AND(AJ$3&gt;=$E17,AJ$3&lt;=$F17),1,"")</f>
        <v/>
      </c>
      <c r="AK17" s="1" t="str">
        <f aca="false">IF(AND(AK$3&gt;=$E17,AK$3&lt;=$F17),1,"")</f>
        <v/>
      </c>
      <c r="AL17" s="1" t="str">
        <f aca="false">IF(AND(AL$3&gt;=$E17,AL$3&lt;=$F17),1,"")</f>
        <v/>
      </c>
      <c r="AM17" s="1" t="str">
        <f aca="false">IF(AND(AM$3&gt;=$E17,AM$3&lt;=$F17),1,"")</f>
        <v/>
      </c>
      <c r="AN17" s="1" t="str">
        <f aca="false">IF(AND(AN$3&gt;=$E17,AN$3&lt;=$F17),1,"")</f>
        <v/>
      </c>
      <c r="AO17" s="1" t="str">
        <f aca="false">IF(AND(AO$3&gt;=$E17,AO$3&lt;=$F17),1,"")</f>
        <v/>
      </c>
      <c r="AP17" s="1" t="str">
        <f aca="false">IF(AND(AP$3&gt;=$E17,AP$3&lt;=$F17),1,"")</f>
        <v/>
      </c>
      <c r="AQ17" s="1" t="str">
        <f aca="false">IF(AND(AQ$3&gt;=$E17,AQ$3&lt;=$F17),1,"")</f>
        <v/>
      </c>
      <c r="AR17" s="1" t="str">
        <f aca="false">IF(AND(AR$3&gt;=$E17,AR$3&lt;=$F17),1,"")</f>
        <v/>
      </c>
      <c r="AS17" s="1" t="str">
        <f aca="false">IF(AND(AS$3&gt;=$E17,AS$3&lt;=$F17),1,"")</f>
        <v/>
      </c>
      <c r="AT17" s="1" t="str">
        <f aca="false">IF(AND(AT$3&gt;=$E17,AT$3&lt;=$F17),1,"")</f>
        <v/>
      </c>
      <c r="AU17" s="1" t="str">
        <f aca="false">IF(AND(AU$3&gt;=$E17,AU$3&lt;=$F17),1,"")</f>
        <v/>
      </c>
      <c r="AV17" s="1" t="str">
        <f aca="false">IF(AND(AV$3&gt;=$E17,AV$3&lt;=$F17),1,"")</f>
        <v/>
      </c>
      <c r="AW17" s="1" t="str">
        <f aca="false">IF(AND(AW$3&gt;=$E17,AW$3&lt;=$F17),1,"")</f>
        <v/>
      </c>
      <c r="AX17" s="1" t="str">
        <f aca="false">IF(AND(AX$3&gt;=$E17,AX$3&lt;=$F17),1,"")</f>
        <v/>
      </c>
      <c r="AY17" s="1" t="str">
        <f aca="false">IF(AND(AY$3&gt;=$E17,AY$3&lt;=$F17),1,"")</f>
        <v/>
      </c>
      <c r="AZ17" s="1" t="str">
        <f aca="false">IF(AND(AZ$3&gt;=$E17,AZ$3&lt;=$F17),1,"")</f>
        <v/>
      </c>
      <c r="BA17" s="1" t="str">
        <f aca="false">IF(AND(BA$3&gt;=$E17,BA$3&lt;=$F17),1,"")</f>
        <v/>
      </c>
      <c r="BB17" s="1" t="str">
        <f aca="false">IF(AND(BB$3&gt;=$E17,BB$3&lt;=$F17),1,"")</f>
        <v/>
      </c>
      <c r="BC17" s="1" t="str">
        <f aca="false">IF(AND(BC$3&gt;=$E17,BC$3&lt;=$F17),1,"")</f>
        <v/>
      </c>
      <c r="BD17" s="1" t="str">
        <f aca="false">IF(AND(BD$3&gt;=$E17,BD$3&lt;=$F17),1,"")</f>
        <v/>
      </c>
      <c r="BE17" s="1" t="str">
        <f aca="false">IF(AND(BE$3&gt;=$E17,BE$3&lt;=$F17),1,"")</f>
        <v/>
      </c>
      <c r="BF17" s="1" t="str">
        <f aca="false">IF(AND(BF$3&gt;=$E17,BF$3&lt;=$F17),1,"")</f>
        <v/>
      </c>
      <c r="BG17" s="1" t="str">
        <f aca="false">IF(AND(BG$3&gt;=$E17,BG$3&lt;=$F17),1,"")</f>
        <v/>
      </c>
      <c r="BH17" s="1" t="str">
        <f aca="false">IF(AND(BH$3&gt;=$E17,BH$3&lt;=$F17),1,"")</f>
        <v/>
      </c>
      <c r="BI17" s="1" t="str">
        <f aca="false">IF(AND(BI$3&gt;=$E17,BI$3&lt;=$F17),1,"")</f>
        <v/>
      </c>
      <c r="BJ17" s="1" t="str">
        <f aca="false">IF(AND(BJ$3&gt;=$E17,BJ$3&lt;=$F17),1,"")</f>
        <v/>
      </c>
      <c r="BK17" s="1" t="str">
        <f aca="false">IF(AND(BK$3&gt;=$E17,BK$3&lt;=$F17),1,"")</f>
        <v/>
      </c>
      <c r="BL17" s="1" t="str">
        <f aca="false">IF(AND(BL$3&gt;=$E17,BL$3&lt;=$F17),1,"")</f>
        <v/>
      </c>
      <c r="BM17" s="1" t="str">
        <f aca="false">IF(AND(BM$3&gt;=$E17,BM$3&lt;=$F17),1,"")</f>
        <v/>
      </c>
      <c r="BN17" s="1" t="str">
        <f aca="false">IF(AND(BN$3&gt;=$E17,BN$3&lt;=$F17),1,"")</f>
        <v/>
      </c>
      <c r="BO17" s="1" t="str">
        <f aca="false">IF(AND(BO$3&gt;=$E17,BO$3&lt;=$F17),1,"")</f>
        <v/>
      </c>
      <c r="BP17" s="1" t="str">
        <f aca="false">IF(AND(BP$3&gt;=$E17,BP$3&lt;=$F17),1,"")</f>
        <v/>
      </c>
      <c r="BQ17" s="1" t="str">
        <f aca="false">IF(AND(BQ$3&gt;=$E17,BQ$3&lt;=$F17),1,"")</f>
        <v/>
      </c>
      <c r="BR17" s="1" t="str">
        <f aca="false">IF(AND(BR$3&gt;=$E17,BR$3&lt;=$F17),1,"")</f>
        <v/>
      </c>
    </row>
    <row r="18" customFormat="false" ht="15" hidden="false" customHeight="true" outlineLevel="0" collapsed="false">
      <c r="A18" s="1" t="s">
        <v>404</v>
      </c>
      <c r="B18" s="1" t="n">
        <v>34</v>
      </c>
      <c r="C18" s="95" t="s">
        <v>386</v>
      </c>
      <c r="D18" s="1" t="n">
        <v>3</v>
      </c>
      <c r="E18" s="89" t="n">
        <v>46183.2916666667</v>
      </c>
      <c r="F18" s="89" t="n">
        <v>46242.2916666667</v>
      </c>
      <c r="G18" s="95" t="s">
        <v>161</v>
      </c>
      <c r="H18" s="1" t="str">
        <f aca="false">IF($A18="","",TEXT($F18,"MMM-YYYY"))</f>
        <v>Aug-2026</v>
      </c>
      <c r="I18" s="95" t="s">
        <v>150</v>
      </c>
      <c r="J18" s="96" t="n">
        <f aca="false">IF($A18="","",$F18+30)</f>
        <v>46272.2916666667</v>
      </c>
      <c r="K18" s="1" t="s">
        <v>155</v>
      </c>
      <c r="L18" s="1" t="str">
        <f aca="false">IF(AND(L$3&gt;=$E18,L$3&lt;=$F18),1,"")</f>
        <v/>
      </c>
      <c r="M18" s="1" t="str">
        <f aca="false">IF(AND(M$3&gt;=$E18,M$3&lt;=$F18),1,"")</f>
        <v/>
      </c>
      <c r="N18" s="1" t="str">
        <f aca="false">IF(AND(N$3&gt;=$E18,N$3&lt;=$F18),1,"")</f>
        <v/>
      </c>
      <c r="O18" s="1" t="str">
        <f aca="false">IF(AND(O$3&gt;=$E18,O$3&lt;=$F18),1,"")</f>
        <v/>
      </c>
      <c r="P18" s="1" t="str">
        <f aca="false">IF(AND(P$3&gt;=$E18,P$3&lt;=$F18),1,"")</f>
        <v/>
      </c>
      <c r="Q18" s="1" t="str">
        <f aca="false">IF(AND(Q$3&gt;=$E18,Q$3&lt;=$F18),1,"")</f>
        <v/>
      </c>
      <c r="R18" s="1" t="str">
        <f aca="false">IF(AND(R$3&gt;=$E18,R$3&lt;=$F18),1,"")</f>
        <v/>
      </c>
      <c r="S18" s="1" t="str">
        <f aca="false">IF(AND(S$3&gt;=$E18,S$3&lt;=$F18),1,"")</f>
        <v/>
      </c>
      <c r="T18" s="1" t="str">
        <f aca="false">IF(AND(T$3&gt;=$E18,T$3&lt;=$F18),1,"")</f>
        <v/>
      </c>
      <c r="U18" s="1" t="str">
        <f aca="false">IF(AND(U$3&gt;=$E18,U$3&lt;=$F18),1,"")</f>
        <v/>
      </c>
      <c r="V18" s="1" t="str">
        <f aca="false">IF(AND(V$3&gt;=$E18,V$3&lt;=$F18),1,"")</f>
        <v/>
      </c>
      <c r="W18" s="1" t="str">
        <f aca="false">IF(AND(W$3&gt;=$E18,W$3&lt;=$F18),1,"")</f>
        <v/>
      </c>
      <c r="X18" s="1" t="str">
        <f aca="false">IF(AND(X$3&gt;=$E18,X$3&lt;=$F18),1,"")</f>
        <v/>
      </c>
      <c r="Y18" s="1" t="str">
        <f aca="false">IF(AND(Y$3&gt;=$E18,Y$3&lt;=$F18),1,"")</f>
        <v/>
      </c>
      <c r="Z18" s="1" t="str">
        <f aca="false">IF(AND(Z$3&gt;=$E18,Z$3&lt;=$F18),1,"")</f>
        <v/>
      </c>
      <c r="AA18" s="1" t="str">
        <f aca="false">IF(AND(AA$3&gt;=$E18,AA$3&lt;=$F18),1,"")</f>
        <v/>
      </c>
      <c r="AB18" s="1" t="str">
        <f aca="false">IF(AND(AB$3&gt;=$E18,AB$3&lt;=$F18),1,"")</f>
        <v/>
      </c>
      <c r="AC18" s="1" t="str">
        <f aca="false">IF(AND(AC$3&gt;=$E18,AC$3&lt;=$F18),1,"")</f>
        <v/>
      </c>
      <c r="AD18" s="1" t="str">
        <f aca="false">IF(AND(AD$3&gt;=$E18,AD$3&lt;=$F18),1,"")</f>
        <v/>
      </c>
      <c r="AE18" s="1" t="str">
        <f aca="false">IF(AND(AE$3&gt;=$E18,AE$3&lt;=$F18),1,"")</f>
        <v/>
      </c>
      <c r="AF18" s="1" t="str">
        <f aca="false">IF(AND(AF$3&gt;=$E18,AF$3&lt;=$F18),1,"")</f>
        <v/>
      </c>
      <c r="AG18" s="1" t="str">
        <f aca="false">IF(AND(AG$3&gt;=$E18,AG$3&lt;=$F18),1,"")</f>
        <v/>
      </c>
      <c r="AH18" s="1" t="str">
        <f aca="false">IF(AND(AH$3&gt;=$E18,AH$3&lt;=$F18),1,"")</f>
        <v/>
      </c>
      <c r="AI18" s="1" t="str">
        <f aca="false">IF(AND(AI$3&gt;=$E18,AI$3&lt;=$F18),1,"")</f>
        <v/>
      </c>
      <c r="AJ18" s="1" t="str">
        <f aca="false">IF(AND(AJ$3&gt;=$E18,AJ$3&lt;=$F18),1,"")</f>
        <v/>
      </c>
      <c r="AK18" s="1" t="str">
        <f aca="false">IF(AND(AK$3&gt;=$E18,AK$3&lt;=$F18),1,"")</f>
        <v/>
      </c>
      <c r="AL18" s="1" t="str">
        <f aca="false">IF(AND(AL$3&gt;=$E18,AL$3&lt;=$F18),1,"")</f>
        <v/>
      </c>
      <c r="AM18" s="1" t="str">
        <f aca="false">IF(AND(AM$3&gt;=$E18,AM$3&lt;=$F18),1,"")</f>
        <v/>
      </c>
      <c r="AN18" s="1" t="str">
        <f aca="false">IF(AND(AN$3&gt;=$E18,AN$3&lt;=$F18),1,"")</f>
        <v/>
      </c>
      <c r="AO18" s="1" t="str">
        <f aca="false">IF(AND(AO$3&gt;=$E18,AO$3&lt;=$F18),1,"")</f>
        <v/>
      </c>
      <c r="AP18" s="1" t="str">
        <f aca="false">IF(AND(AP$3&gt;=$E18,AP$3&lt;=$F18),1,"")</f>
        <v/>
      </c>
      <c r="AQ18" s="1" t="str">
        <f aca="false">IF(AND(AQ$3&gt;=$E18,AQ$3&lt;=$F18),1,"")</f>
        <v/>
      </c>
      <c r="AR18" s="1" t="str">
        <f aca="false">IF(AND(AR$3&gt;=$E18,AR$3&lt;=$F18),1,"")</f>
        <v/>
      </c>
      <c r="AS18" s="1" t="str">
        <f aca="false">IF(AND(AS$3&gt;=$E18,AS$3&lt;=$F18),1,"")</f>
        <v/>
      </c>
      <c r="AT18" s="1" t="str">
        <f aca="false">IF(AND(AT$3&gt;=$E18,AT$3&lt;=$F18),1,"")</f>
        <v/>
      </c>
      <c r="AU18" s="1" t="str">
        <f aca="false">IF(AND(AU$3&gt;=$E18,AU$3&lt;=$F18),1,"")</f>
        <v/>
      </c>
      <c r="AV18" s="1" t="str">
        <f aca="false">IF(AND(AV$3&gt;=$E18,AV$3&lt;=$F18),1,"")</f>
        <v/>
      </c>
      <c r="AW18" s="1" t="str">
        <f aca="false">IF(AND(AW$3&gt;=$E18,AW$3&lt;=$F18),1,"")</f>
        <v/>
      </c>
      <c r="AX18" s="1" t="str">
        <f aca="false">IF(AND(AX$3&gt;=$E18,AX$3&lt;=$F18),1,"")</f>
        <v/>
      </c>
      <c r="AY18" s="1" t="str">
        <f aca="false">IF(AND(AY$3&gt;=$E18,AY$3&lt;=$F18),1,"")</f>
        <v/>
      </c>
      <c r="AZ18" s="1" t="str">
        <f aca="false">IF(AND(AZ$3&gt;=$E18,AZ$3&lt;=$F18),1,"")</f>
        <v/>
      </c>
      <c r="BA18" s="1" t="str">
        <f aca="false">IF(AND(BA$3&gt;=$E18,BA$3&lt;=$F18),1,"")</f>
        <v/>
      </c>
      <c r="BB18" s="1" t="str">
        <f aca="false">IF(AND(BB$3&gt;=$E18,BB$3&lt;=$F18),1,"")</f>
        <v/>
      </c>
      <c r="BC18" s="1" t="str">
        <f aca="false">IF(AND(BC$3&gt;=$E18,BC$3&lt;=$F18),1,"")</f>
        <v/>
      </c>
      <c r="BD18" s="1" t="str">
        <f aca="false">IF(AND(BD$3&gt;=$E18,BD$3&lt;=$F18),1,"")</f>
        <v/>
      </c>
      <c r="BE18" s="1" t="str">
        <f aca="false">IF(AND(BE$3&gt;=$E18,BE$3&lt;=$F18),1,"")</f>
        <v/>
      </c>
      <c r="BF18" s="1" t="str">
        <f aca="false">IF(AND(BF$3&gt;=$E18,BF$3&lt;=$F18),1,"")</f>
        <v/>
      </c>
      <c r="BG18" s="1" t="str">
        <f aca="false">IF(AND(BG$3&gt;=$E18,BG$3&lt;=$F18),1,"")</f>
        <v/>
      </c>
      <c r="BH18" s="1" t="str">
        <f aca="false">IF(AND(BH$3&gt;=$E18,BH$3&lt;=$F18),1,"")</f>
        <v/>
      </c>
      <c r="BI18" s="1" t="str">
        <f aca="false">IF(AND(BI$3&gt;=$E18,BI$3&lt;=$F18),1,"")</f>
        <v/>
      </c>
      <c r="BJ18" s="1" t="str">
        <f aca="false">IF(AND(BJ$3&gt;=$E18,BJ$3&lt;=$F18),1,"")</f>
        <v/>
      </c>
      <c r="BK18" s="1" t="str">
        <f aca="false">IF(AND(BK$3&gt;=$E18,BK$3&lt;=$F18),1,"")</f>
        <v/>
      </c>
      <c r="BL18" s="1" t="str">
        <f aca="false">IF(AND(BL$3&gt;=$E18,BL$3&lt;=$F18),1,"")</f>
        <v/>
      </c>
      <c r="BM18" s="1" t="str">
        <f aca="false">IF(AND(BM$3&gt;=$E18,BM$3&lt;=$F18),1,"")</f>
        <v/>
      </c>
      <c r="BN18" s="1" t="str">
        <f aca="false">IF(AND(BN$3&gt;=$E18,BN$3&lt;=$F18),1,"")</f>
        <v/>
      </c>
      <c r="BO18" s="1" t="str">
        <f aca="false">IF(AND(BO$3&gt;=$E18,BO$3&lt;=$F18),1,"")</f>
        <v/>
      </c>
      <c r="BP18" s="1" t="str">
        <f aca="false">IF(AND(BP$3&gt;=$E18,BP$3&lt;=$F18),1,"")</f>
        <v/>
      </c>
      <c r="BQ18" s="1" t="str">
        <f aca="false">IF(AND(BQ$3&gt;=$E18,BQ$3&lt;=$F18),1,"")</f>
        <v/>
      </c>
      <c r="BR18" s="1" t="str">
        <f aca="false">IF(AND(BR$3&gt;=$E18,BR$3&lt;=$F18),1,"")</f>
        <v/>
      </c>
    </row>
    <row r="19" customFormat="false" ht="15" hidden="false" customHeight="true" outlineLevel="0" collapsed="false">
      <c r="A19" s="1" t="s">
        <v>405</v>
      </c>
      <c r="B19" s="1" t="n">
        <v>15</v>
      </c>
      <c r="C19" s="95" t="s">
        <v>398</v>
      </c>
      <c r="D19" s="1" t="n">
        <v>2</v>
      </c>
      <c r="E19" s="89" t="n">
        <v>46167.2916666667</v>
      </c>
      <c r="F19" s="89" t="n">
        <v>46241.2916666667</v>
      </c>
      <c r="G19" s="95" t="s">
        <v>161</v>
      </c>
      <c r="H19" s="1" t="str">
        <f aca="false">IF($A19="","",TEXT($F19,"MMM-YYYY"))</f>
        <v>Aug-2026</v>
      </c>
      <c r="I19" s="95" t="s">
        <v>150</v>
      </c>
      <c r="J19" s="96" t="n">
        <f aca="false">IF($A19="","",$F19+30)</f>
        <v>46271.2916666667</v>
      </c>
      <c r="K19" s="1" t="s">
        <v>392</v>
      </c>
      <c r="L19" s="1" t="str">
        <f aca="false">IF(AND(L$3&gt;=$E19,L$3&lt;=$F19),1,"")</f>
        <v/>
      </c>
      <c r="M19" s="1" t="str">
        <f aca="false">IF(AND(M$3&gt;=$E19,M$3&lt;=$F19),1,"")</f>
        <v/>
      </c>
      <c r="N19" s="1" t="str">
        <f aca="false">IF(AND(N$3&gt;=$E19,N$3&lt;=$F19),1,"")</f>
        <v/>
      </c>
      <c r="O19" s="1" t="str">
        <f aca="false">IF(AND(O$3&gt;=$E19,O$3&lt;=$F19),1,"")</f>
        <v/>
      </c>
      <c r="P19" s="1" t="str">
        <f aca="false">IF(AND(P$3&gt;=$E19,P$3&lt;=$F19),1,"")</f>
        <v/>
      </c>
      <c r="Q19" s="1" t="str">
        <f aca="false">IF(AND(Q$3&gt;=$E19,Q$3&lt;=$F19),1,"")</f>
        <v/>
      </c>
      <c r="R19" s="1" t="str">
        <f aca="false">IF(AND(R$3&gt;=$E19,R$3&lt;=$F19),1,"")</f>
        <v/>
      </c>
      <c r="S19" s="1" t="str">
        <f aca="false">IF(AND(S$3&gt;=$E19,S$3&lt;=$F19),1,"")</f>
        <v/>
      </c>
      <c r="T19" s="1" t="str">
        <f aca="false">IF(AND(T$3&gt;=$E19,T$3&lt;=$F19),1,"")</f>
        <v/>
      </c>
      <c r="U19" s="1" t="str">
        <f aca="false">IF(AND(U$3&gt;=$E19,U$3&lt;=$F19),1,"")</f>
        <v/>
      </c>
      <c r="V19" s="1" t="str">
        <f aca="false">IF(AND(V$3&gt;=$E19,V$3&lt;=$F19),1,"")</f>
        <v/>
      </c>
      <c r="W19" s="1" t="str">
        <f aca="false">IF(AND(W$3&gt;=$E19,W$3&lt;=$F19),1,"")</f>
        <v/>
      </c>
      <c r="X19" s="1" t="str">
        <f aca="false">IF(AND(X$3&gt;=$E19,X$3&lt;=$F19),1,"")</f>
        <v/>
      </c>
      <c r="Y19" s="1" t="str">
        <f aca="false">IF(AND(Y$3&gt;=$E19,Y$3&lt;=$F19),1,"")</f>
        <v/>
      </c>
      <c r="Z19" s="1" t="str">
        <f aca="false">IF(AND(Z$3&gt;=$E19,Z$3&lt;=$F19),1,"")</f>
        <v/>
      </c>
      <c r="AA19" s="1" t="str">
        <f aca="false">IF(AND(AA$3&gt;=$E19,AA$3&lt;=$F19),1,"")</f>
        <v/>
      </c>
      <c r="AB19" s="1" t="str">
        <f aca="false">IF(AND(AB$3&gt;=$E19,AB$3&lt;=$F19),1,"")</f>
        <v/>
      </c>
      <c r="AC19" s="1" t="str">
        <f aca="false">IF(AND(AC$3&gt;=$E19,AC$3&lt;=$F19),1,"")</f>
        <v/>
      </c>
      <c r="AD19" s="1" t="str">
        <f aca="false">IF(AND(AD$3&gt;=$E19,AD$3&lt;=$F19),1,"")</f>
        <v/>
      </c>
      <c r="AE19" s="1" t="str">
        <f aca="false">IF(AND(AE$3&gt;=$E19,AE$3&lt;=$F19),1,"")</f>
        <v/>
      </c>
      <c r="AF19" s="1" t="str">
        <f aca="false">IF(AND(AF$3&gt;=$E19,AF$3&lt;=$F19),1,"")</f>
        <v/>
      </c>
      <c r="AG19" s="1" t="str">
        <f aca="false">IF(AND(AG$3&gt;=$E19,AG$3&lt;=$F19),1,"")</f>
        <v/>
      </c>
      <c r="AH19" s="1" t="str">
        <f aca="false">IF(AND(AH$3&gt;=$E19,AH$3&lt;=$F19),1,"")</f>
        <v/>
      </c>
      <c r="AI19" s="1" t="str">
        <f aca="false">IF(AND(AI$3&gt;=$E19,AI$3&lt;=$F19),1,"")</f>
        <v/>
      </c>
      <c r="AJ19" s="1" t="str">
        <f aca="false">IF(AND(AJ$3&gt;=$E19,AJ$3&lt;=$F19),1,"")</f>
        <v/>
      </c>
      <c r="AK19" s="1" t="str">
        <f aca="false">IF(AND(AK$3&gt;=$E19,AK$3&lt;=$F19),1,"")</f>
        <v/>
      </c>
      <c r="AL19" s="1" t="str">
        <f aca="false">IF(AND(AL$3&gt;=$E19,AL$3&lt;=$F19),1,"")</f>
        <v/>
      </c>
      <c r="AM19" s="1" t="str">
        <f aca="false">IF(AND(AM$3&gt;=$E19,AM$3&lt;=$F19),1,"")</f>
        <v/>
      </c>
      <c r="AN19" s="1" t="str">
        <f aca="false">IF(AND(AN$3&gt;=$E19,AN$3&lt;=$F19),1,"")</f>
        <v/>
      </c>
      <c r="AO19" s="1" t="str">
        <f aca="false">IF(AND(AO$3&gt;=$E19,AO$3&lt;=$F19),1,"")</f>
        <v/>
      </c>
      <c r="AP19" s="1" t="str">
        <f aca="false">IF(AND(AP$3&gt;=$E19,AP$3&lt;=$F19),1,"")</f>
        <v/>
      </c>
      <c r="AQ19" s="1" t="str">
        <f aca="false">IF(AND(AQ$3&gt;=$E19,AQ$3&lt;=$F19),1,"")</f>
        <v/>
      </c>
      <c r="AR19" s="1" t="str">
        <f aca="false">IF(AND(AR$3&gt;=$E19,AR$3&lt;=$F19),1,"")</f>
        <v/>
      </c>
      <c r="AS19" s="1" t="str">
        <f aca="false">IF(AND(AS$3&gt;=$E19,AS$3&lt;=$F19),1,"")</f>
        <v/>
      </c>
      <c r="AT19" s="1" t="str">
        <f aca="false">IF(AND(AT$3&gt;=$E19,AT$3&lt;=$F19),1,"")</f>
        <v/>
      </c>
      <c r="AU19" s="1" t="str">
        <f aca="false">IF(AND(AU$3&gt;=$E19,AU$3&lt;=$F19),1,"")</f>
        <v/>
      </c>
      <c r="AV19" s="1" t="str">
        <f aca="false">IF(AND(AV$3&gt;=$E19,AV$3&lt;=$F19),1,"")</f>
        <v/>
      </c>
      <c r="AW19" s="1" t="str">
        <f aca="false">IF(AND(AW$3&gt;=$E19,AW$3&lt;=$F19),1,"")</f>
        <v/>
      </c>
      <c r="AX19" s="1" t="str">
        <f aca="false">IF(AND(AX$3&gt;=$E19,AX$3&lt;=$F19),1,"")</f>
        <v/>
      </c>
      <c r="AY19" s="1" t="str">
        <f aca="false">IF(AND(AY$3&gt;=$E19,AY$3&lt;=$F19),1,"")</f>
        <v/>
      </c>
      <c r="AZ19" s="1" t="str">
        <f aca="false">IF(AND(AZ$3&gt;=$E19,AZ$3&lt;=$F19),1,"")</f>
        <v/>
      </c>
      <c r="BA19" s="1" t="str">
        <f aca="false">IF(AND(BA$3&gt;=$E19,BA$3&lt;=$F19),1,"")</f>
        <v/>
      </c>
      <c r="BB19" s="1" t="str">
        <f aca="false">IF(AND(BB$3&gt;=$E19,BB$3&lt;=$F19),1,"")</f>
        <v/>
      </c>
      <c r="BC19" s="1" t="str">
        <f aca="false">IF(AND(BC$3&gt;=$E19,BC$3&lt;=$F19),1,"")</f>
        <v/>
      </c>
      <c r="BD19" s="1" t="str">
        <f aca="false">IF(AND(BD$3&gt;=$E19,BD$3&lt;=$F19),1,"")</f>
        <v/>
      </c>
      <c r="BE19" s="1" t="str">
        <f aca="false">IF(AND(BE$3&gt;=$E19,BE$3&lt;=$F19),1,"")</f>
        <v/>
      </c>
      <c r="BF19" s="1" t="str">
        <f aca="false">IF(AND(BF$3&gt;=$E19,BF$3&lt;=$F19),1,"")</f>
        <v/>
      </c>
      <c r="BG19" s="1" t="str">
        <f aca="false">IF(AND(BG$3&gt;=$E19,BG$3&lt;=$F19),1,"")</f>
        <v/>
      </c>
      <c r="BH19" s="1" t="str">
        <f aca="false">IF(AND(BH$3&gt;=$E19,BH$3&lt;=$F19),1,"")</f>
        <v/>
      </c>
      <c r="BI19" s="1" t="str">
        <f aca="false">IF(AND(BI$3&gt;=$E19,BI$3&lt;=$F19),1,"")</f>
        <v/>
      </c>
      <c r="BJ19" s="1" t="str">
        <f aca="false">IF(AND(BJ$3&gt;=$E19,BJ$3&lt;=$F19),1,"")</f>
        <v/>
      </c>
      <c r="BK19" s="1" t="str">
        <f aca="false">IF(AND(BK$3&gt;=$E19,BK$3&lt;=$F19),1,"")</f>
        <v/>
      </c>
      <c r="BL19" s="1" t="str">
        <f aca="false">IF(AND(BL$3&gt;=$E19,BL$3&lt;=$F19),1,"")</f>
        <v/>
      </c>
      <c r="BM19" s="1" t="str">
        <f aca="false">IF(AND(BM$3&gt;=$E19,BM$3&lt;=$F19),1,"")</f>
        <v/>
      </c>
      <c r="BN19" s="1" t="n">
        <f aca="false">IF(AND(BN$3&gt;=$E19,BN$3&lt;=$F19),1,"")</f>
        <v>1</v>
      </c>
      <c r="BO19" s="1" t="n">
        <f aca="false">IF(AND(BO$3&gt;=$E19,BO$3&lt;=$F19),1,"")</f>
        <v>1</v>
      </c>
      <c r="BP19" s="1" t="n">
        <f aca="false">IF(AND(BP$3&gt;=$E19,BP$3&lt;=$F19),1,"")</f>
        <v>1</v>
      </c>
      <c r="BQ19" s="1" t="n">
        <f aca="false">IF(AND(BQ$3&gt;=$E19,BQ$3&lt;=$F19),1,"")</f>
        <v>1</v>
      </c>
      <c r="BR19" s="1" t="n">
        <f aca="false">IF(AND(BR$3&gt;=$E19,BR$3&lt;=$F19),1,"")</f>
        <v>1</v>
      </c>
    </row>
    <row r="20" customFormat="false" ht="15" hidden="false" customHeight="true" outlineLevel="0" collapsed="false">
      <c r="A20" s="1" t="s">
        <v>406</v>
      </c>
      <c r="B20" s="1" t="n">
        <v>46</v>
      </c>
      <c r="C20" s="95" t="s">
        <v>383</v>
      </c>
      <c r="D20" s="1" t="n">
        <v>2</v>
      </c>
      <c r="E20" s="89" t="n">
        <v>46143.2916666667</v>
      </c>
      <c r="F20" s="89" t="n">
        <v>46202.2916666667</v>
      </c>
      <c r="G20" s="95" t="s">
        <v>154</v>
      </c>
      <c r="H20" s="1" t="str">
        <f aca="false">IF($A20="","",TEXT($F20,"MMM-YYYY"))</f>
        <v>Jun-2026</v>
      </c>
      <c r="I20" s="95" t="s">
        <v>150</v>
      </c>
      <c r="J20" s="96" t="n">
        <f aca="false">IF($A20="","",$F20+30)</f>
        <v>46232.2916666667</v>
      </c>
      <c r="K20" s="1" t="s">
        <v>148</v>
      </c>
      <c r="L20" s="1" t="str">
        <f aca="false">IF(AND(L$3&gt;=$E20,L$3&lt;=$F20),1,"")</f>
        <v/>
      </c>
      <c r="M20" s="1" t="str">
        <f aca="false">IF(AND(M$3&gt;=$E20,M$3&lt;=$F20),1,"")</f>
        <v/>
      </c>
      <c r="N20" s="1" t="str">
        <f aca="false">IF(AND(N$3&gt;=$E20,N$3&lt;=$F20),1,"")</f>
        <v/>
      </c>
      <c r="O20" s="1" t="str">
        <f aca="false">IF(AND(O$3&gt;=$E20,O$3&lt;=$F20),1,"")</f>
        <v/>
      </c>
      <c r="P20" s="1" t="str">
        <f aca="false">IF(AND(P$3&gt;=$E20,P$3&lt;=$F20),1,"")</f>
        <v/>
      </c>
      <c r="Q20" s="1" t="str">
        <f aca="false">IF(AND(Q$3&gt;=$E20,Q$3&lt;=$F20),1,"")</f>
        <v/>
      </c>
      <c r="R20" s="1" t="str">
        <f aca="false">IF(AND(R$3&gt;=$E20,R$3&lt;=$F20),1,"")</f>
        <v/>
      </c>
      <c r="S20" s="1" t="str">
        <f aca="false">IF(AND(S$3&gt;=$E20,S$3&lt;=$F20),1,"")</f>
        <v/>
      </c>
      <c r="T20" s="1" t="str">
        <f aca="false">IF(AND(T$3&gt;=$E20,T$3&lt;=$F20),1,"")</f>
        <v/>
      </c>
      <c r="U20" s="1" t="str">
        <f aca="false">IF(AND(U$3&gt;=$E20,U$3&lt;=$F20),1,"")</f>
        <v/>
      </c>
      <c r="V20" s="1" t="str">
        <f aca="false">IF(AND(V$3&gt;=$E20,V$3&lt;=$F20),1,"")</f>
        <v/>
      </c>
      <c r="W20" s="1" t="str">
        <f aca="false">IF(AND(W$3&gt;=$E20,W$3&lt;=$F20),1,"")</f>
        <v/>
      </c>
      <c r="X20" s="1" t="str">
        <f aca="false">IF(AND(X$3&gt;=$E20,X$3&lt;=$F20),1,"")</f>
        <v/>
      </c>
      <c r="Y20" s="1" t="str">
        <f aca="false">IF(AND(Y$3&gt;=$E20,Y$3&lt;=$F20),1,"")</f>
        <v/>
      </c>
      <c r="Z20" s="1" t="str">
        <f aca="false">IF(AND(Z$3&gt;=$E20,Z$3&lt;=$F20),1,"")</f>
        <v/>
      </c>
      <c r="AA20" s="1" t="str">
        <f aca="false">IF(AND(AA$3&gt;=$E20,AA$3&lt;=$F20),1,"")</f>
        <v/>
      </c>
      <c r="AB20" s="1" t="str">
        <f aca="false">IF(AND(AB$3&gt;=$E20,AB$3&lt;=$F20),1,"")</f>
        <v/>
      </c>
      <c r="AC20" s="1" t="str">
        <f aca="false">IF(AND(AC$3&gt;=$E20,AC$3&lt;=$F20),1,"")</f>
        <v/>
      </c>
      <c r="AD20" s="1" t="str">
        <f aca="false">IF(AND(AD$3&gt;=$E20,AD$3&lt;=$F20),1,"")</f>
        <v/>
      </c>
      <c r="AE20" s="1" t="str">
        <f aca="false">IF(AND(AE$3&gt;=$E20,AE$3&lt;=$F20),1,"")</f>
        <v/>
      </c>
      <c r="AF20" s="1" t="str">
        <f aca="false">IF(AND(AF$3&gt;=$E20,AF$3&lt;=$F20),1,"")</f>
        <v/>
      </c>
      <c r="AG20" s="1" t="str">
        <f aca="false">IF(AND(AG$3&gt;=$E20,AG$3&lt;=$F20),1,"")</f>
        <v/>
      </c>
      <c r="AH20" s="1" t="str">
        <f aca="false">IF(AND(AH$3&gt;=$E20,AH$3&lt;=$F20),1,"")</f>
        <v/>
      </c>
      <c r="AI20" s="1" t="str">
        <f aca="false">IF(AND(AI$3&gt;=$E20,AI$3&lt;=$F20),1,"")</f>
        <v/>
      </c>
      <c r="AJ20" s="1" t="str">
        <f aca="false">IF(AND(AJ$3&gt;=$E20,AJ$3&lt;=$F20),1,"")</f>
        <v/>
      </c>
      <c r="AK20" s="1" t="str">
        <f aca="false">IF(AND(AK$3&gt;=$E20,AK$3&lt;=$F20),1,"")</f>
        <v/>
      </c>
      <c r="AL20" s="1" t="str">
        <f aca="false">IF(AND(AL$3&gt;=$E20,AL$3&lt;=$F20),1,"")</f>
        <v/>
      </c>
      <c r="AM20" s="1" t="str">
        <f aca="false">IF(AND(AM$3&gt;=$E20,AM$3&lt;=$F20),1,"")</f>
        <v/>
      </c>
      <c r="AN20" s="1" t="str">
        <f aca="false">IF(AND(AN$3&gt;=$E20,AN$3&lt;=$F20),1,"")</f>
        <v/>
      </c>
      <c r="AO20" s="1" t="str">
        <f aca="false">IF(AND(AO$3&gt;=$E20,AO$3&lt;=$F20),1,"")</f>
        <v/>
      </c>
      <c r="AP20" s="1" t="n">
        <f aca="false">IF(AND(AP$3&gt;=$E20,AP$3&lt;=$F20),1,"")</f>
        <v>1</v>
      </c>
      <c r="AQ20" s="1" t="n">
        <f aca="false">IF(AND(AQ$3&gt;=$E20,AQ$3&lt;=$F20),1,"")</f>
        <v>1</v>
      </c>
      <c r="AR20" s="1" t="n">
        <f aca="false">IF(AND(AR$3&gt;=$E20,AR$3&lt;=$F20),1,"")</f>
        <v>1</v>
      </c>
      <c r="AS20" s="1" t="n">
        <f aca="false">IF(AND(AS$3&gt;=$E20,AS$3&lt;=$F20),1,"")</f>
        <v>1</v>
      </c>
      <c r="AT20" s="1" t="n">
        <f aca="false">IF(AND(AT$3&gt;=$E20,AT$3&lt;=$F20),1,"")</f>
        <v>1</v>
      </c>
      <c r="AU20" s="1" t="n">
        <f aca="false">IF(AND(AU$3&gt;=$E20,AU$3&lt;=$F20),1,"")</f>
        <v>1</v>
      </c>
      <c r="AV20" s="1" t="n">
        <f aca="false">IF(AND(AV$3&gt;=$E20,AV$3&lt;=$F20),1,"")</f>
        <v>1</v>
      </c>
      <c r="AW20" s="1" t="n">
        <f aca="false">IF(AND(AW$3&gt;=$E20,AW$3&lt;=$F20),1,"")</f>
        <v>1</v>
      </c>
      <c r="AX20" s="1" t="n">
        <f aca="false">IF(AND(AX$3&gt;=$E20,AX$3&lt;=$F20),1,"")</f>
        <v>1</v>
      </c>
      <c r="AY20" s="1" t="n">
        <f aca="false">IF(AND(AY$3&gt;=$E20,AY$3&lt;=$F20),1,"")</f>
        <v>1</v>
      </c>
      <c r="AZ20" s="1" t="n">
        <f aca="false">IF(AND(AZ$3&gt;=$E20,AZ$3&lt;=$F20),1,"")</f>
        <v>1</v>
      </c>
      <c r="BA20" s="1" t="n">
        <f aca="false">IF(AND(BA$3&gt;=$E20,BA$3&lt;=$F20),1,"")</f>
        <v>1</v>
      </c>
      <c r="BB20" s="1" t="n">
        <f aca="false">IF(AND(BB$3&gt;=$E20,BB$3&lt;=$F20),1,"")</f>
        <v>1</v>
      </c>
      <c r="BC20" s="1" t="n">
        <f aca="false">IF(AND(BC$3&gt;=$E20,BC$3&lt;=$F20),1,"")</f>
        <v>1</v>
      </c>
      <c r="BD20" s="1" t="n">
        <f aca="false">IF(AND(BD$3&gt;=$E20,BD$3&lt;=$F20),1,"")</f>
        <v>1</v>
      </c>
      <c r="BE20" s="1" t="n">
        <f aca="false">IF(AND(BE$3&gt;=$E20,BE$3&lt;=$F20),1,"")</f>
        <v>1</v>
      </c>
      <c r="BF20" s="1" t="n">
        <f aca="false">IF(AND(BF$3&gt;=$E20,BF$3&lt;=$F20),1,"")</f>
        <v>1</v>
      </c>
      <c r="BG20" s="1" t="n">
        <f aca="false">IF(AND(BG$3&gt;=$E20,BG$3&lt;=$F20),1,"")</f>
        <v>1</v>
      </c>
      <c r="BH20" s="1" t="n">
        <f aca="false">IF(AND(BH$3&gt;=$E20,BH$3&lt;=$F20),1,"")</f>
        <v>1</v>
      </c>
      <c r="BI20" s="1" t="n">
        <f aca="false">IF(AND(BI$3&gt;=$E20,BI$3&lt;=$F20),1,"")</f>
        <v>1</v>
      </c>
      <c r="BJ20" s="1" t="n">
        <f aca="false">IF(AND(BJ$3&gt;=$E20,BJ$3&lt;=$F20),1,"")</f>
        <v>1</v>
      </c>
      <c r="BK20" s="1" t="n">
        <f aca="false">IF(AND(BK$3&gt;=$E20,BK$3&lt;=$F20),1,"")</f>
        <v>1</v>
      </c>
      <c r="BL20" s="1" t="n">
        <f aca="false">IF(AND(BL$3&gt;=$E20,BL$3&lt;=$F20),1,"")</f>
        <v>1</v>
      </c>
      <c r="BM20" s="1" t="n">
        <f aca="false">IF(AND(BM$3&gt;=$E20,BM$3&lt;=$F20),1,"")</f>
        <v>1</v>
      </c>
      <c r="BN20" s="1" t="n">
        <f aca="false">IF(AND(BN$3&gt;=$E20,BN$3&lt;=$F20),1,"")</f>
        <v>1</v>
      </c>
      <c r="BO20" s="1" t="n">
        <f aca="false">IF(AND(BO$3&gt;=$E20,BO$3&lt;=$F20),1,"")</f>
        <v>1</v>
      </c>
      <c r="BP20" s="1" t="n">
        <f aca="false">IF(AND(BP$3&gt;=$E20,BP$3&lt;=$F20),1,"")</f>
        <v>1</v>
      </c>
      <c r="BQ20" s="1" t="n">
        <f aca="false">IF(AND(BQ$3&gt;=$E20,BQ$3&lt;=$F20),1,"")</f>
        <v>1</v>
      </c>
      <c r="BR20" s="1" t="n">
        <f aca="false">IF(AND(BR$3&gt;=$E20,BR$3&lt;=$F20),1,"")</f>
        <v>1</v>
      </c>
    </row>
    <row r="21" customFormat="false" ht="15" hidden="false" customHeight="true" outlineLevel="0" collapsed="false">
      <c r="A21" s="1" t="s">
        <v>407</v>
      </c>
      <c r="B21" s="1" t="n">
        <v>63</v>
      </c>
      <c r="C21" s="95" t="s">
        <v>386</v>
      </c>
      <c r="D21" s="1" t="n">
        <v>3</v>
      </c>
      <c r="E21" s="89" t="n">
        <v>46184.2916666667</v>
      </c>
      <c r="F21" s="89" t="n">
        <v>46198.2916666667</v>
      </c>
      <c r="G21" s="95" t="s">
        <v>146</v>
      </c>
      <c r="H21" s="1" t="str">
        <f aca="false">IF($A21="","",TEXT($F21,"MMM-YYYY"))</f>
        <v>Jun-2026</v>
      </c>
      <c r="I21" s="95" t="s">
        <v>157</v>
      </c>
      <c r="J21" s="96" t="n">
        <f aca="false">IF($A21="","",$F21+30)</f>
        <v>46228.2916666667</v>
      </c>
      <c r="K21" s="1" t="s">
        <v>155</v>
      </c>
      <c r="L21" s="1" t="str">
        <f aca="false">IF(AND(L$3&gt;=$E21,L$3&lt;=$F21),1,"")</f>
        <v/>
      </c>
      <c r="M21" s="1" t="str">
        <f aca="false">IF(AND(M$3&gt;=$E21,M$3&lt;=$F21),1,"")</f>
        <v/>
      </c>
      <c r="N21" s="1" t="str">
        <f aca="false">IF(AND(N$3&gt;=$E21,N$3&lt;=$F21),1,"")</f>
        <v/>
      </c>
      <c r="O21" s="1" t="str">
        <f aca="false">IF(AND(O$3&gt;=$E21,O$3&lt;=$F21),1,"")</f>
        <v/>
      </c>
      <c r="P21" s="1" t="str">
        <f aca="false">IF(AND(P$3&gt;=$E21,P$3&lt;=$F21),1,"")</f>
        <v/>
      </c>
      <c r="Q21" s="1" t="str">
        <f aca="false">IF(AND(Q$3&gt;=$E21,Q$3&lt;=$F21),1,"")</f>
        <v/>
      </c>
      <c r="R21" s="1" t="str">
        <f aca="false">IF(AND(R$3&gt;=$E21,R$3&lt;=$F21),1,"")</f>
        <v/>
      </c>
      <c r="S21" s="1" t="str">
        <f aca="false">IF(AND(S$3&gt;=$E21,S$3&lt;=$F21),1,"")</f>
        <v/>
      </c>
      <c r="T21" s="1" t="str">
        <f aca="false">IF(AND(T$3&gt;=$E21,T$3&lt;=$F21),1,"")</f>
        <v/>
      </c>
      <c r="U21" s="1" t="str">
        <f aca="false">IF(AND(U$3&gt;=$E21,U$3&lt;=$F21),1,"")</f>
        <v/>
      </c>
      <c r="V21" s="1" t="str">
        <f aca="false">IF(AND(V$3&gt;=$E21,V$3&lt;=$F21),1,"")</f>
        <v/>
      </c>
      <c r="W21" s="1" t="str">
        <f aca="false">IF(AND(W$3&gt;=$E21,W$3&lt;=$F21),1,"")</f>
        <v/>
      </c>
      <c r="X21" s="1" t="str">
        <f aca="false">IF(AND(X$3&gt;=$E21,X$3&lt;=$F21),1,"")</f>
        <v/>
      </c>
      <c r="Y21" s="1" t="str">
        <f aca="false">IF(AND(Y$3&gt;=$E21,Y$3&lt;=$F21),1,"")</f>
        <v/>
      </c>
      <c r="Z21" s="1" t="str">
        <f aca="false">IF(AND(Z$3&gt;=$E21,Z$3&lt;=$F21),1,"")</f>
        <v/>
      </c>
      <c r="AA21" s="1" t="str">
        <f aca="false">IF(AND(AA$3&gt;=$E21,AA$3&lt;=$F21),1,"")</f>
        <v/>
      </c>
      <c r="AB21" s="1" t="str">
        <f aca="false">IF(AND(AB$3&gt;=$E21,AB$3&lt;=$F21),1,"")</f>
        <v/>
      </c>
      <c r="AC21" s="1" t="str">
        <f aca="false">IF(AND(AC$3&gt;=$E21,AC$3&lt;=$F21),1,"")</f>
        <v/>
      </c>
      <c r="AD21" s="1" t="str">
        <f aca="false">IF(AND(AD$3&gt;=$E21,AD$3&lt;=$F21),1,"")</f>
        <v/>
      </c>
      <c r="AE21" s="1" t="str">
        <f aca="false">IF(AND(AE$3&gt;=$E21,AE$3&lt;=$F21),1,"")</f>
        <v/>
      </c>
      <c r="AF21" s="1" t="str">
        <f aca="false">IF(AND(AF$3&gt;=$E21,AF$3&lt;=$F21),1,"")</f>
        <v/>
      </c>
      <c r="AG21" s="1" t="str">
        <f aca="false">IF(AND(AG$3&gt;=$E21,AG$3&lt;=$F21),1,"")</f>
        <v/>
      </c>
      <c r="AH21" s="1" t="str">
        <f aca="false">IF(AND(AH$3&gt;=$E21,AH$3&lt;=$F21),1,"")</f>
        <v/>
      </c>
      <c r="AI21" s="1" t="str">
        <f aca="false">IF(AND(AI$3&gt;=$E21,AI$3&lt;=$F21),1,"")</f>
        <v/>
      </c>
      <c r="AJ21" s="1" t="str">
        <f aca="false">IF(AND(AJ$3&gt;=$E21,AJ$3&lt;=$F21),1,"")</f>
        <v/>
      </c>
      <c r="AK21" s="1" t="str">
        <f aca="false">IF(AND(AK$3&gt;=$E21,AK$3&lt;=$F21),1,"")</f>
        <v/>
      </c>
      <c r="AL21" s="1" t="str">
        <f aca="false">IF(AND(AL$3&gt;=$E21,AL$3&lt;=$F21),1,"")</f>
        <v/>
      </c>
      <c r="AM21" s="1" t="str">
        <f aca="false">IF(AND(AM$3&gt;=$E21,AM$3&lt;=$F21),1,"")</f>
        <v/>
      </c>
      <c r="AN21" s="1" t="str">
        <f aca="false">IF(AND(AN$3&gt;=$E21,AN$3&lt;=$F21),1,"")</f>
        <v/>
      </c>
      <c r="AO21" s="1" t="str">
        <f aca="false">IF(AND(AO$3&gt;=$E21,AO$3&lt;=$F21),1,"")</f>
        <v/>
      </c>
      <c r="AP21" s="1" t="str">
        <f aca="false">IF(AND(AP$3&gt;=$E21,AP$3&lt;=$F21),1,"")</f>
        <v/>
      </c>
      <c r="AQ21" s="1" t="str">
        <f aca="false">IF(AND(AQ$3&gt;=$E21,AQ$3&lt;=$F21),1,"")</f>
        <v/>
      </c>
      <c r="AR21" s="1" t="str">
        <f aca="false">IF(AND(AR$3&gt;=$E21,AR$3&lt;=$F21),1,"")</f>
        <v/>
      </c>
      <c r="AS21" s="1" t="str">
        <f aca="false">IF(AND(AS$3&gt;=$E21,AS$3&lt;=$F21),1,"")</f>
        <v/>
      </c>
      <c r="AT21" s="1" t="str">
        <f aca="false">IF(AND(AT$3&gt;=$E21,AT$3&lt;=$F21),1,"")</f>
        <v/>
      </c>
      <c r="AU21" s="1" t="str">
        <f aca="false">IF(AND(AU$3&gt;=$E21,AU$3&lt;=$F21),1,"")</f>
        <v/>
      </c>
      <c r="AV21" s="1" t="str">
        <f aca="false">IF(AND(AV$3&gt;=$E21,AV$3&lt;=$F21),1,"")</f>
        <v/>
      </c>
      <c r="AW21" s="1" t="str">
        <f aca="false">IF(AND(AW$3&gt;=$E21,AW$3&lt;=$F21),1,"")</f>
        <v/>
      </c>
      <c r="AX21" s="1" t="str">
        <f aca="false">IF(AND(AX$3&gt;=$E21,AX$3&lt;=$F21),1,"")</f>
        <v/>
      </c>
      <c r="AY21" s="1" t="str">
        <f aca="false">IF(AND(AY$3&gt;=$E21,AY$3&lt;=$F21),1,"")</f>
        <v/>
      </c>
      <c r="AZ21" s="1" t="str">
        <f aca="false">IF(AND(AZ$3&gt;=$E21,AZ$3&lt;=$F21),1,"")</f>
        <v/>
      </c>
      <c r="BA21" s="1" t="str">
        <f aca="false">IF(AND(BA$3&gt;=$E21,BA$3&lt;=$F21),1,"")</f>
        <v/>
      </c>
      <c r="BB21" s="1" t="str">
        <f aca="false">IF(AND(BB$3&gt;=$E21,BB$3&lt;=$F21),1,"")</f>
        <v/>
      </c>
      <c r="BC21" s="1" t="str">
        <f aca="false">IF(AND(BC$3&gt;=$E21,BC$3&lt;=$F21),1,"")</f>
        <v/>
      </c>
      <c r="BD21" s="1" t="str">
        <f aca="false">IF(AND(BD$3&gt;=$E21,BD$3&lt;=$F21),1,"")</f>
        <v/>
      </c>
      <c r="BE21" s="1" t="str">
        <f aca="false">IF(AND(BE$3&gt;=$E21,BE$3&lt;=$F21),1,"")</f>
        <v/>
      </c>
      <c r="BF21" s="1" t="str">
        <f aca="false">IF(AND(BF$3&gt;=$E21,BF$3&lt;=$F21),1,"")</f>
        <v/>
      </c>
      <c r="BG21" s="1" t="str">
        <f aca="false">IF(AND(BG$3&gt;=$E21,BG$3&lt;=$F21),1,"")</f>
        <v/>
      </c>
      <c r="BH21" s="1" t="str">
        <f aca="false">IF(AND(BH$3&gt;=$E21,BH$3&lt;=$F21),1,"")</f>
        <v/>
      </c>
      <c r="BI21" s="1" t="str">
        <f aca="false">IF(AND(BI$3&gt;=$E21,BI$3&lt;=$F21),1,"")</f>
        <v/>
      </c>
      <c r="BJ21" s="1" t="str">
        <f aca="false">IF(AND(BJ$3&gt;=$E21,BJ$3&lt;=$F21),1,"")</f>
        <v/>
      </c>
      <c r="BK21" s="1" t="str">
        <f aca="false">IF(AND(BK$3&gt;=$E21,BK$3&lt;=$F21),1,"")</f>
        <v/>
      </c>
      <c r="BL21" s="1" t="str">
        <f aca="false">IF(AND(BL$3&gt;=$E21,BL$3&lt;=$F21),1,"")</f>
        <v/>
      </c>
      <c r="BM21" s="1" t="str">
        <f aca="false">IF(AND(BM$3&gt;=$E21,BM$3&lt;=$F21),1,"")</f>
        <v/>
      </c>
      <c r="BN21" s="1" t="str">
        <f aca="false">IF(AND(BN$3&gt;=$E21,BN$3&lt;=$F21),1,"")</f>
        <v/>
      </c>
      <c r="BO21" s="1" t="str">
        <f aca="false">IF(AND(BO$3&gt;=$E21,BO$3&lt;=$F21),1,"")</f>
        <v/>
      </c>
      <c r="BP21" s="1" t="str">
        <f aca="false">IF(AND(BP$3&gt;=$E21,BP$3&lt;=$F21),1,"")</f>
        <v/>
      </c>
      <c r="BQ21" s="1" t="str">
        <f aca="false">IF(AND(BQ$3&gt;=$E21,BQ$3&lt;=$F21),1,"")</f>
        <v/>
      </c>
      <c r="BR21" s="1" t="str">
        <f aca="false">IF(AND(BR$3&gt;=$E21,BR$3&lt;=$F21),1,"")</f>
        <v/>
      </c>
    </row>
    <row r="22" customFormat="false" ht="15" hidden="false" customHeight="true" outlineLevel="0" collapsed="false">
      <c r="A22" s="1" t="s">
        <v>408</v>
      </c>
      <c r="B22" s="1" t="n">
        <v>9</v>
      </c>
      <c r="C22" s="95" t="s">
        <v>398</v>
      </c>
      <c r="D22" s="1" t="n">
        <v>2</v>
      </c>
      <c r="E22" s="89" t="n">
        <v>46175.2916666667</v>
      </c>
      <c r="F22" s="89" t="n">
        <v>46230.2916666667</v>
      </c>
      <c r="G22" s="95" t="s">
        <v>154</v>
      </c>
      <c r="H22" s="1" t="str">
        <f aca="false">IF($A22="","",TEXT($F22,"MMM-YYYY"))</f>
        <v>Jul-2026</v>
      </c>
      <c r="I22" s="95" t="s">
        <v>157</v>
      </c>
      <c r="J22" s="96" t="n">
        <f aca="false">IF($A22="","",$F22+30)</f>
        <v>46260.2916666667</v>
      </c>
      <c r="K22" s="1" t="s">
        <v>151</v>
      </c>
      <c r="L22" s="1" t="str">
        <f aca="false">IF(AND(L$3&gt;=$E22,L$3&lt;=$F22),1,"")</f>
        <v/>
      </c>
      <c r="M22" s="1" t="str">
        <f aca="false">IF(AND(M$3&gt;=$E22,M$3&lt;=$F22),1,"")</f>
        <v/>
      </c>
      <c r="N22" s="1" t="str">
        <f aca="false">IF(AND(N$3&gt;=$E22,N$3&lt;=$F22),1,"")</f>
        <v/>
      </c>
      <c r="O22" s="1" t="str">
        <f aca="false">IF(AND(O$3&gt;=$E22,O$3&lt;=$F22),1,"")</f>
        <v/>
      </c>
      <c r="P22" s="1" t="str">
        <f aca="false">IF(AND(P$3&gt;=$E22,P$3&lt;=$F22),1,"")</f>
        <v/>
      </c>
      <c r="Q22" s="1" t="str">
        <f aca="false">IF(AND(Q$3&gt;=$E22,Q$3&lt;=$F22),1,"")</f>
        <v/>
      </c>
      <c r="R22" s="1" t="str">
        <f aca="false">IF(AND(R$3&gt;=$E22,R$3&lt;=$F22),1,"")</f>
        <v/>
      </c>
      <c r="S22" s="1" t="str">
        <f aca="false">IF(AND(S$3&gt;=$E22,S$3&lt;=$F22),1,"")</f>
        <v/>
      </c>
      <c r="T22" s="1" t="str">
        <f aca="false">IF(AND(T$3&gt;=$E22,T$3&lt;=$F22),1,"")</f>
        <v/>
      </c>
      <c r="U22" s="1" t="str">
        <f aca="false">IF(AND(U$3&gt;=$E22,U$3&lt;=$F22),1,"")</f>
        <v/>
      </c>
      <c r="V22" s="1" t="str">
        <f aca="false">IF(AND(V$3&gt;=$E22,V$3&lt;=$F22),1,"")</f>
        <v/>
      </c>
      <c r="W22" s="1" t="str">
        <f aca="false">IF(AND(W$3&gt;=$E22,W$3&lt;=$F22),1,"")</f>
        <v/>
      </c>
      <c r="X22" s="1" t="str">
        <f aca="false">IF(AND(X$3&gt;=$E22,X$3&lt;=$F22),1,"")</f>
        <v/>
      </c>
      <c r="Y22" s="1" t="str">
        <f aca="false">IF(AND(Y$3&gt;=$E22,Y$3&lt;=$F22),1,"")</f>
        <v/>
      </c>
      <c r="Z22" s="1" t="str">
        <f aca="false">IF(AND(Z$3&gt;=$E22,Z$3&lt;=$F22),1,"")</f>
        <v/>
      </c>
      <c r="AA22" s="1" t="str">
        <f aca="false">IF(AND(AA$3&gt;=$E22,AA$3&lt;=$F22),1,"")</f>
        <v/>
      </c>
      <c r="AB22" s="1" t="str">
        <f aca="false">IF(AND(AB$3&gt;=$E22,AB$3&lt;=$F22),1,"")</f>
        <v/>
      </c>
      <c r="AC22" s="1" t="str">
        <f aca="false">IF(AND(AC$3&gt;=$E22,AC$3&lt;=$F22),1,"")</f>
        <v/>
      </c>
      <c r="AD22" s="1" t="str">
        <f aca="false">IF(AND(AD$3&gt;=$E22,AD$3&lt;=$F22),1,"")</f>
        <v/>
      </c>
      <c r="AE22" s="1" t="str">
        <f aca="false">IF(AND(AE$3&gt;=$E22,AE$3&lt;=$F22),1,"")</f>
        <v/>
      </c>
      <c r="AF22" s="1" t="str">
        <f aca="false">IF(AND(AF$3&gt;=$E22,AF$3&lt;=$F22),1,"")</f>
        <v/>
      </c>
      <c r="AG22" s="1" t="str">
        <f aca="false">IF(AND(AG$3&gt;=$E22,AG$3&lt;=$F22),1,"")</f>
        <v/>
      </c>
      <c r="AH22" s="1" t="str">
        <f aca="false">IF(AND(AH$3&gt;=$E22,AH$3&lt;=$F22),1,"")</f>
        <v/>
      </c>
      <c r="AI22" s="1" t="str">
        <f aca="false">IF(AND(AI$3&gt;=$E22,AI$3&lt;=$F22),1,"")</f>
        <v/>
      </c>
      <c r="AJ22" s="1" t="str">
        <f aca="false">IF(AND(AJ$3&gt;=$E22,AJ$3&lt;=$F22),1,"")</f>
        <v/>
      </c>
      <c r="AK22" s="1" t="str">
        <f aca="false">IF(AND(AK$3&gt;=$E22,AK$3&lt;=$F22),1,"")</f>
        <v/>
      </c>
      <c r="AL22" s="1" t="str">
        <f aca="false">IF(AND(AL$3&gt;=$E22,AL$3&lt;=$F22),1,"")</f>
        <v/>
      </c>
      <c r="AM22" s="1" t="str">
        <f aca="false">IF(AND(AM$3&gt;=$E22,AM$3&lt;=$F22),1,"")</f>
        <v/>
      </c>
      <c r="AN22" s="1" t="str">
        <f aca="false">IF(AND(AN$3&gt;=$E22,AN$3&lt;=$F22),1,"")</f>
        <v/>
      </c>
      <c r="AO22" s="1" t="str">
        <f aca="false">IF(AND(AO$3&gt;=$E22,AO$3&lt;=$F22),1,"")</f>
        <v/>
      </c>
      <c r="AP22" s="1" t="str">
        <f aca="false">IF(AND(AP$3&gt;=$E22,AP$3&lt;=$F22),1,"")</f>
        <v/>
      </c>
      <c r="AQ22" s="1" t="str">
        <f aca="false">IF(AND(AQ$3&gt;=$E22,AQ$3&lt;=$F22),1,"")</f>
        <v/>
      </c>
      <c r="AR22" s="1" t="str">
        <f aca="false">IF(AND(AR$3&gt;=$E22,AR$3&lt;=$F22),1,"")</f>
        <v/>
      </c>
      <c r="AS22" s="1" t="str">
        <f aca="false">IF(AND(AS$3&gt;=$E22,AS$3&lt;=$F22),1,"")</f>
        <v/>
      </c>
      <c r="AT22" s="1" t="str">
        <f aca="false">IF(AND(AT$3&gt;=$E22,AT$3&lt;=$F22),1,"")</f>
        <v/>
      </c>
      <c r="AU22" s="1" t="str">
        <f aca="false">IF(AND(AU$3&gt;=$E22,AU$3&lt;=$F22),1,"")</f>
        <v/>
      </c>
      <c r="AV22" s="1" t="str">
        <f aca="false">IF(AND(AV$3&gt;=$E22,AV$3&lt;=$F22),1,"")</f>
        <v/>
      </c>
      <c r="AW22" s="1" t="str">
        <f aca="false">IF(AND(AW$3&gt;=$E22,AW$3&lt;=$F22),1,"")</f>
        <v/>
      </c>
      <c r="AX22" s="1" t="str">
        <f aca="false">IF(AND(AX$3&gt;=$E22,AX$3&lt;=$F22),1,"")</f>
        <v/>
      </c>
      <c r="AY22" s="1" t="str">
        <f aca="false">IF(AND(AY$3&gt;=$E22,AY$3&lt;=$F22),1,"")</f>
        <v/>
      </c>
      <c r="AZ22" s="1" t="str">
        <f aca="false">IF(AND(AZ$3&gt;=$E22,AZ$3&lt;=$F22),1,"")</f>
        <v/>
      </c>
      <c r="BA22" s="1" t="str">
        <f aca="false">IF(AND(BA$3&gt;=$E22,BA$3&lt;=$F22),1,"")</f>
        <v/>
      </c>
      <c r="BB22" s="1" t="str">
        <f aca="false">IF(AND(BB$3&gt;=$E22,BB$3&lt;=$F22),1,"")</f>
        <v/>
      </c>
      <c r="BC22" s="1" t="str">
        <f aca="false">IF(AND(BC$3&gt;=$E22,BC$3&lt;=$F22),1,"")</f>
        <v/>
      </c>
      <c r="BD22" s="1" t="str">
        <f aca="false">IF(AND(BD$3&gt;=$E22,BD$3&lt;=$F22),1,"")</f>
        <v/>
      </c>
      <c r="BE22" s="1" t="str">
        <f aca="false">IF(AND(BE$3&gt;=$E22,BE$3&lt;=$F22),1,"")</f>
        <v/>
      </c>
      <c r="BF22" s="1" t="str">
        <f aca="false">IF(AND(BF$3&gt;=$E22,BF$3&lt;=$F22),1,"")</f>
        <v/>
      </c>
      <c r="BG22" s="1" t="str">
        <f aca="false">IF(AND(BG$3&gt;=$E22,BG$3&lt;=$F22),1,"")</f>
        <v/>
      </c>
      <c r="BH22" s="1" t="str">
        <f aca="false">IF(AND(BH$3&gt;=$E22,BH$3&lt;=$F22),1,"")</f>
        <v/>
      </c>
      <c r="BI22" s="1" t="str">
        <f aca="false">IF(AND(BI$3&gt;=$E22,BI$3&lt;=$F22),1,"")</f>
        <v/>
      </c>
      <c r="BJ22" s="1" t="str">
        <f aca="false">IF(AND(BJ$3&gt;=$E22,BJ$3&lt;=$F22),1,"")</f>
        <v/>
      </c>
      <c r="BK22" s="1" t="str">
        <f aca="false">IF(AND(BK$3&gt;=$E22,BK$3&lt;=$F22),1,"")</f>
        <v/>
      </c>
      <c r="BL22" s="1" t="str">
        <f aca="false">IF(AND(BL$3&gt;=$E22,BL$3&lt;=$F22),1,"")</f>
        <v/>
      </c>
      <c r="BM22" s="1" t="str">
        <f aca="false">IF(AND(BM$3&gt;=$E22,BM$3&lt;=$F22),1,"")</f>
        <v/>
      </c>
      <c r="BN22" s="1" t="str">
        <f aca="false">IF(AND(BN$3&gt;=$E22,BN$3&lt;=$F22),1,"")</f>
        <v/>
      </c>
      <c r="BO22" s="1" t="str">
        <f aca="false">IF(AND(BO$3&gt;=$E22,BO$3&lt;=$F22),1,"")</f>
        <v/>
      </c>
      <c r="BP22" s="1" t="str">
        <f aca="false">IF(AND(BP$3&gt;=$E22,BP$3&lt;=$F22),1,"")</f>
        <v/>
      </c>
      <c r="BQ22" s="1" t="str">
        <f aca="false">IF(AND(BQ$3&gt;=$E22,BQ$3&lt;=$F22),1,"")</f>
        <v/>
      </c>
      <c r="BR22" s="1" t="str">
        <f aca="false">IF(AND(BR$3&gt;=$E22,BR$3&lt;=$F22),1,"")</f>
        <v/>
      </c>
    </row>
    <row r="23" customFormat="false" ht="15" hidden="false" customHeight="true" outlineLevel="0" collapsed="false">
      <c r="A23" s="1" t="s">
        <v>409</v>
      </c>
      <c r="B23" s="1" t="n">
        <v>34</v>
      </c>
      <c r="C23" s="95" t="s">
        <v>401</v>
      </c>
      <c r="D23" s="1" t="n">
        <v>4</v>
      </c>
      <c r="E23" s="89" t="n">
        <v>46147.2916666667</v>
      </c>
      <c r="F23" s="89" t="n">
        <v>46223.2916666667</v>
      </c>
      <c r="G23" s="95" t="s">
        <v>146</v>
      </c>
      <c r="H23" s="1" t="str">
        <f aca="false">IF($A23="","",TEXT($F23,"MMM-YYYY"))</f>
        <v>Jul-2026</v>
      </c>
      <c r="I23" s="95" t="s">
        <v>157</v>
      </c>
      <c r="J23" s="96" t="n">
        <f aca="false">IF($A23="","",$F23+30)</f>
        <v>46253.2916666667</v>
      </c>
      <c r="K23" s="1" t="s">
        <v>159</v>
      </c>
      <c r="L23" s="1" t="str">
        <f aca="false">IF(AND(L$3&gt;=$E23,L$3&lt;=$F23),1,"")</f>
        <v/>
      </c>
      <c r="M23" s="1" t="str">
        <f aca="false">IF(AND(M$3&gt;=$E23,M$3&lt;=$F23),1,"")</f>
        <v/>
      </c>
      <c r="N23" s="1" t="str">
        <f aca="false">IF(AND(N$3&gt;=$E23,N$3&lt;=$F23),1,"")</f>
        <v/>
      </c>
      <c r="O23" s="1" t="str">
        <f aca="false">IF(AND(O$3&gt;=$E23,O$3&lt;=$F23),1,"")</f>
        <v/>
      </c>
      <c r="P23" s="1" t="str">
        <f aca="false">IF(AND(P$3&gt;=$E23,P$3&lt;=$F23),1,"")</f>
        <v/>
      </c>
      <c r="Q23" s="1" t="str">
        <f aca="false">IF(AND(Q$3&gt;=$E23,Q$3&lt;=$F23),1,"")</f>
        <v/>
      </c>
      <c r="R23" s="1" t="str">
        <f aca="false">IF(AND(R$3&gt;=$E23,R$3&lt;=$F23),1,"")</f>
        <v/>
      </c>
      <c r="S23" s="1" t="str">
        <f aca="false">IF(AND(S$3&gt;=$E23,S$3&lt;=$F23),1,"")</f>
        <v/>
      </c>
      <c r="T23" s="1" t="str">
        <f aca="false">IF(AND(T$3&gt;=$E23,T$3&lt;=$F23),1,"")</f>
        <v/>
      </c>
      <c r="U23" s="1" t="str">
        <f aca="false">IF(AND(U$3&gt;=$E23,U$3&lt;=$F23),1,"")</f>
        <v/>
      </c>
      <c r="V23" s="1" t="str">
        <f aca="false">IF(AND(V$3&gt;=$E23,V$3&lt;=$F23),1,"")</f>
        <v/>
      </c>
      <c r="W23" s="1" t="str">
        <f aca="false">IF(AND(W$3&gt;=$E23,W$3&lt;=$F23),1,"")</f>
        <v/>
      </c>
      <c r="X23" s="1" t="str">
        <f aca="false">IF(AND(X$3&gt;=$E23,X$3&lt;=$F23),1,"")</f>
        <v/>
      </c>
      <c r="Y23" s="1" t="str">
        <f aca="false">IF(AND(Y$3&gt;=$E23,Y$3&lt;=$F23),1,"")</f>
        <v/>
      </c>
      <c r="Z23" s="1" t="str">
        <f aca="false">IF(AND(Z$3&gt;=$E23,Z$3&lt;=$F23),1,"")</f>
        <v/>
      </c>
      <c r="AA23" s="1" t="str">
        <f aca="false">IF(AND(AA$3&gt;=$E23,AA$3&lt;=$F23),1,"")</f>
        <v/>
      </c>
      <c r="AB23" s="1" t="str">
        <f aca="false">IF(AND(AB$3&gt;=$E23,AB$3&lt;=$F23),1,"")</f>
        <v/>
      </c>
      <c r="AC23" s="1" t="str">
        <f aca="false">IF(AND(AC$3&gt;=$E23,AC$3&lt;=$F23),1,"")</f>
        <v/>
      </c>
      <c r="AD23" s="1" t="str">
        <f aca="false">IF(AND(AD$3&gt;=$E23,AD$3&lt;=$F23),1,"")</f>
        <v/>
      </c>
      <c r="AE23" s="1" t="str">
        <f aca="false">IF(AND(AE$3&gt;=$E23,AE$3&lt;=$F23),1,"")</f>
        <v/>
      </c>
      <c r="AF23" s="1" t="str">
        <f aca="false">IF(AND(AF$3&gt;=$E23,AF$3&lt;=$F23),1,"")</f>
        <v/>
      </c>
      <c r="AG23" s="1" t="str">
        <f aca="false">IF(AND(AG$3&gt;=$E23,AG$3&lt;=$F23),1,"")</f>
        <v/>
      </c>
      <c r="AH23" s="1" t="str">
        <f aca="false">IF(AND(AH$3&gt;=$E23,AH$3&lt;=$F23),1,"")</f>
        <v/>
      </c>
      <c r="AI23" s="1" t="str">
        <f aca="false">IF(AND(AI$3&gt;=$E23,AI$3&lt;=$F23),1,"")</f>
        <v/>
      </c>
      <c r="AJ23" s="1" t="str">
        <f aca="false">IF(AND(AJ$3&gt;=$E23,AJ$3&lt;=$F23),1,"")</f>
        <v/>
      </c>
      <c r="AK23" s="1" t="str">
        <f aca="false">IF(AND(AK$3&gt;=$E23,AK$3&lt;=$F23),1,"")</f>
        <v/>
      </c>
      <c r="AL23" s="1" t="str">
        <f aca="false">IF(AND(AL$3&gt;=$E23,AL$3&lt;=$F23),1,"")</f>
        <v/>
      </c>
      <c r="AM23" s="1" t="str">
        <f aca="false">IF(AND(AM$3&gt;=$E23,AM$3&lt;=$F23),1,"")</f>
        <v/>
      </c>
      <c r="AN23" s="1" t="str">
        <f aca="false">IF(AND(AN$3&gt;=$E23,AN$3&lt;=$F23),1,"")</f>
        <v/>
      </c>
      <c r="AO23" s="1" t="str">
        <f aca="false">IF(AND(AO$3&gt;=$E23,AO$3&lt;=$F23),1,"")</f>
        <v/>
      </c>
      <c r="AP23" s="1" t="str">
        <f aca="false">IF(AND(AP$3&gt;=$E23,AP$3&lt;=$F23),1,"")</f>
        <v/>
      </c>
      <c r="AQ23" s="1" t="str">
        <f aca="false">IF(AND(AQ$3&gt;=$E23,AQ$3&lt;=$F23),1,"")</f>
        <v/>
      </c>
      <c r="AR23" s="1" t="str">
        <f aca="false">IF(AND(AR$3&gt;=$E23,AR$3&lt;=$F23),1,"")</f>
        <v/>
      </c>
      <c r="AS23" s="1" t="str">
        <f aca="false">IF(AND(AS$3&gt;=$E23,AS$3&lt;=$F23),1,"")</f>
        <v/>
      </c>
      <c r="AT23" s="1" t="n">
        <f aca="false">IF(AND(AT$3&gt;=$E23,AT$3&lt;=$F23),1,"")</f>
        <v>1</v>
      </c>
      <c r="AU23" s="1" t="n">
        <f aca="false">IF(AND(AU$3&gt;=$E23,AU$3&lt;=$F23),1,"")</f>
        <v>1</v>
      </c>
      <c r="AV23" s="1" t="n">
        <f aca="false">IF(AND(AV$3&gt;=$E23,AV$3&lt;=$F23),1,"")</f>
        <v>1</v>
      </c>
      <c r="AW23" s="1" t="n">
        <f aca="false">IF(AND(AW$3&gt;=$E23,AW$3&lt;=$F23),1,"")</f>
        <v>1</v>
      </c>
      <c r="AX23" s="1" t="n">
        <f aca="false">IF(AND(AX$3&gt;=$E23,AX$3&lt;=$F23),1,"")</f>
        <v>1</v>
      </c>
      <c r="AY23" s="1" t="n">
        <f aca="false">IF(AND(AY$3&gt;=$E23,AY$3&lt;=$F23),1,"")</f>
        <v>1</v>
      </c>
      <c r="AZ23" s="1" t="n">
        <f aca="false">IF(AND(AZ$3&gt;=$E23,AZ$3&lt;=$F23),1,"")</f>
        <v>1</v>
      </c>
      <c r="BA23" s="1" t="n">
        <f aca="false">IF(AND(BA$3&gt;=$E23,BA$3&lt;=$F23),1,"")</f>
        <v>1</v>
      </c>
      <c r="BB23" s="1" t="n">
        <f aca="false">IF(AND(BB$3&gt;=$E23,BB$3&lt;=$F23),1,"")</f>
        <v>1</v>
      </c>
      <c r="BC23" s="1" t="n">
        <f aca="false">IF(AND(BC$3&gt;=$E23,BC$3&lt;=$F23),1,"")</f>
        <v>1</v>
      </c>
      <c r="BD23" s="1" t="n">
        <f aca="false">IF(AND(BD$3&gt;=$E23,BD$3&lt;=$F23),1,"")</f>
        <v>1</v>
      </c>
      <c r="BE23" s="1" t="n">
        <f aca="false">IF(AND(BE$3&gt;=$E23,BE$3&lt;=$F23),1,"")</f>
        <v>1</v>
      </c>
      <c r="BF23" s="1" t="n">
        <f aca="false">IF(AND(BF$3&gt;=$E23,BF$3&lt;=$F23),1,"")</f>
        <v>1</v>
      </c>
      <c r="BG23" s="1" t="n">
        <f aca="false">IF(AND(BG$3&gt;=$E23,BG$3&lt;=$F23),1,"")</f>
        <v>1</v>
      </c>
      <c r="BH23" s="1" t="n">
        <f aca="false">IF(AND(BH$3&gt;=$E23,BH$3&lt;=$F23),1,"")</f>
        <v>1</v>
      </c>
      <c r="BI23" s="1" t="n">
        <f aca="false">IF(AND(BI$3&gt;=$E23,BI$3&lt;=$F23),1,"")</f>
        <v>1</v>
      </c>
      <c r="BJ23" s="1" t="n">
        <f aca="false">IF(AND(BJ$3&gt;=$E23,BJ$3&lt;=$F23),1,"")</f>
        <v>1</v>
      </c>
      <c r="BK23" s="1" t="n">
        <f aca="false">IF(AND(BK$3&gt;=$E23,BK$3&lt;=$F23),1,"")</f>
        <v>1</v>
      </c>
      <c r="BL23" s="1" t="n">
        <f aca="false">IF(AND(BL$3&gt;=$E23,BL$3&lt;=$F23),1,"")</f>
        <v>1</v>
      </c>
      <c r="BM23" s="1" t="n">
        <f aca="false">IF(AND(BM$3&gt;=$E23,BM$3&lt;=$F23),1,"")</f>
        <v>1</v>
      </c>
      <c r="BN23" s="1" t="n">
        <f aca="false">IF(AND(BN$3&gt;=$E23,BN$3&lt;=$F23),1,"")</f>
        <v>1</v>
      </c>
      <c r="BO23" s="1" t="n">
        <f aca="false">IF(AND(BO$3&gt;=$E23,BO$3&lt;=$F23),1,"")</f>
        <v>1</v>
      </c>
      <c r="BP23" s="1" t="n">
        <f aca="false">IF(AND(BP$3&gt;=$E23,BP$3&lt;=$F23),1,"")</f>
        <v>1</v>
      </c>
      <c r="BQ23" s="1" t="n">
        <f aca="false">IF(AND(BQ$3&gt;=$E23,BQ$3&lt;=$F23),1,"")</f>
        <v>1</v>
      </c>
      <c r="BR23" s="1" t="n">
        <f aca="false">IF(AND(BR$3&gt;=$E23,BR$3&lt;=$F23),1,"")</f>
        <v>1</v>
      </c>
    </row>
    <row r="24" customFormat="false" ht="15" hidden="false" customHeight="true" outlineLevel="0" collapsed="false">
      <c r="A24" s="1" t="s">
        <v>410</v>
      </c>
      <c r="B24" s="1" t="n">
        <v>20</v>
      </c>
      <c r="C24" s="95" t="s">
        <v>390</v>
      </c>
      <c r="D24" s="1" t="n">
        <v>1</v>
      </c>
      <c r="E24" s="89" t="n">
        <v>46139.2916666667</v>
      </c>
      <c r="F24" s="89" t="n">
        <v>46197.2916666667</v>
      </c>
      <c r="G24" s="95" t="s">
        <v>161</v>
      </c>
      <c r="H24" s="1" t="str">
        <f aca="false">IF($A24="","",TEXT($F24,"MMM-YYYY"))</f>
        <v>Jun-2026</v>
      </c>
      <c r="I24" s="95" t="s">
        <v>147</v>
      </c>
      <c r="J24" s="96" t="n">
        <f aca="false">IF($A24="","",$F24+30)</f>
        <v>46227.2916666667</v>
      </c>
      <c r="K24" s="1" t="s">
        <v>392</v>
      </c>
      <c r="L24" s="1" t="str">
        <f aca="false">IF(AND(L$3&gt;=$E24,L$3&lt;=$F24),1,"")</f>
        <v/>
      </c>
      <c r="M24" s="1" t="str">
        <f aca="false">IF(AND(M$3&gt;=$E24,M$3&lt;=$F24),1,"")</f>
        <v/>
      </c>
      <c r="N24" s="1" t="str">
        <f aca="false">IF(AND(N$3&gt;=$E24,N$3&lt;=$F24),1,"")</f>
        <v/>
      </c>
      <c r="O24" s="1" t="str">
        <f aca="false">IF(AND(O$3&gt;=$E24,O$3&lt;=$F24),1,"")</f>
        <v/>
      </c>
      <c r="P24" s="1" t="str">
        <f aca="false">IF(AND(P$3&gt;=$E24,P$3&lt;=$F24),1,"")</f>
        <v/>
      </c>
      <c r="Q24" s="1" t="str">
        <f aca="false">IF(AND(Q$3&gt;=$E24,Q$3&lt;=$F24),1,"")</f>
        <v/>
      </c>
      <c r="R24" s="1" t="str">
        <f aca="false">IF(AND(R$3&gt;=$E24,R$3&lt;=$F24),1,"")</f>
        <v/>
      </c>
      <c r="S24" s="1" t="str">
        <f aca="false">IF(AND(S$3&gt;=$E24,S$3&lt;=$F24),1,"")</f>
        <v/>
      </c>
      <c r="T24" s="1" t="str">
        <f aca="false">IF(AND(T$3&gt;=$E24,T$3&lt;=$F24),1,"")</f>
        <v/>
      </c>
      <c r="U24" s="1" t="str">
        <f aca="false">IF(AND(U$3&gt;=$E24,U$3&lt;=$F24),1,"")</f>
        <v/>
      </c>
      <c r="V24" s="1" t="str">
        <f aca="false">IF(AND(V$3&gt;=$E24,V$3&lt;=$F24),1,"")</f>
        <v/>
      </c>
      <c r="W24" s="1" t="str">
        <f aca="false">IF(AND(W$3&gt;=$E24,W$3&lt;=$F24),1,"")</f>
        <v/>
      </c>
      <c r="X24" s="1" t="str">
        <f aca="false">IF(AND(X$3&gt;=$E24,X$3&lt;=$F24),1,"")</f>
        <v/>
      </c>
      <c r="Y24" s="1" t="str">
        <f aca="false">IF(AND(Y$3&gt;=$E24,Y$3&lt;=$F24),1,"")</f>
        <v/>
      </c>
      <c r="Z24" s="1" t="str">
        <f aca="false">IF(AND(Z$3&gt;=$E24,Z$3&lt;=$F24),1,"")</f>
        <v/>
      </c>
      <c r="AA24" s="1" t="str">
        <f aca="false">IF(AND(AA$3&gt;=$E24,AA$3&lt;=$F24),1,"")</f>
        <v/>
      </c>
      <c r="AB24" s="1" t="str">
        <f aca="false">IF(AND(AB$3&gt;=$E24,AB$3&lt;=$F24),1,"")</f>
        <v/>
      </c>
      <c r="AC24" s="1" t="str">
        <f aca="false">IF(AND(AC$3&gt;=$E24,AC$3&lt;=$F24),1,"")</f>
        <v/>
      </c>
      <c r="AD24" s="1" t="str">
        <f aca="false">IF(AND(AD$3&gt;=$E24,AD$3&lt;=$F24),1,"")</f>
        <v/>
      </c>
      <c r="AE24" s="1" t="str">
        <f aca="false">IF(AND(AE$3&gt;=$E24,AE$3&lt;=$F24),1,"")</f>
        <v/>
      </c>
      <c r="AF24" s="1" t="str">
        <f aca="false">IF(AND(AF$3&gt;=$E24,AF$3&lt;=$F24),1,"")</f>
        <v/>
      </c>
      <c r="AG24" s="1" t="str">
        <f aca="false">IF(AND(AG$3&gt;=$E24,AG$3&lt;=$F24),1,"")</f>
        <v/>
      </c>
      <c r="AH24" s="1" t="str">
        <f aca="false">IF(AND(AH$3&gt;=$E24,AH$3&lt;=$F24),1,"")</f>
        <v/>
      </c>
      <c r="AI24" s="1" t="str">
        <f aca="false">IF(AND(AI$3&gt;=$E24,AI$3&lt;=$F24),1,"")</f>
        <v/>
      </c>
      <c r="AJ24" s="1" t="str">
        <f aca="false">IF(AND(AJ$3&gt;=$E24,AJ$3&lt;=$F24),1,"")</f>
        <v/>
      </c>
      <c r="AK24" s="1" t="str">
        <f aca="false">IF(AND(AK$3&gt;=$E24,AK$3&lt;=$F24),1,"")</f>
        <v/>
      </c>
      <c r="AL24" s="1" t="n">
        <f aca="false">IF(AND(AL$3&gt;=$E24,AL$3&lt;=$F24),1,"")</f>
        <v>1</v>
      </c>
      <c r="AM24" s="1" t="n">
        <f aca="false">IF(AND(AM$3&gt;=$E24,AM$3&lt;=$F24),1,"")</f>
        <v>1</v>
      </c>
      <c r="AN24" s="1" t="n">
        <f aca="false">IF(AND(AN$3&gt;=$E24,AN$3&lt;=$F24),1,"")</f>
        <v>1</v>
      </c>
      <c r="AO24" s="1" t="n">
        <f aca="false">IF(AND(AO$3&gt;=$E24,AO$3&lt;=$F24),1,"")</f>
        <v>1</v>
      </c>
      <c r="AP24" s="1" t="n">
        <f aca="false">IF(AND(AP$3&gt;=$E24,AP$3&lt;=$F24),1,"")</f>
        <v>1</v>
      </c>
      <c r="AQ24" s="1" t="n">
        <f aca="false">IF(AND(AQ$3&gt;=$E24,AQ$3&lt;=$F24),1,"")</f>
        <v>1</v>
      </c>
      <c r="AR24" s="1" t="n">
        <f aca="false">IF(AND(AR$3&gt;=$E24,AR$3&lt;=$F24),1,"")</f>
        <v>1</v>
      </c>
      <c r="AS24" s="1" t="n">
        <f aca="false">IF(AND(AS$3&gt;=$E24,AS$3&lt;=$F24),1,"")</f>
        <v>1</v>
      </c>
      <c r="AT24" s="1" t="n">
        <f aca="false">IF(AND(AT$3&gt;=$E24,AT$3&lt;=$F24),1,"")</f>
        <v>1</v>
      </c>
      <c r="AU24" s="1" t="n">
        <f aca="false">IF(AND(AU$3&gt;=$E24,AU$3&lt;=$F24),1,"")</f>
        <v>1</v>
      </c>
      <c r="AV24" s="1" t="n">
        <f aca="false">IF(AND(AV$3&gt;=$E24,AV$3&lt;=$F24),1,"")</f>
        <v>1</v>
      </c>
      <c r="AW24" s="1" t="n">
        <f aca="false">IF(AND(AW$3&gt;=$E24,AW$3&lt;=$F24),1,"")</f>
        <v>1</v>
      </c>
      <c r="AX24" s="1" t="n">
        <f aca="false">IF(AND(AX$3&gt;=$E24,AX$3&lt;=$F24),1,"")</f>
        <v>1</v>
      </c>
      <c r="AY24" s="1" t="n">
        <f aca="false">IF(AND(AY$3&gt;=$E24,AY$3&lt;=$F24),1,"")</f>
        <v>1</v>
      </c>
      <c r="AZ24" s="1" t="n">
        <f aca="false">IF(AND(AZ$3&gt;=$E24,AZ$3&lt;=$F24),1,"")</f>
        <v>1</v>
      </c>
      <c r="BA24" s="1" t="n">
        <f aca="false">IF(AND(BA$3&gt;=$E24,BA$3&lt;=$F24),1,"")</f>
        <v>1</v>
      </c>
      <c r="BB24" s="1" t="n">
        <f aca="false">IF(AND(BB$3&gt;=$E24,BB$3&lt;=$F24),1,"")</f>
        <v>1</v>
      </c>
      <c r="BC24" s="1" t="n">
        <f aca="false">IF(AND(BC$3&gt;=$E24,BC$3&lt;=$F24),1,"")</f>
        <v>1</v>
      </c>
      <c r="BD24" s="1" t="n">
        <f aca="false">IF(AND(BD$3&gt;=$E24,BD$3&lt;=$F24),1,"")</f>
        <v>1</v>
      </c>
      <c r="BE24" s="1" t="n">
        <f aca="false">IF(AND(BE$3&gt;=$E24,BE$3&lt;=$F24),1,"")</f>
        <v>1</v>
      </c>
      <c r="BF24" s="1" t="n">
        <f aca="false">IF(AND(BF$3&gt;=$E24,BF$3&lt;=$F24),1,"")</f>
        <v>1</v>
      </c>
      <c r="BG24" s="1" t="n">
        <f aca="false">IF(AND(BG$3&gt;=$E24,BG$3&lt;=$F24),1,"")</f>
        <v>1</v>
      </c>
      <c r="BH24" s="1" t="n">
        <f aca="false">IF(AND(BH$3&gt;=$E24,BH$3&lt;=$F24),1,"")</f>
        <v>1</v>
      </c>
      <c r="BI24" s="1" t="n">
        <f aca="false">IF(AND(BI$3&gt;=$E24,BI$3&lt;=$F24),1,"")</f>
        <v>1</v>
      </c>
      <c r="BJ24" s="1" t="n">
        <f aca="false">IF(AND(BJ$3&gt;=$E24,BJ$3&lt;=$F24),1,"")</f>
        <v>1</v>
      </c>
      <c r="BK24" s="1" t="n">
        <f aca="false">IF(AND(BK$3&gt;=$E24,BK$3&lt;=$F24),1,"")</f>
        <v>1</v>
      </c>
      <c r="BL24" s="1" t="n">
        <f aca="false">IF(AND(BL$3&gt;=$E24,BL$3&lt;=$F24),1,"")</f>
        <v>1</v>
      </c>
      <c r="BM24" s="1" t="n">
        <f aca="false">IF(AND(BM$3&gt;=$E24,BM$3&lt;=$F24),1,"")</f>
        <v>1</v>
      </c>
      <c r="BN24" s="1" t="n">
        <f aca="false">IF(AND(BN$3&gt;=$E24,BN$3&lt;=$F24),1,"")</f>
        <v>1</v>
      </c>
      <c r="BO24" s="1" t="n">
        <f aca="false">IF(AND(BO$3&gt;=$E24,BO$3&lt;=$F24),1,"")</f>
        <v>1</v>
      </c>
      <c r="BP24" s="1" t="n">
        <f aca="false">IF(AND(BP$3&gt;=$E24,BP$3&lt;=$F24),1,"")</f>
        <v>1</v>
      </c>
      <c r="BQ24" s="1" t="n">
        <f aca="false">IF(AND(BQ$3&gt;=$E24,BQ$3&lt;=$F24),1,"")</f>
        <v>1</v>
      </c>
      <c r="BR24" s="1" t="n">
        <f aca="false">IF(AND(BR$3&gt;=$E24,BR$3&lt;=$F24),1,"")</f>
        <v>1</v>
      </c>
    </row>
    <row r="25" customFormat="false" ht="15" hidden="false" customHeight="true" outlineLevel="0" collapsed="false">
      <c r="A25" s="1" t="s">
        <v>411</v>
      </c>
      <c r="B25" s="1" t="n">
        <v>34</v>
      </c>
      <c r="C25" s="95" t="s">
        <v>401</v>
      </c>
      <c r="D25" s="1" t="n">
        <v>4</v>
      </c>
      <c r="E25" s="89" t="n">
        <v>46202.2916666667</v>
      </c>
      <c r="F25" s="89" t="n">
        <v>46222.2916666667</v>
      </c>
      <c r="G25" s="95" t="s">
        <v>154</v>
      </c>
      <c r="H25" s="1" t="str">
        <f aca="false">IF($A25="","",TEXT($F25,"MMM-YYYY"))</f>
        <v>Jul-2026</v>
      </c>
      <c r="I25" s="95" t="s">
        <v>150</v>
      </c>
      <c r="J25" s="96" t="n">
        <f aca="false">IF($A25="","",$F25+30)</f>
        <v>46252.2916666667</v>
      </c>
      <c r="K25" s="1" t="s">
        <v>148</v>
      </c>
      <c r="L25" s="1" t="str">
        <f aca="false">IF(AND(L$3&gt;=$E25,L$3&lt;=$F25),1,"")</f>
        <v/>
      </c>
      <c r="M25" s="1" t="str">
        <f aca="false">IF(AND(M$3&gt;=$E25,M$3&lt;=$F25),1,"")</f>
        <v/>
      </c>
      <c r="N25" s="1" t="str">
        <f aca="false">IF(AND(N$3&gt;=$E25,N$3&lt;=$F25),1,"")</f>
        <v/>
      </c>
      <c r="O25" s="1" t="str">
        <f aca="false">IF(AND(O$3&gt;=$E25,O$3&lt;=$F25),1,"")</f>
        <v/>
      </c>
      <c r="P25" s="1" t="str">
        <f aca="false">IF(AND(P$3&gt;=$E25,P$3&lt;=$F25),1,"")</f>
        <v/>
      </c>
      <c r="Q25" s="1" t="str">
        <f aca="false">IF(AND(Q$3&gt;=$E25,Q$3&lt;=$F25),1,"")</f>
        <v/>
      </c>
      <c r="R25" s="1" t="str">
        <f aca="false">IF(AND(R$3&gt;=$E25,R$3&lt;=$F25),1,"")</f>
        <v/>
      </c>
      <c r="S25" s="1" t="str">
        <f aca="false">IF(AND(S$3&gt;=$E25,S$3&lt;=$F25),1,"")</f>
        <v/>
      </c>
      <c r="T25" s="1" t="str">
        <f aca="false">IF(AND(T$3&gt;=$E25,T$3&lt;=$F25),1,"")</f>
        <v/>
      </c>
      <c r="U25" s="1" t="str">
        <f aca="false">IF(AND(U$3&gt;=$E25,U$3&lt;=$F25),1,"")</f>
        <v/>
      </c>
      <c r="V25" s="1" t="str">
        <f aca="false">IF(AND(V$3&gt;=$E25,V$3&lt;=$F25),1,"")</f>
        <v/>
      </c>
      <c r="W25" s="1" t="str">
        <f aca="false">IF(AND(W$3&gt;=$E25,W$3&lt;=$F25),1,"")</f>
        <v/>
      </c>
      <c r="X25" s="1" t="str">
        <f aca="false">IF(AND(X$3&gt;=$E25,X$3&lt;=$F25),1,"")</f>
        <v/>
      </c>
      <c r="Y25" s="1" t="str">
        <f aca="false">IF(AND(Y$3&gt;=$E25,Y$3&lt;=$F25),1,"")</f>
        <v/>
      </c>
      <c r="Z25" s="1" t="str">
        <f aca="false">IF(AND(Z$3&gt;=$E25,Z$3&lt;=$F25),1,"")</f>
        <v/>
      </c>
      <c r="AA25" s="1" t="str">
        <f aca="false">IF(AND(AA$3&gt;=$E25,AA$3&lt;=$F25),1,"")</f>
        <v/>
      </c>
      <c r="AB25" s="1" t="str">
        <f aca="false">IF(AND(AB$3&gt;=$E25,AB$3&lt;=$F25),1,"")</f>
        <v/>
      </c>
      <c r="AC25" s="1" t="str">
        <f aca="false">IF(AND(AC$3&gt;=$E25,AC$3&lt;=$F25),1,"")</f>
        <v/>
      </c>
      <c r="AD25" s="1" t="str">
        <f aca="false">IF(AND(AD$3&gt;=$E25,AD$3&lt;=$F25),1,"")</f>
        <v/>
      </c>
      <c r="AE25" s="1" t="str">
        <f aca="false">IF(AND(AE$3&gt;=$E25,AE$3&lt;=$F25),1,"")</f>
        <v/>
      </c>
      <c r="AF25" s="1" t="str">
        <f aca="false">IF(AND(AF$3&gt;=$E25,AF$3&lt;=$F25),1,"")</f>
        <v/>
      </c>
      <c r="AG25" s="1" t="str">
        <f aca="false">IF(AND(AG$3&gt;=$E25,AG$3&lt;=$F25),1,"")</f>
        <v/>
      </c>
      <c r="AH25" s="1" t="str">
        <f aca="false">IF(AND(AH$3&gt;=$E25,AH$3&lt;=$F25),1,"")</f>
        <v/>
      </c>
      <c r="AI25" s="1" t="str">
        <f aca="false">IF(AND(AI$3&gt;=$E25,AI$3&lt;=$F25),1,"")</f>
        <v/>
      </c>
      <c r="AJ25" s="1" t="str">
        <f aca="false">IF(AND(AJ$3&gt;=$E25,AJ$3&lt;=$F25),1,"")</f>
        <v/>
      </c>
      <c r="AK25" s="1" t="str">
        <f aca="false">IF(AND(AK$3&gt;=$E25,AK$3&lt;=$F25),1,"")</f>
        <v/>
      </c>
      <c r="AL25" s="1" t="str">
        <f aca="false">IF(AND(AL$3&gt;=$E25,AL$3&lt;=$F25),1,"")</f>
        <v/>
      </c>
      <c r="AM25" s="1" t="str">
        <f aca="false">IF(AND(AM$3&gt;=$E25,AM$3&lt;=$F25),1,"")</f>
        <v/>
      </c>
      <c r="AN25" s="1" t="str">
        <f aca="false">IF(AND(AN$3&gt;=$E25,AN$3&lt;=$F25),1,"")</f>
        <v/>
      </c>
      <c r="AO25" s="1" t="str">
        <f aca="false">IF(AND(AO$3&gt;=$E25,AO$3&lt;=$F25),1,"")</f>
        <v/>
      </c>
      <c r="AP25" s="1" t="str">
        <f aca="false">IF(AND(AP$3&gt;=$E25,AP$3&lt;=$F25),1,"")</f>
        <v/>
      </c>
      <c r="AQ25" s="1" t="str">
        <f aca="false">IF(AND(AQ$3&gt;=$E25,AQ$3&lt;=$F25),1,"")</f>
        <v/>
      </c>
      <c r="AR25" s="1" t="str">
        <f aca="false">IF(AND(AR$3&gt;=$E25,AR$3&lt;=$F25),1,"")</f>
        <v/>
      </c>
      <c r="AS25" s="1" t="str">
        <f aca="false">IF(AND(AS$3&gt;=$E25,AS$3&lt;=$F25),1,"")</f>
        <v/>
      </c>
      <c r="AT25" s="1" t="str">
        <f aca="false">IF(AND(AT$3&gt;=$E25,AT$3&lt;=$F25),1,"")</f>
        <v/>
      </c>
      <c r="AU25" s="1" t="str">
        <f aca="false">IF(AND(AU$3&gt;=$E25,AU$3&lt;=$F25),1,"")</f>
        <v/>
      </c>
      <c r="AV25" s="1" t="str">
        <f aca="false">IF(AND(AV$3&gt;=$E25,AV$3&lt;=$F25),1,"")</f>
        <v/>
      </c>
      <c r="AW25" s="1" t="str">
        <f aca="false">IF(AND(AW$3&gt;=$E25,AW$3&lt;=$F25),1,"")</f>
        <v/>
      </c>
      <c r="AX25" s="1" t="str">
        <f aca="false">IF(AND(AX$3&gt;=$E25,AX$3&lt;=$F25),1,"")</f>
        <v/>
      </c>
      <c r="AY25" s="1" t="str">
        <f aca="false">IF(AND(AY$3&gt;=$E25,AY$3&lt;=$F25),1,"")</f>
        <v/>
      </c>
      <c r="AZ25" s="1" t="str">
        <f aca="false">IF(AND(AZ$3&gt;=$E25,AZ$3&lt;=$F25),1,"")</f>
        <v/>
      </c>
      <c r="BA25" s="1" t="str">
        <f aca="false">IF(AND(BA$3&gt;=$E25,BA$3&lt;=$F25),1,"")</f>
        <v/>
      </c>
      <c r="BB25" s="1" t="str">
        <f aca="false">IF(AND(BB$3&gt;=$E25,BB$3&lt;=$F25),1,"")</f>
        <v/>
      </c>
      <c r="BC25" s="1" t="str">
        <f aca="false">IF(AND(BC$3&gt;=$E25,BC$3&lt;=$F25),1,"")</f>
        <v/>
      </c>
      <c r="BD25" s="1" t="str">
        <f aca="false">IF(AND(BD$3&gt;=$E25,BD$3&lt;=$F25),1,"")</f>
        <v/>
      </c>
      <c r="BE25" s="1" t="str">
        <f aca="false">IF(AND(BE$3&gt;=$E25,BE$3&lt;=$F25),1,"")</f>
        <v/>
      </c>
      <c r="BF25" s="1" t="str">
        <f aca="false">IF(AND(BF$3&gt;=$E25,BF$3&lt;=$F25),1,"")</f>
        <v/>
      </c>
      <c r="BG25" s="1" t="str">
        <f aca="false">IF(AND(BG$3&gt;=$E25,BG$3&lt;=$F25),1,"")</f>
        <v/>
      </c>
      <c r="BH25" s="1" t="str">
        <f aca="false">IF(AND(BH$3&gt;=$E25,BH$3&lt;=$F25),1,"")</f>
        <v/>
      </c>
      <c r="BI25" s="1" t="str">
        <f aca="false">IF(AND(BI$3&gt;=$E25,BI$3&lt;=$F25),1,"")</f>
        <v/>
      </c>
      <c r="BJ25" s="1" t="str">
        <f aca="false">IF(AND(BJ$3&gt;=$E25,BJ$3&lt;=$F25),1,"")</f>
        <v/>
      </c>
      <c r="BK25" s="1" t="str">
        <f aca="false">IF(AND(BK$3&gt;=$E25,BK$3&lt;=$F25),1,"")</f>
        <v/>
      </c>
      <c r="BL25" s="1" t="str">
        <f aca="false">IF(AND(BL$3&gt;=$E25,BL$3&lt;=$F25),1,"")</f>
        <v/>
      </c>
      <c r="BM25" s="1" t="str">
        <f aca="false">IF(AND(BM$3&gt;=$E25,BM$3&lt;=$F25),1,"")</f>
        <v/>
      </c>
      <c r="BN25" s="1" t="str">
        <f aca="false">IF(AND(BN$3&gt;=$E25,BN$3&lt;=$F25),1,"")</f>
        <v/>
      </c>
      <c r="BO25" s="1" t="str">
        <f aca="false">IF(AND(BO$3&gt;=$E25,BO$3&lt;=$F25),1,"")</f>
        <v/>
      </c>
      <c r="BP25" s="1" t="str">
        <f aca="false">IF(AND(BP$3&gt;=$E25,BP$3&lt;=$F25),1,"")</f>
        <v/>
      </c>
      <c r="BQ25" s="1" t="str">
        <f aca="false">IF(AND(BQ$3&gt;=$E25,BQ$3&lt;=$F25),1,"")</f>
        <v/>
      </c>
      <c r="BR25" s="1" t="str">
        <f aca="false">IF(AND(BR$3&gt;=$E25,BR$3&lt;=$F25),1,"")</f>
        <v/>
      </c>
    </row>
    <row r="26" customFormat="false" ht="15" hidden="false" customHeight="true" outlineLevel="0" collapsed="false">
      <c r="A26" s="1" t="s">
        <v>412</v>
      </c>
      <c r="B26" s="1" t="n">
        <v>42</v>
      </c>
      <c r="C26" s="95" t="s">
        <v>395</v>
      </c>
      <c r="D26" s="1" t="n">
        <v>1</v>
      </c>
      <c r="E26" s="89" t="n">
        <v>46136.2916666667</v>
      </c>
      <c r="F26" s="89" t="n">
        <v>46211.2916666667</v>
      </c>
      <c r="G26" s="95" t="s">
        <v>154</v>
      </c>
      <c r="H26" s="1" t="str">
        <f aca="false">IF($A26="","",TEXT($F26,"MMM-YYYY"))</f>
        <v>Jul-2026</v>
      </c>
      <c r="I26" s="95" t="s">
        <v>157</v>
      </c>
      <c r="J26" s="96" t="n">
        <f aca="false">IF($A26="","",$F26+30)</f>
        <v>46241.2916666667</v>
      </c>
      <c r="K26" s="1" t="s">
        <v>155</v>
      </c>
      <c r="L26" s="1" t="str">
        <f aca="false">IF(AND(L$3&gt;=$E26,L$3&lt;=$F26),1,"")</f>
        <v/>
      </c>
      <c r="M26" s="1" t="str">
        <f aca="false">IF(AND(M$3&gt;=$E26,M$3&lt;=$F26),1,"")</f>
        <v/>
      </c>
      <c r="N26" s="1" t="str">
        <f aca="false">IF(AND(N$3&gt;=$E26,N$3&lt;=$F26),1,"")</f>
        <v/>
      </c>
      <c r="O26" s="1" t="str">
        <f aca="false">IF(AND(O$3&gt;=$E26,O$3&lt;=$F26),1,"")</f>
        <v/>
      </c>
      <c r="P26" s="1" t="str">
        <f aca="false">IF(AND(P$3&gt;=$E26,P$3&lt;=$F26),1,"")</f>
        <v/>
      </c>
      <c r="Q26" s="1" t="str">
        <f aca="false">IF(AND(Q$3&gt;=$E26,Q$3&lt;=$F26),1,"")</f>
        <v/>
      </c>
      <c r="R26" s="1" t="str">
        <f aca="false">IF(AND(R$3&gt;=$E26,R$3&lt;=$F26),1,"")</f>
        <v/>
      </c>
      <c r="S26" s="1" t="str">
        <f aca="false">IF(AND(S$3&gt;=$E26,S$3&lt;=$F26),1,"")</f>
        <v/>
      </c>
      <c r="T26" s="1" t="str">
        <f aca="false">IF(AND(T$3&gt;=$E26,T$3&lt;=$F26),1,"")</f>
        <v/>
      </c>
      <c r="U26" s="1" t="str">
        <f aca="false">IF(AND(U$3&gt;=$E26,U$3&lt;=$F26),1,"")</f>
        <v/>
      </c>
      <c r="V26" s="1" t="str">
        <f aca="false">IF(AND(V$3&gt;=$E26,V$3&lt;=$F26),1,"")</f>
        <v/>
      </c>
      <c r="W26" s="1" t="str">
        <f aca="false">IF(AND(W$3&gt;=$E26,W$3&lt;=$F26),1,"")</f>
        <v/>
      </c>
      <c r="X26" s="1" t="str">
        <f aca="false">IF(AND(X$3&gt;=$E26,X$3&lt;=$F26),1,"")</f>
        <v/>
      </c>
      <c r="Y26" s="1" t="str">
        <f aca="false">IF(AND(Y$3&gt;=$E26,Y$3&lt;=$F26),1,"")</f>
        <v/>
      </c>
      <c r="Z26" s="1" t="str">
        <f aca="false">IF(AND(Z$3&gt;=$E26,Z$3&lt;=$F26),1,"")</f>
        <v/>
      </c>
      <c r="AA26" s="1" t="str">
        <f aca="false">IF(AND(AA$3&gt;=$E26,AA$3&lt;=$F26),1,"")</f>
        <v/>
      </c>
      <c r="AB26" s="1" t="str">
        <f aca="false">IF(AND(AB$3&gt;=$E26,AB$3&lt;=$F26),1,"")</f>
        <v/>
      </c>
      <c r="AC26" s="1" t="str">
        <f aca="false">IF(AND(AC$3&gt;=$E26,AC$3&lt;=$F26),1,"")</f>
        <v/>
      </c>
      <c r="AD26" s="1" t="str">
        <f aca="false">IF(AND(AD$3&gt;=$E26,AD$3&lt;=$F26),1,"")</f>
        <v/>
      </c>
      <c r="AE26" s="1" t="str">
        <f aca="false">IF(AND(AE$3&gt;=$E26,AE$3&lt;=$F26),1,"")</f>
        <v/>
      </c>
      <c r="AF26" s="1" t="str">
        <f aca="false">IF(AND(AF$3&gt;=$E26,AF$3&lt;=$F26),1,"")</f>
        <v/>
      </c>
      <c r="AG26" s="1" t="str">
        <f aca="false">IF(AND(AG$3&gt;=$E26,AG$3&lt;=$F26),1,"")</f>
        <v/>
      </c>
      <c r="AH26" s="1" t="str">
        <f aca="false">IF(AND(AH$3&gt;=$E26,AH$3&lt;=$F26),1,"")</f>
        <v/>
      </c>
      <c r="AI26" s="1" t="n">
        <f aca="false">IF(AND(AI$3&gt;=$E26,AI$3&lt;=$F26),1,"")</f>
        <v>1</v>
      </c>
      <c r="AJ26" s="1" t="n">
        <f aca="false">IF(AND(AJ$3&gt;=$E26,AJ$3&lt;=$F26),1,"")</f>
        <v>1</v>
      </c>
      <c r="AK26" s="1" t="n">
        <f aca="false">IF(AND(AK$3&gt;=$E26,AK$3&lt;=$F26),1,"")</f>
        <v>1</v>
      </c>
      <c r="AL26" s="1" t="n">
        <f aca="false">IF(AND(AL$3&gt;=$E26,AL$3&lt;=$F26),1,"")</f>
        <v>1</v>
      </c>
      <c r="AM26" s="1" t="n">
        <f aca="false">IF(AND(AM$3&gt;=$E26,AM$3&lt;=$F26),1,"")</f>
        <v>1</v>
      </c>
      <c r="AN26" s="1" t="n">
        <f aca="false">IF(AND(AN$3&gt;=$E26,AN$3&lt;=$F26),1,"")</f>
        <v>1</v>
      </c>
      <c r="AO26" s="1" t="n">
        <f aca="false">IF(AND(AO$3&gt;=$E26,AO$3&lt;=$F26),1,"")</f>
        <v>1</v>
      </c>
      <c r="AP26" s="1" t="n">
        <f aca="false">IF(AND(AP$3&gt;=$E26,AP$3&lt;=$F26),1,"")</f>
        <v>1</v>
      </c>
      <c r="AQ26" s="1" t="n">
        <f aca="false">IF(AND(AQ$3&gt;=$E26,AQ$3&lt;=$F26),1,"")</f>
        <v>1</v>
      </c>
      <c r="AR26" s="1" t="n">
        <f aca="false">IF(AND(AR$3&gt;=$E26,AR$3&lt;=$F26),1,"")</f>
        <v>1</v>
      </c>
      <c r="AS26" s="1" t="n">
        <f aca="false">IF(AND(AS$3&gt;=$E26,AS$3&lt;=$F26),1,"")</f>
        <v>1</v>
      </c>
      <c r="AT26" s="1" t="n">
        <f aca="false">IF(AND(AT$3&gt;=$E26,AT$3&lt;=$F26),1,"")</f>
        <v>1</v>
      </c>
      <c r="AU26" s="1" t="n">
        <f aca="false">IF(AND(AU$3&gt;=$E26,AU$3&lt;=$F26),1,"")</f>
        <v>1</v>
      </c>
      <c r="AV26" s="1" t="n">
        <f aca="false">IF(AND(AV$3&gt;=$E26,AV$3&lt;=$F26),1,"")</f>
        <v>1</v>
      </c>
      <c r="AW26" s="1" t="n">
        <f aca="false">IF(AND(AW$3&gt;=$E26,AW$3&lt;=$F26),1,"")</f>
        <v>1</v>
      </c>
      <c r="AX26" s="1" t="n">
        <f aca="false">IF(AND(AX$3&gt;=$E26,AX$3&lt;=$F26),1,"")</f>
        <v>1</v>
      </c>
      <c r="AY26" s="1" t="n">
        <f aca="false">IF(AND(AY$3&gt;=$E26,AY$3&lt;=$F26),1,"")</f>
        <v>1</v>
      </c>
      <c r="AZ26" s="1" t="n">
        <f aca="false">IF(AND(AZ$3&gt;=$E26,AZ$3&lt;=$F26),1,"")</f>
        <v>1</v>
      </c>
      <c r="BA26" s="1" t="n">
        <f aca="false">IF(AND(BA$3&gt;=$E26,BA$3&lt;=$F26),1,"")</f>
        <v>1</v>
      </c>
      <c r="BB26" s="1" t="n">
        <f aca="false">IF(AND(BB$3&gt;=$E26,BB$3&lt;=$F26),1,"")</f>
        <v>1</v>
      </c>
      <c r="BC26" s="1" t="n">
        <f aca="false">IF(AND(BC$3&gt;=$E26,BC$3&lt;=$F26),1,"")</f>
        <v>1</v>
      </c>
      <c r="BD26" s="1" t="n">
        <f aca="false">IF(AND(BD$3&gt;=$E26,BD$3&lt;=$F26),1,"")</f>
        <v>1</v>
      </c>
      <c r="BE26" s="1" t="n">
        <f aca="false">IF(AND(BE$3&gt;=$E26,BE$3&lt;=$F26),1,"")</f>
        <v>1</v>
      </c>
      <c r="BF26" s="1" t="n">
        <f aca="false">IF(AND(BF$3&gt;=$E26,BF$3&lt;=$F26),1,"")</f>
        <v>1</v>
      </c>
      <c r="BG26" s="1" t="n">
        <f aca="false">IF(AND(BG$3&gt;=$E26,BG$3&lt;=$F26),1,"")</f>
        <v>1</v>
      </c>
      <c r="BH26" s="1" t="n">
        <f aca="false">IF(AND(BH$3&gt;=$E26,BH$3&lt;=$F26),1,"")</f>
        <v>1</v>
      </c>
      <c r="BI26" s="1" t="n">
        <f aca="false">IF(AND(BI$3&gt;=$E26,BI$3&lt;=$F26),1,"")</f>
        <v>1</v>
      </c>
      <c r="BJ26" s="1" t="n">
        <f aca="false">IF(AND(BJ$3&gt;=$E26,BJ$3&lt;=$F26),1,"")</f>
        <v>1</v>
      </c>
      <c r="BK26" s="1" t="n">
        <f aca="false">IF(AND(BK$3&gt;=$E26,BK$3&lt;=$F26),1,"")</f>
        <v>1</v>
      </c>
      <c r="BL26" s="1" t="n">
        <f aca="false">IF(AND(BL$3&gt;=$E26,BL$3&lt;=$F26),1,"")</f>
        <v>1</v>
      </c>
      <c r="BM26" s="1" t="n">
        <f aca="false">IF(AND(BM$3&gt;=$E26,BM$3&lt;=$F26),1,"")</f>
        <v>1</v>
      </c>
      <c r="BN26" s="1" t="n">
        <f aca="false">IF(AND(BN$3&gt;=$E26,BN$3&lt;=$F26),1,"")</f>
        <v>1</v>
      </c>
      <c r="BO26" s="1" t="n">
        <f aca="false">IF(AND(BO$3&gt;=$E26,BO$3&lt;=$F26),1,"")</f>
        <v>1</v>
      </c>
      <c r="BP26" s="1" t="n">
        <f aca="false">IF(AND(BP$3&gt;=$E26,BP$3&lt;=$F26),1,"")</f>
        <v>1</v>
      </c>
      <c r="BQ26" s="1" t="n">
        <f aca="false">IF(AND(BQ$3&gt;=$E26,BQ$3&lt;=$F26),1,"")</f>
        <v>1</v>
      </c>
      <c r="BR26" s="1" t="n">
        <f aca="false">IF(AND(BR$3&gt;=$E26,BR$3&lt;=$F26),1,"")</f>
        <v>1</v>
      </c>
    </row>
    <row r="27" customFormat="false" ht="15" hidden="false" customHeight="true" outlineLevel="0" collapsed="false">
      <c r="A27" s="1" t="s">
        <v>413</v>
      </c>
      <c r="B27" s="1" t="n">
        <v>20</v>
      </c>
      <c r="C27" s="95" t="s">
        <v>390</v>
      </c>
      <c r="D27" s="1" t="n">
        <v>1</v>
      </c>
      <c r="E27" s="89" t="n">
        <v>46167.2916666667</v>
      </c>
      <c r="F27" s="89" t="n">
        <v>46206.2916666667</v>
      </c>
      <c r="G27" s="95" t="s">
        <v>154</v>
      </c>
      <c r="H27" s="1" t="str">
        <f aca="false">IF($A27="","",TEXT($F27,"MMM-YYYY"))</f>
        <v>Jul-2026</v>
      </c>
      <c r="I27" s="95" t="s">
        <v>150</v>
      </c>
      <c r="J27" s="96" t="n">
        <f aca="false">IF($A27="","",$F27+30)</f>
        <v>46236.2916666667</v>
      </c>
      <c r="K27" s="1" t="s">
        <v>148</v>
      </c>
      <c r="L27" s="1" t="str">
        <f aca="false">IF(AND(L$3&gt;=$E27,L$3&lt;=$F27),1,"")</f>
        <v/>
      </c>
      <c r="M27" s="1" t="str">
        <f aca="false">IF(AND(M$3&gt;=$E27,M$3&lt;=$F27),1,"")</f>
        <v/>
      </c>
      <c r="N27" s="1" t="str">
        <f aca="false">IF(AND(N$3&gt;=$E27,N$3&lt;=$F27),1,"")</f>
        <v/>
      </c>
      <c r="O27" s="1" t="str">
        <f aca="false">IF(AND(O$3&gt;=$E27,O$3&lt;=$F27),1,"")</f>
        <v/>
      </c>
      <c r="P27" s="1" t="str">
        <f aca="false">IF(AND(P$3&gt;=$E27,P$3&lt;=$F27),1,"")</f>
        <v/>
      </c>
      <c r="Q27" s="1" t="str">
        <f aca="false">IF(AND(Q$3&gt;=$E27,Q$3&lt;=$F27),1,"")</f>
        <v/>
      </c>
      <c r="R27" s="1" t="str">
        <f aca="false">IF(AND(R$3&gt;=$E27,R$3&lt;=$F27),1,"")</f>
        <v/>
      </c>
      <c r="S27" s="1" t="str">
        <f aca="false">IF(AND(S$3&gt;=$E27,S$3&lt;=$F27),1,"")</f>
        <v/>
      </c>
      <c r="T27" s="1" t="str">
        <f aca="false">IF(AND(T$3&gt;=$E27,T$3&lt;=$F27),1,"")</f>
        <v/>
      </c>
      <c r="U27" s="1" t="str">
        <f aca="false">IF(AND(U$3&gt;=$E27,U$3&lt;=$F27),1,"")</f>
        <v/>
      </c>
      <c r="V27" s="1" t="str">
        <f aca="false">IF(AND(V$3&gt;=$E27,V$3&lt;=$F27),1,"")</f>
        <v/>
      </c>
      <c r="W27" s="1" t="str">
        <f aca="false">IF(AND(W$3&gt;=$E27,W$3&lt;=$F27),1,"")</f>
        <v/>
      </c>
      <c r="X27" s="1" t="str">
        <f aca="false">IF(AND(X$3&gt;=$E27,X$3&lt;=$F27),1,"")</f>
        <v/>
      </c>
      <c r="Y27" s="1" t="str">
        <f aca="false">IF(AND(Y$3&gt;=$E27,Y$3&lt;=$F27),1,"")</f>
        <v/>
      </c>
      <c r="Z27" s="1" t="str">
        <f aca="false">IF(AND(Z$3&gt;=$E27,Z$3&lt;=$F27),1,"")</f>
        <v/>
      </c>
      <c r="AA27" s="1" t="str">
        <f aca="false">IF(AND(AA$3&gt;=$E27,AA$3&lt;=$F27),1,"")</f>
        <v/>
      </c>
      <c r="AB27" s="1" t="str">
        <f aca="false">IF(AND(AB$3&gt;=$E27,AB$3&lt;=$F27),1,"")</f>
        <v/>
      </c>
      <c r="AC27" s="1" t="str">
        <f aca="false">IF(AND(AC$3&gt;=$E27,AC$3&lt;=$F27),1,"")</f>
        <v/>
      </c>
      <c r="AD27" s="1" t="str">
        <f aca="false">IF(AND(AD$3&gt;=$E27,AD$3&lt;=$F27),1,"")</f>
        <v/>
      </c>
      <c r="AE27" s="1" t="str">
        <f aca="false">IF(AND(AE$3&gt;=$E27,AE$3&lt;=$F27),1,"")</f>
        <v/>
      </c>
      <c r="AF27" s="1" t="str">
        <f aca="false">IF(AND(AF$3&gt;=$E27,AF$3&lt;=$F27),1,"")</f>
        <v/>
      </c>
      <c r="AG27" s="1" t="str">
        <f aca="false">IF(AND(AG$3&gt;=$E27,AG$3&lt;=$F27),1,"")</f>
        <v/>
      </c>
      <c r="AH27" s="1" t="str">
        <f aca="false">IF(AND(AH$3&gt;=$E27,AH$3&lt;=$F27),1,"")</f>
        <v/>
      </c>
      <c r="AI27" s="1" t="str">
        <f aca="false">IF(AND(AI$3&gt;=$E27,AI$3&lt;=$F27),1,"")</f>
        <v/>
      </c>
      <c r="AJ27" s="1" t="str">
        <f aca="false">IF(AND(AJ$3&gt;=$E27,AJ$3&lt;=$F27),1,"")</f>
        <v/>
      </c>
      <c r="AK27" s="1" t="str">
        <f aca="false">IF(AND(AK$3&gt;=$E27,AK$3&lt;=$F27),1,"")</f>
        <v/>
      </c>
      <c r="AL27" s="1" t="str">
        <f aca="false">IF(AND(AL$3&gt;=$E27,AL$3&lt;=$F27),1,"")</f>
        <v/>
      </c>
      <c r="AM27" s="1" t="str">
        <f aca="false">IF(AND(AM$3&gt;=$E27,AM$3&lt;=$F27),1,"")</f>
        <v/>
      </c>
      <c r="AN27" s="1" t="str">
        <f aca="false">IF(AND(AN$3&gt;=$E27,AN$3&lt;=$F27),1,"")</f>
        <v/>
      </c>
      <c r="AO27" s="1" t="str">
        <f aca="false">IF(AND(AO$3&gt;=$E27,AO$3&lt;=$F27),1,"")</f>
        <v/>
      </c>
      <c r="AP27" s="1" t="str">
        <f aca="false">IF(AND(AP$3&gt;=$E27,AP$3&lt;=$F27),1,"")</f>
        <v/>
      </c>
      <c r="AQ27" s="1" t="str">
        <f aca="false">IF(AND(AQ$3&gt;=$E27,AQ$3&lt;=$F27),1,"")</f>
        <v/>
      </c>
      <c r="AR27" s="1" t="str">
        <f aca="false">IF(AND(AR$3&gt;=$E27,AR$3&lt;=$F27),1,"")</f>
        <v/>
      </c>
      <c r="AS27" s="1" t="str">
        <f aca="false">IF(AND(AS$3&gt;=$E27,AS$3&lt;=$F27),1,"")</f>
        <v/>
      </c>
      <c r="AT27" s="1" t="str">
        <f aca="false">IF(AND(AT$3&gt;=$E27,AT$3&lt;=$F27),1,"")</f>
        <v/>
      </c>
      <c r="AU27" s="1" t="str">
        <f aca="false">IF(AND(AU$3&gt;=$E27,AU$3&lt;=$F27),1,"")</f>
        <v/>
      </c>
      <c r="AV27" s="1" t="str">
        <f aca="false">IF(AND(AV$3&gt;=$E27,AV$3&lt;=$F27),1,"")</f>
        <v/>
      </c>
      <c r="AW27" s="1" t="str">
        <f aca="false">IF(AND(AW$3&gt;=$E27,AW$3&lt;=$F27),1,"")</f>
        <v/>
      </c>
      <c r="AX27" s="1" t="str">
        <f aca="false">IF(AND(AX$3&gt;=$E27,AX$3&lt;=$F27),1,"")</f>
        <v/>
      </c>
      <c r="AY27" s="1" t="str">
        <f aca="false">IF(AND(AY$3&gt;=$E27,AY$3&lt;=$F27),1,"")</f>
        <v/>
      </c>
      <c r="AZ27" s="1" t="str">
        <f aca="false">IF(AND(AZ$3&gt;=$E27,AZ$3&lt;=$F27),1,"")</f>
        <v/>
      </c>
      <c r="BA27" s="1" t="str">
        <f aca="false">IF(AND(BA$3&gt;=$E27,BA$3&lt;=$F27),1,"")</f>
        <v/>
      </c>
      <c r="BB27" s="1" t="str">
        <f aca="false">IF(AND(BB$3&gt;=$E27,BB$3&lt;=$F27),1,"")</f>
        <v/>
      </c>
      <c r="BC27" s="1" t="str">
        <f aca="false">IF(AND(BC$3&gt;=$E27,BC$3&lt;=$F27),1,"")</f>
        <v/>
      </c>
      <c r="BD27" s="1" t="str">
        <f aca="false">IF(AND(BD$3&gt;=$E27,BD$3&lt;=$F27),1,"")</f>
        <v/>
      </c>
      <c r="BE27" s="1" t="str">
        <f aca="false">IF(AND(BE$3&gt;=$E27,BE$3&lt;=$F27),1,"")</f>
        <v/>
      </c>
      <c r="BF27" s="1" t="str">
        <f aca="false">IF(AND(BF$3&gt;=$E27,BF$3&lt;=$F27),1,"")</f>
        <v/>
      </c>
      <c r="BG27" s="1" t="str">
        <f aca="false">IF(AND(BG$3&gt;=$E27,BG$3&lt;=$F27),1,"")</f>
        <v/>
      </c>
      <c r="BH27" s="1" t="str">
        <f aca="false">IF(AND(BH$3&gt;=$E27,BH$3&lt;=$F27),1,"")</f>
        <v/>
      </c>
      <c r="BI27" s="1" t="str">
        <f aca="false">IF(AND(BI$3&gt;=$E27,BI$3&lt;=$F27),1,"")</f>
        <v/>
      </c>
      <c r="BJ27" s="1" t="str">
        <f aca="false">IF(AND(BJ$3&gt;=$E27,BJ$3&lt;=$F27),1,"")</f>
        <v/>
      </c>
      <c r="BK27" s="1" t="str">
        <f aca="false">IF(AND(BK$3&gt;=$E27,BK$3&lt;=$F27),1,"")</f>
        <v/>
      </c>
      <c r="BL27" s="1" t="str">
        <f aca="false">IF(AND(BL$3&gt;=$E27,BL$3&lt;=$F27),1,"")</f>
        <v/>
      </c>
      <c r="BM27" s="1" t="str">
        <f aca="false">IF(AND(BM$3&gt;=$E27,BM$3&lt;=$F27),1,"")</f>
        <v/>
      </c>
      <c r="BN27" s="1" t="n">
        <f aca="false">IF(AND(BN$3&gt;=$E27,BN$3&lt;=$F27),1,"")</f>
        <v>1</v>
      </c>
      <c r="BO27" s="1" t="n">
        <f aca="false">IF(AND(BO$3&gt;=$E27,BO$3&lt;=$F27),1,"")</f>
        <v>1</v>
      </c>
      <c r="BP27" s="1" t="n">
        <f aca="false">IF(AND(BP$3&gt;=$E27,BP$3&lt;=$F27),1,"")</f>
        <v>1</v>
      </c>
      <c r="BQ27" s="1" t="n">
        <f aca="false">IF(AND(BQ$3&gt;=$E27,BQ$3&lt;=$F27),1,"")</f>
        <v>1</v>
      </c>
      <c r="BR27" s="1" t="n">
        <f aca="false">IF(AND(BR$3&gt;=$E27,BR$3&lt;=$F27),1,"")</f>
        <v>1</v>
      </c>
    </row>
    <row r="28" customFormat="false" ht="15" hidden="false" customHeight="true" outlineLevel="0" collapsed="false">
      <c r="A28" s="1" t="s">
        <v>414</v>
      </c>
      <c r="B28" s="1" t="n">
        <v>25</v>
      </c>
      <c r="C28" s="95" t="s">
        <v>388</v>
      </c>
      <c r="D28" s="1" t="n">
        <v>2</v>
      </c>
      <c r="E28" s="89" t="n">
        <v>46204.2916666667</v>
      </c>
      <c r="F28" s="89" t="n">
        <v>46246.2916666667</v>
      </c>
      <c r="G28" s="95" t="s">
        <v>161</v>
      </c>
      <c r="H28" s="1" t="str">
        <f aca="false">IF($A28="","",TEXT($F28,"MMM-YYYY"))</f>
        <v>Aug-2026</v>
      </c>
      <c r="I28" s="95" t="s">
        <v>157</v>
      </c>
      <c r="J28" s="96" t="n">
        <f aca="false">IF($A28="","",$F28+30)</f>
        <v>46276.2916666667</v>
      </c>
      <c r="K28" s="1" t="s">
        <v>148</v>
      </c>
      <c r="L28" s="1" t="str">
        <f aca="false">IF(AND(L$3&gt;=$E28,L$3&lt;=$F28),1,"")</f>
        <v/>
      </c>
      <c r="M28" s="1" t="str">
        <f aca="false">IF(AND(M$3&gt;=$E28,M$3&lt;=$F28),1,"")</f>
        <v/>
      </c>
      <c r="N28" s="1" t="str">
        <f aca="false">IF(AND(N$3&gt;=$E28,N$3&lt;=$F28),1,"")</f>
        <v/>
      </c>
      <c r="O28" s="1" t="str">
        <f aca="false">IF(AND(O$3&gt;=$E28,O$3&lt;=$F28),1,"")</f>
        <v/>
      </c>
      <c r="P28" s="1" t="str">
        <f aca="false">IF(AND(P$3&gt;=$E28,P$3&lt;=$F28),1,"")</f>
        <v/>
      </c>
      <c r="Q28" s="1" t="str">
        <f aca="false">IF(AND(Q$3&gt;=$E28,Q$3&lt;=$F28),1,"")</f>
        <v/>
      </c>
      <c r="R28" s="1" t="str">
        <f aca="false">IF(AND(R$3&gt;=$E28,R$3&lt;=$F28),1,"")</f>
        <v/>
      </c>
      <c r="S28" s="1" t="str">
        <f aca="false">IF(AND(S$3&gt;=$E28,S$3&lt;=$F28),1,"")</f>
        <v/>
      </c>
      <c r="T28" s="1" t="str">
        <f aca="false">IF(AND(T$3&gt;=$E28,T$3&lt;=$F28),1,"")</f>
        <v/>
      </c>
      <c r="U28" s="1" t="str">
        <f aca="false">IF(AND(U$3&gt;=$E28,U$3&lt;=$F28),1,"")</f>
        <v/>
      </c>
      <c r="V28" s="1" t="str">
        <f aca="false">IF(AND(V$3&gt;=$E28,V$3&lt;=$F28),1,"")</f>
        <v/>
      </c>
      <c r="W28" s="1" t="str">
        <f aca="false">IF(AND(W$3&gt;=$E28,W$3&lt;=$F28),1,"")</f>
        <v/>
      </c>
      <c r="X28" s="1" t="str">
        <f aca="false">IF(AND(X$3&gt;=$E28,X$3&lt;=$F28),1,"")</f>
        <v/>
      </c>
      <c r="Y28" s="1" t="str">
        <f aca="false">IF(AND(Y$3&gt;=$E28,Y$3&lt;=$F28),1,"")</f>
        <v/>
      </c>
      <c r="Z28" s="1" t="str">
        <f aca="false">IF(AND(Z$3&gt;=$E28,Z$3&lt;=$F28),1,"")</f>
        <v/>
      </c>
      <c r="AA28" s="1" t="str">
        <f aca="false">IF(AND(AA$3&gt;=$E28,AA$3&lt;=$F28),1,"")</f>
        <v/>
      </c>
      <c r="AB28" s="1" t="str">
        <f aca="false">IF(AND(AB$3&gt;=$E28,AB$3&lt;=$F28),1,"")</f>
        <v/>
      </c>
      <c r="AC28" s="1" t="str">
        <f aca="false">IF(AND(AC$3&gt;=$E28,AC$3&lt;=$F28),1,"")</f>
        <v/>
      </c>
      <c r="AD28" s="1" t="str">
        <f aca="false">IF(AND(AD$3&gt;=$E28,AD$3&lt;=$F28),1,"")</f>
        <v/>
      </c>
      <c r="AE28" s="1" t="str">
        <f aca="false">IF(AND(AE$3&gt;=$E28,AE$3&lt;=$F28),1,"")</f>
        <v/>
      </c>
      <c r="AF28" s="1" t="str">
        <f aca="false">IF(AND(AF$3&gt;=$E28,AF$3&lt;=$F28),1,"")</f>
        <v/>
      </c>
      <c r="AG28" s="1" t="str">
        <f aca="false">IF(AND(AG$3&gt;=$E28,AG$3&lt;=$F28),1,"")</f>
        <v/>
      </c>
      <c r="AH28" s="1" t="str">
        <f aca="false">IF(AND(AH$3&gt;=$E28,AH$3&lt;=$F28),1,"")</f>
        <v/>
      </c>
      <c r="AI28" s="1" t="str">
        <f aca="false">IF(AND(AI$3&gt;=$E28,AI$3&lt;=$F28),1,"")</f>
        <v/>
      </c>
      <c r="AJ28" s="1" t="str">
        <f aca="false">IF(AND(AJ$3&gt;=$E28,AJ$3&lt;=$F28),1,"")</f>
        <v/>
      </c>
      <c r="AK28" s="1" t="str">
        <f aca="false">IF(AND(AK$3&gt;=$E28,AK$3&lt;=$F28),1,"")</f>
        <v/>
      </c>
      <c r="AL28" s="1" t="str">
        <f aca="false">IF(AND(AL$3&gt;=$E28,AL$3&lt;=$F28),1,"")</f>
        <v/>
      </c>
      <c r="AM28" s="1" t="str">
        <f aca="false">IF(AND(AM$3&gt;=$E28,AM$3&lt;=$F28),1,"")</f>
        <v/>
      </c>
      <c r="AN28" s="1" t="str">
        <f aca="false">IF(AND(AN$3&gt;=$E28,AN$3&lt;=$F28),1,"")</f>
        <v/>
      </c>
      <c r="AO28" s="1" t="str">
        <f aca="false">IF(AND(AO$3&gt;=$E28,AO$3&lt;=$F28),1,"")</f>
        <v/>
      </c>
      <c r="AP28" s="1" t="str">
        <f aca="false">IF(AND(AP$3&gt;=$E28,AP$3&lt;=$F28),1,"")</f>
        <v/>
      </c>
      <c r="AQ28" s="1" t="str">
        <f aca="false">IF(AND(AQ$3&gt;=$E28,AQ$3&lt;=$F28),1,"")</f>
        <v/>
      </c>
      <c r="AR28" s="1" t="str">
        <f aca="false">IF(AND(AR$3&gt;=$E28,AR$3&lt;=$F28),1,"")</f>
        <v/>
      </c>
      <c r="AS28" s="1" t="str">
        <f aca="false">IF(AND(AS$3&gt;=$E28,AS$3&lt;=$F28),1,"")</f>
        <v/>
      </c>
      <c r="AT28" s="1" t="str">
        <f aca="false">IF(AND(AT$3&gt;=$E28,AT$3&lt;=$F28),1,"")</f>
        <v/>
      </c>
      <c r="AU28" s="1" t="str">
        <f aca="false">IF(AND(AU$3&gt;=$E28,AU$3&lt;=$F28),1,"")</f>
        <v/>
      </c>
      <c r="AV28" s="1" t="str">
        <f aca="false">IF(AND(AV$3&gt;=$E28,AV$3&lt;=$F28),1,"")</f>
        <v/>
      </c>
      <c r="AW28" s="1" t="str">
        <f aca="false">IF(AND(AW$3&gt;=$E28,AW$3&lt;=$F28),1,"")</f>
        <v/>
      </c>
      <c r="AX28" s="1" t="str">
        <f aca="false">IF(AND(AX$3&gt;=$E28,AX$3&lt;=$F28),1,"")</f>
        <v/>
      </c>
      <c r="AY28" s="1" t="str">
        <f aca="false">IF(AND(AY$3&gt;=$E28,AY$3&lt;=$F28),1,"")</f>
        <v/>
      </c>
      <c r="AZ28" s="1" t="str">
        <f aca="false">IF(AND(AZ$3&gt;=$E28,AZ$3&lt;=$F28),1,"")</f>
        <v/>
      </c>
      <c r="BA28" s="1" t="str">
        <f aca="false">IF(AND(BA$3&gt;=$E28,BA$3&lt;=$F28),1,"")</f>
        <v/>
      </c>
      <c r="BB28" s="1" t="str">
        <f aca="false">IF(AND(BB$3&gt;=$E28,BB$3&lt;=$F28),1,"")</f>
        <v/>
      </c>
      <c r="BC28" s="1" t="str">
        <f aca="false">IF(AND(BC$3&gt;=$E28,BC$3&lt;=$F28),1,"")</f>
        <v/>
      </c>
      <c r="BD28" s="1" t="str">
        <f aca="false">IF(AND(BD$3&gt;=$E28,BD$3&lt;=$F28),1,"")</f>
        <v/>
      </c>
      <c r="BE28" s="1" t="str">
        <f aca="false">IF(AND(BE$3&gt;=$E28,BE$3&lt;=$F28),1,"")</f>
        <v/>
      </c>
      <c r="BF28" s="1" t="str">
        <f aca="false">IF(AND(BF$3&gt;=$E28,BF$3&lt;=$F28),1,"")</f>
        <v/>
      </c>
      <c r="BG28" s="1" t="str">
        <f aca="false">IF(AND(BG$3&gt;=$E28,BG$3&lt;=$F28),1,"")</f>
        <v/>
      </c>
      <c r="BH28" s="1" t="str">
        <f aca="false">IF(AND(BH$3&gt;=$E28,BH$3&lt;=$F28),1,"")</f>
        <v/>
      </c>
      <c r="BI28" s="1" t="str">
        <f aca="false">IF(AND(BI$3&gt;=$E28,BI$3&lt;=$F28),1,"")</f>
        <v/>
      </c>
      <c r="BJ28" s="1" t="str">
        <f aca="false">IF(AND(BJ$3&gt;=$E28,BJ$3&lt;=$F28),1,"")</f>
        <v/>
      </c>
      <c r="BK28" s="1" t="str">
        <f aca="false">IF(AND(BK$3&gt;=$E28,BK$3&lt;=$F28),1,"")</f>
        <v/>
      </c>
      <c r="BL28" s="1" t="str">
        <f aca="false">IF(AND(BL$3&gt;=$E28,BL$3&lt;=$F28),1,"")</f>
        <v/>
      </c>
      <c r="BM28" s="1" t="str">
        <f aca="false">IF(AND(BM$3&gt;=$E28,BM$3&lt;=$F28),1,"")</f>
        <v/>
      </c>
      <c r="BN28" s="1" t="str">
        <f aca="false">IF(AND(BN$3&gt;=$E28,BN$3&lt;=$F28),1,"")</f>
        <v/>
      </c>
      <c r="BO28" s="1" t="str">
        <f aca="false">IF(AND(BO$3&gt;=$E28,BO$3&lt;=$F28),1,"")</f>
        <v/>
      </c>
      <c r="BP28" s="1" t="str">
        <f aca="false">IF(AND(BP$3&gt;=$E28,BP$3&lt;=$F28),1,"")</f>
        <v/>
      </c>
      <c r="BQ28" s="1" t="str">
        <f aca="false">IF(AND(BQ$3&gt;=$E28,BQ$3&lt;=$F28),1,"")</f>
        <v/>
      </c>
      <c r="BR28" s="1" t="str">
        <f aca="false">IF(AND(BR$3&gt;=$E28,BR$3&lt;=$F28),1,"")</f>
        <v/>
      </c>
    </row>
    <row r="29" customFormat="false" ht="15" hidden="false" customHeight="true" outlineLevel="0" collapsed="false">
      <c r="A29" s="1" t="s">
        <v>415</v>
      </c>
      <c r="B29" s="1" t="n">
        <v>34</v>
      </c>
      <c r="C29" s="95" t="s">
        <v>388</v>
      </c>
      <c r="D29" s="1" t="n">
        <v>2</v>
      </c>
      <c r="E29" s="89" t="n">
        <v>46211.2916666667</v>
      </c>
      <c r="F29" s="89" t="n">
        <v>46251.2916666667</v>
      </c>
      <c r="G29" s="95" t="s">
        <v>154</v>
      </c>
      <c r="H29" s="1" t="str">
        <f aca="false">IF($A29="","",TEXT($F29,"MMM-YYYY"))</f>
        <v>Aug-2026</v>
      </c>
      <c r="I29" s="95" t="s">
        <v>150</v>
      </c>
      <c r="J29" s="96" t="n">
        <f aca="false">IF($A29="","",$F29+30)</f>
        <v>46281.2916666667</v>
      </c>
      <c r="K29" s="1" t="s">
        <v>392</v>
      </c>
      <c r="L29" s="1" t="str">
        <f aca="false">IF(AND(L$3&gt;=$E29,L$3&lt;=$F29),1,"")</f>
        <v/>
      </c>
      <c r="M29" s="1" t="str">
        <f aca="false">IF(AND(M$3&gt;=$E29,M$3&lt;=$F29),1,"")</f>
        <v/>
      </c>
      <c r="N29" s="1" t="str">
        <f aca="false">IF(AND(N$3&gt;=$E29,N$3&lt;=$F29),1,"")</f>
        <v/>
      </c>
      <c r="O29" s="1" t="str">
        <f aca="false">IF(AND(O$3&gt;=$E29,O$3&lt;=$F29),1,"")</f>
        <v/>
      </c>
      <c r="P29" s="1" t="str">
        <f aca="false">IF(AND(P$3&gt;=$E29,P$3&lt;=$F29),1,"")</f>
        <v/>
      </c>
      <c r="Q29" s="1" t="str">
        <f aca="false">IF(AND(Q$3&gt;=$E29,Q$3&lt;=$F29),1,"")</f>
        <v/>
      </c>
      <c r="R29" s="1" t="str">
        <f aca="false">IF(AND(R$3&gt;=$E29,R$3&lt;=$F29),1,"")</f>
        <v/>
      </c>
      <c r="S29" s="1" t="str">
        <f aca="false">IF(AND(S$3&gt;=$E29,S$3&lt;=$F29),1,"")</f>
        <v/>
      </c>
      <c r="T29" s="1" t="str">
        <f aca="false">IF(AND(T$3&gt;=$E29,T$3&lt;=$F29),1,"")</f>
        <v/>
      </c>
      <c r="U29" s="1" t="str">
        <f aca="false">IF(AND(U$3&gt;=$E29,U$3&lt;=$F29),1,"")</f>
        <v/>
      </c>
      <c r="V29" s="1" t="str">
        <f aca="false">IF(AND(V$3&gt;=$E29,V$3&lt;=$F29),1,"")</f>
        <v/>
      </c>
      <c r="W29" s="1" t="str">
        <f aca="false">IF(AND(W$3&gt;=$E29,W$3&lt;=$F29),1,"")</f>
        <v/>
      </c>
      <c r="X29" s="1" t="str">
        <f aca="false">IF(AND(X$3&gt;=$E29,X$3&lt;=$F29),1,"")</f>
        <v/>
      </c>
      <c r="Y29" s="1" t="str">
        <f aca="false">IF(AND(Y$3&gt;=$E29,Y$3&lt;=$F29),1,"")</f>
        <v/>
      </c>
      <c r="Z29" s="1" t="str">
        <f aca="false">IF(AND(Z$3&gt;=$E29,Z$3&lt;=$F29),1,"")</f>
        <v/>
      </c>
      <c r="AA29" s="1" t="str">
        <f aca="false">IF(AND(AA$3&gt;=$E29,AA$3&lt;=$F29),1,"")</f>
        <v/>
      </c>
      <c r="AB29" s="1" t="str">
        <f aca="false">IF(AND(AB$3&gt;=$E29,AB$3&lt;=$F29),1,"")</f>
        <v/>
      </c>
      <c r="AC29" s="1" t="str">
        <f aca="false">IF(AND(AC$3&gt;=$E29,AC$3&lt;=$F29),1,"")</f>
        <v/>
      </c>
      <c r="AD29" s="1" t="str">
        <f aca="false">IF(AND(AD$3&gt;=$E29,AD$3&lt;=$F29),1,"")</f>
        <v/>
      </c>
      <c r="AE29" s="1" t="str">
        <f aca="false">IF(AND(AE$3&gt;=$E29,AE$3&lt;=$F29),1,"")</f>
        <v/>
      </c>
      <c r="AF29" s="1" t="str">
        <f aca="false">IF(AND(AF$3&gt;=$E29,AF$3&lt;=$F29),1,"")</f>
        <v/>
      </c>
      <c r="AG29" s="1" t="str">
        <f aca="false">IF(AND(AG$3&gt;=$E29,AG$3&lt;=$F29),1,"")</f>
        <v/>
      </c>
      <c r="AH29" s="1" t="str">
        <f aca="false">IF(AND(AH$3&gt;=$E29,AH$3&lt;=$F29),1,"")</f>
        <v/>
      </c>
      <c r="AI29" s="1" t="str">
        <f aca="false">IF(AND(AI$3&gt;=$E29,AI$3&lt;=$F29),1,"")</f>
        <v/>
      </c>
      <c r="AJ29" s="1" t="str">
        <f aca="false">IF(AND(AJ$3&gt;=$E29,AJ$3&lt;=$F29),1,"")</f>
        <v/>
      </c>
      <c r="AK29" s="1" t="str">
        <f aca="false">IF(AND(AK$3&gt;=$E29,AK$3&lt;=$F29),1,"")</f>
        <v/>
      </c>
      <c r="AL29" s="1" t="str">
        <f aca="false">IF(AND(AL$3&gt;=$E29,AL$3&lt;=$F29),1,"")</f>
        <v/>
      </c>
      <c r="AM29" s="1" t="str">
        <f aca="false">IF(AND(AM$3&gt;=$E29,AM$3&lt;=$F29),1,"")</f>
        <v/>
      </c>
      <c r="AN29" s="1" t="str">
        <f aca="false">IF(AND(AN$3&gt;=$E29,AN$3&lt;=$F29),1,"")</f>
        <v/>
      </c>
      <c r="AO29" s="1" t="str">
        <f aca="false">IF(AND(AO$3&gt;=$E29,AO$3&lt;=$F29),1,"")</f>
        <v/>
      </c>
      <c r="AP29" s="1" t="str">
        <f aca="false">IF(AND(AP$3&gt;=$E29,AP$3&lt;=$F29),1,"")</f>
        <v/>
      </c>
      <c r="AQ29" s="1" t="str">
        <f aca="false">IF(AND(AQ$3&gt;=$E29,AQ$3&lt;=$F29),1,"")</f>
        <v/>
      </c>
      <c r="AR29" s="1" t="str">
        <f aca="false">IF(AND(AR$3&gt;=$E29,AR$3&lt;=$F29),1,"")</f>
        <v/>
      </c>
      <c r="AS29" s="1" t="str">
        <f aca="false">IF(AND(AS$3&gt;=$E29,AS$3&lt;=$F29),1,"")</f>
        <v/>
      </c>
      <c r="AT29" s="1" t="str">
        <f aca="false">IF(AND(AT$3&gt;=$E29,AT$3&lt;=$F29),1,"")</f>
        <v/>
      </c>
      <c r="AU29" s="1" t="str">
        <f aca="false">IF(AND(AU$3&gt;=$E29,AU$3&lt;=$F29),1,"")</f>
        <v/>
      </c>
      <c r="AV29" s="1" t="str">
        <f aca="false">IF(AND(AV$3&gt;=$E29,AV$3&lt;=$F29),1,"")</f>
        <v/>
      </c>
      <c r="AW29" s="1" t="str">
        <f aca="false">IF(AND(AW$3&gt;=$E29,AW$3&lt;=$F29),1,"")</f>
        <v/>
      </c>
      <c r="AX29" s="1" t="str">
        <f aca="false">IF(AND(AX$3&gt;=$E29,AX$3&lt;=$F29),1,"")</f>
        <v/>
      </c>
      <c r="AY29" s="1" t="str">
        <f aca="false">IF(AND(AY$3&gt;=$E29,AY$3&lt;=$F29),1,"")</f>
        <v/>
      </c>
      <c r="AZ29" s="1" t="str">
        <f aca="false">IF(AND(AZ$3&gt;=$E29,AZ$3&lt;=$F29),1,"")</f>
        <v/>
      </c>
      <c r="BA29" s="1" t="str">
        <f aca="false">IF(AND(BA$3&gt;=$E29,BA$3&lt;=$F29),1,"")</f>
        <v/>
      </c>
      <c r="BB29" s="1" t="str">
        <f aca="false">IF(AND(BB$3&gt;=$E29,BB$3&lt;=$F29),1,"")</f>
        <v/>
      </c>
      <c r="BC29" s="1" t="str">
        <f aca="false">IF(AND(BC$3&gt;=$E29,BC$3&lt;=$F29),1,"")</f>
        <v/>
      </c>
      <c r="BD29" s="1" t="str">
        <f aca="false">IF(AND(BD$3&gt;=$E29,BD$3&lt;=$F29),1,"")</f>
        <v/>
      </c>
      <c r="BE29" s="1" t="str">
        <f aca="false">IF(AND(BE$3&gt;=$E29,BE$3&lt;=$F29),1,"")</f>
        <v/>
      </c>
      <c r="BF29" s="1" t="str">
        <f aca="false">IF(AND(BF$3&gt;=$E29,BF$3&lt;=$F29),1,"")</f>
        <v/>
      </c>
      <c r="BG29" s="1" t="str">
        <f aca="false">IF(AND(BG$3&gt;=$E29,BG$3&lt;=$F29),1,"")</f>
        <v/>
      </c>
      <c r="BH29" s="1" t="str">
        <f aca="false">IF(AND(BH$3&gt;=$E29,BH$3&lt;=$F29),1,"")</f>
        <v/>
      </c>
      <c r="BI29" s="1" t="str">
        <f aca="false">IF(AND(BI$3&gt;=$E29,BI$3&lt;=$F29),1,"")</f>
        <v/>
      </c>
      <c r="BJ29" s="1" t="str">
        <f aca="false">IF(AND(BJ$3&gt;=$E29,BJ$3&lt;=$F29),1,"")</f>
        <v/>
      </c>
      <c r="BK29" s="1" t="str">
        <f aca="false">IF(AND(BK$3&gt;=$E29,BK$3&lt;=$F29),1,"")</f>
        <v/>
      </c>
      <c r="BL29" s="1" t="str">
        <f aca="false">IF(AND(BL$3&gt;=$E29,BL$3&lt;=$F29),1,"")</f>
        <v/>
      </c>
      <c r="BM29" s="1" t="str">
        <f aca="false">IF(AND(BM$3&gt;=$E29,BM$3&lt;=$F29),1,"")</f>
        <v/>
      </c>
      <c r="BN29" s="1" t="str">
        <f aca="false">IF(AND(BN$3&gt;=$E29,BN$3&lt;=$F29),1,"")</f>
        <v/>
      </c>
      <c r="BO29" s="1" t="str">
        <f aca="false">IF(AND(BO$3&gt;=$E29,BO$3&lt;=$F29),1,"")</f>
        <v/>
      </c>
      <c r="BP29" s="1" t="str">
        <f aca="false">IF(AND(BP$3&gt;=$E29,BP$3&lt;=$F29),1,"")</f>
        <v/>
      </c>
      <c r="BQ29" s="1" t="str">
        <f aca="false">IF(AND(BQ$3&gt;=$E29,BQ$3&lt;=$F29),1,"")</f>
        <v/>
      </c>
      <c r="BR29" s="1" t="str">
        <f aca="false">IF(AND(BR$3&gt;=$E29,BR$3&lt;=$F29),1,"")</f>
        <v/>
      </c>
    </row>
    <row r="30" customFormat="false" ht="15" hidden="false" customHeight="true" outlineLevel="0" collapsed="false">
      <c r="A30" s="1" t="s">
        <v>416</v>
      </c>
      <c r="B30" s="1" t="n">
        <v>57</v>
      </c>
      <c r="C30" s="95" t="s">
        <v>386</v>
      </c>
      <c r="D30" s="1" t="n">
        <v>3</v>
      </c>
      <c r="E30" s="89" t="n">
        <v>46147.2916666667</v>
      </c>
      <c r="F30" s="89" t="n">
        <v>46172.2916666667</v>
      </c>
      <c r="G30" s="95" t="s">
        <v>161</v>
      </c>
      <c r="H30" s="1" t="str">
        <f aca="false">IF($A30="","",TEXT($F30,"MMM-YYYY"))</f>
        <v>May-2026</v>
      </c>
      <c r="I30" s="95" t="s">
        <v>150</v>
      </c>
      <c r="J30" s="96" t="n">
        <f aca="false">IF($A30="","",$F30+30)</f>
        <v>46202.2916666667</v>
      </c>
      <c r="K30" s="1" t="s">
        <v>159</v>
      </c>
      <c r="L30" s="1" t="str">
        <f aca="false">IF(AND(L$3&gt;=$E30,L$3&lt;=$F30),1,"")</f>
        <v/>
      </c>
      <c r="M30" s="1" t="str">
        <f aca="false">IF(AND(M$3&gt;=$E30,M$3&lt;=$F30),1,"")</f>
        <v/>
      </c>
      <c r="N30" s="1" t="str">
        <f aca="false">IF(AND(N$3&gt;=$E30,N$3&lt;=$F30),1,"")</f>
        <v/>
      </c>
      <c r="O30" s="1" t="str">
        <f aca="false">IF(AND(O$3&gt;=$E30,O$3&lt;=$F30),1,"")</f>
        <v/>
      </c>
      <c r="P30" s="1" t="str">
        <f aca="false">IF(AND(P$3&gt;=$E30,P$3&lt;=$F30),1,"")</f>
        <v/>
      </c>
      <c r="Q30" s="1" t="str">
        <f aca="false">IF(AND(Q$3&gt;=$E30,Q$3&lt;=$F30),1,"")</f>
        <v/>
      </c>
      <c r="R30" s="1" t="str">
        <f aca="false">IF(AND(R$3&gt;=$E30,R$3&lt;=$F30),1,"")</f>
        <v/>
      </c>
      <c r="S30" s="1" t="str">
        <f aca="false">IF(AND(S$3&gt;=$E30,S$3&lt;=$F30),1,"")</f>
        <v/>
      </c>
      <c r="T30" s="1" t="str">
        <f aca="false">IF(AND(T$3&gt;=$E30,T$3&lt;=$F30),1,"")</f>
        <v/>
      </c>
      <c r="U30" s="1" t="str">
        <f aca="false">IF(AND(U$3&gt;=$E30,U$3&lt;=$F30),1,"")</f>
        <v/>
      </c>
      <c r="V30" s="1" t="str">
        <f aca="false">IF(AND(V$3&gt;=$E30,V$3&lt;=$F30),1,"")</f>
        <v/>
      </c>
      <c r="W30" s="1" t="str">
        <f aca="false">IF(AND(W$3&gt;=$E30,W$3&lt;=$F30),1,"")</f>
        <v/>
      </c>
      <c r="X30" s="1" t="str">
        <f aca="false">IF(AND(X$3&gt;=$E30,X$3&lt;=$F30),1,"")</f>
        <v/>
      </c>
      <c r="Y30" s="1" t="str">
        <f aca="false">IF(AND(Y$3&gt;=$E30,Y$3&lt;=$F30),1,"")</f>
        <v/>
      </c>
      <c r="Z30" s="1" t="str">
        <f aca="false">IF(AND(Z$3&gt;=$E30,Z$3&lt;=$F30),1,"")</f>
        <v/>
      </c>
      <c r="AA30" s="1" t="str">
        <f aca="false">IF(AND(AA$3&gt;=$E30,AA$3&lt;=$F30),1,"")</f>
        <v/>
      </c>
      <c r="AB30" s="1" t="str">
        <f aca="false">IF(AND(AB$3&gt;=$E30,AB$3&lt;=$F30),1,"")</f>
        <v/>
      </c>
      <c r="AC30" s="1" t="str">
        <f aca="false">IF(AND(AC$3&gt;=$E30,AC$3&lt;=$F30),1,"")</f>
        <v/>
      </c>
      <c r="AD30" s="1" t="str">
        <f aca="false">IF(AND(AD$3&gt;=$E30,AD$3&lt;=$F30),1,"")</f>
        <v/>
      </c>
      <c r="AE30" s="1" t="str">
        <f aca="false">IF(AND(AE$3&gt;=$E30,AE$3&lt;=$F30),1,"")</f>
        <v/>
      </c>
      <c r="AF30" s="1" t="str">
        <f aca="false">IF(AND(AF$3&gt;=$E30,AF$3&lt;=$F30),1,"")</f>
        <v/>
      </c>
      <c r="AG30" s="1" t="str">
        <f aca="false">IF(AND(AG$3&gt;=$E30,AG$3&lt;=$F30),1,"")</f>
        <v/>
      </c>
      <c r="AH30" s="1" t="str">
        <f aca="false">IF(AND(AH$3&gt;=$E30,AH$3&lt;=$F30),1,"")</f>
        <v/>
      </c>
      <c r="AI30" s="1" t="str">
        <f aca="false">IF(AND(AI$3&gt;=$E30,AI$3&lt;=$F30),1,"")</f>
        <v/>
      </c>
      <c r="AJ30" s="1" t="str">
        <f aca="false">IF(AND(AJ$3&gt;=$E30,AJ$3&lt;=$F30),1,"")</f>
        <v/>
      </c>
      <c r="AK30" s="1" t="str">
        <f aca="false">IF(AND(AK$3&gt;=$E30,AK$3&lt;=$F30),1,"")</f>
        <v/>
      </c>
      <c r="AL30" s="1" t="str">
        <f aca="false">IF(AND(AL$3&gt;=$E30,AL$3&lt;=$F30),1,"")</f>
        <v/>
      </c>
      <c r="AM30" s="1" t="str">
        <f aca="false">IF(AND(AM$3&gt;=$E30,AM$3&lt;=$F30),1,"")</f>
        <v/>
      </c>
      <c r="AN30" s="1" t="str">
        <f aca="false">IF(AND(AN$3&gt;=$E30,AN$3&lt;=$F30),1,"")</f>
        <v/>
      </c>
      <c r="AO30" s="1" t="str">
        <f aca="false">IF(AND(AO$3&gt;=$E30,AO$3&lt;=$F30),1,"")</f>
        <v/>
      </c>
      <c r="AP30" s="1" t="str">
        <f aca="false">IF(AND(AP$3&gt;=$E30,AP$3&lt;=$F30),1,"")</f>
        <v/>
      </c>
      <c r="AQ30" s="1" t="str">
        <f aca="false">IF(AND(AQ$3&gt;=$E30,AQ$3&lt;=$F30),1,"")</f>
        <v/>
      </c>
      <c r="AR30" s="1" t="str">
        <f aca="false">IF(AND(AR$3&gt;=$E30,AR$3&lt;=$F30),1,"")</f>
        <v/>
      </c>
      <c r="AS30" s="1" t="str">
        <f aca="false">IF(AND(AS$3&gt;=$E30,AS$3&lt;=$F30),1,"")</f>
        <v/>
      </c>
      <c r="AT30" s="1" t="n">
        <f aca="false">IF(AND(AT$3&gt;=$E30,AT$3&lt;=$F30),1,"")</f>
        <v>1</v>
      </c>
      <c r="AU30" s="1" t="n">
        <f aca="false">IF(AND(AU$3&gt;=$E30,AU$3&lt;=$F30),1,"")</f>
        <v>1</v>
      </c>
      <c r="AV30" s="1" t="n">
        <f aca="false">IF(AND(AV$3&gt;=$E30,AV$3&lt;=$F30),1,"")</f>
        <v>1</v>
      </c>
      <c r="AW30" s="1" t="n">
        <f aca="false">IF(AND(AW$3&gt;=$E30,AW$3&lt;=$F30),1,"")</f>
        <v>1</v>
      </c>
      <c r="AX30" s="1" t="n">
        <f aca="false">IF(AND(AX$3&gt;=$E30,AX$3&lt;=$F30),1,"")</f>
        <v>1</v>
      </c>
      <c r="AY30" s="1" t="n">
        <f aca="false">IF(AND(AY$3&gt;=$E30,AY$3&lt;=$F30),1,"")</f>
        <v>1</v>
      </c>
      <c r="AZ30" s="1" t="n">
        <f aca="false">IF(AND(AZ$3&gt;=$E30,AZ$3&lt;=$F30),1,"")</f>
        <v>1</v>
      </c>
      <c r="BA30" s="1" t="n">
        <f aca="false">IF(AND(BA$3&gt;=$E30,BA$3&lt;=$F30),1,"")</f>
        <v>1</v>
      </c>
      <c r="BB30" s="1" t="n">
        <f aca="false">IF(AND(BB$3&gt;=$E30,BB$3&lt;=$F30),1,"")</f>
        <v>1</v>
      </c>
      <c r="BC30" s="1" t="n">
        <f aca="false">IF(AND(BC$3&gt;=$E30,BC$3&lt;=$F30),1,"")</f>
        <v>1</v>
      </c>
      <c r="BD30" s="1" t="n">
        <f aca="false">IF(AND(BD$3&gt;=$E30,BD$3&lt;=$F30),1,"")</f>
        <v>1</v>
      </c>
      <c r="BE30" s="1" t="n">
        <f aca="false">IF(AND(BE$3&gt;=$E30,BE$3&lt;=$F30),1,"")</f>
        <v>1</v>
      </c>
      <c r="BF30" s="1" t="n">
        <f aca="false">IF(AND(BF$3&gt;=$E30,BF$3&lt;=$F30),1,"")</f>
        <v>1</v>
      </c>
      <c r="BG30" s="1" t="n">
        <f aca="false">IF(AND(BG$3&gt;=$E30,BG$3&lt;=$F30),1,"")</f>
        <v>1</v>
      </c>
      <c r="BH30" s="1" t="n">
        <f aca="false">IF(AND(BH$3&gt;=$E30,BH$3&lt;=$F30),1,"")</f>
        <v>1</v>
      </c>
      <c r="BI30" s="1" t="n">
        <f aca="false">IF(AND(BI$3&gt;=$E30,BI$3&lt;=$F30),1,"")</f>
        <v>1</v>
      </c>
      <c r="BJ30" s="1" t="n">
        <f aca="false">IF(AND(BJ$3&gt;=$E30,BJ$3&lt;=$F30),1,"")</f>
        <v>1</v>
      </c>
      <c r="BK30" s="1" t="n">
        <f aca="false">IF(AND(BK$3&gt;=$E30,BK$3&lt;=$F30),1,"")</f>
        <v>1</v>
      </c>
      <c r="BL30" s="1" t="n">
        <f aca="false">IF(AND(BL$3&gt;=$E30,BL$3&lt;=$F30),1,"")</f>
        <v>1</v>
      </c>
      <c r="BM30" s="1" t="n">
        <f aca="false">IF(AND(BM$3&gt;=$E30,BM$3&lt;=$F30),1,"")</f>
        <v>1</v>
      </c>
      <c r="BN30" s="1" t="n">
        <f aca="false">IF(AND(BN$3&gt;=$E30,BN$3&lt;=$F30),1,"")</f>
        <v>1</v>
      </c>
      <c r="BO30" s="1" t="n">
        <f aca="false">IF(AND(BO$3&gt;=$E30,BO$3&lt;=$F30),1,"")</f>
        <v>1</v>
      </c>
      <c r="BP30" s="1" t="n">
        <f aca="false">IF(AND(BP$3&gt;=$E30,BP$3&lt;=$F30),1,"")</f>
        <v>1</v>
      </c>
      <c r="BQ30" s="1" t="n">
        <f aca="false">IF(AND(BQ$3&gt;=$E30,BQ$3&lt;=$F30),1,"")</f>
        <v>1</v>
      </c>
      <c r="BR30" s="1" t="n">
        <f aca="false">IF(AND(BR$3&gt;=$E30,BR$3&lt;=$F30),1,"")</f>
        <v>1</v>
      </c>
    </row>
    <row r="31" customFormat="false" ht="15" hidden="false" customHeight="true" outlineLevel="0" collapsed="false">
      <c r="A31" s="1" t="s">
        <v>417</v>
      </c>
      <c r="B31" s="1" t="n">
        <v>30</v>
      </c>
      <c r="C31" s="95" t="s">
        <v>398</v>
      </c>
      <c r="D31" s="1" t="n">
        <v>2</v>
      </c>
      <c r="E31" s="89" t="n">
        <v>46224.2916666667</v>
      </c>
      <c r="F31" s="89" t="n">
        <v>46279.2916666667</v>
      </c>
      <c r="G31" s="95" t="s">
        <v>146</v>
      </c>
      <c r="H31" s="1" t="str">
        <f aca="false">IF($A31="","",TEXT($F31,"MMM-YYYY"))</f>
        <v>Sep-2026</v>
      </c>
      <c r="I31" s="95" t="s">
        <v>157</v>
      </c>
      <c r="J31" s="96" t="n">
        <f aca="false">IF($A31="","",$F31+30)</f>
        <v>46309.2916666667</v>
      </c>
      <c r="K31" s="1" t="s">
        <v>159</v>
      </c>
      <c r="L31" s="1" t="str">
        <f aca="false">IF(AND(L$3&gt;=$E31,L$3&lt;=$F31),1,"")</f>
        <v/>
      </c>
      <c r="M31" s="1" t="str">
        <f aca="false">IF(AND(M$3&gt;=$E31,M$3&lt;=$F31),1,"")</f>
        <v/>
      </c>
      <c r="N31" s="1" t="str">
        <f aca="false">IF(AND(N$3&gt;=$E31,N$3&lt;=$F31),1,"")</f>
        <v/>
      </c>
      <c r="O31" s="1" t="str">
        <f aca="false">IF(AND(O$3&gt;=$E31,O$3&lt;=$F31),1,"")</f>
        <v/>
      </c>
      <c r="P31" s="1" t="str">
        <f aca="false">IF(AND(P$3&gt;=$E31,P$3&lt;=$F31),1,"")</f>
        <v/>
      </c>
      <c r="Q31" s="1" t="str">
        <f aca="false">IF(AND(Q$3&gt;=$E31,Q$3&lt;=$F31),1,"")</f>
        <v/>
      </c>
      <c r="R31" s="1" t="str">
        <f aca="false">IF(AND(R$3&gt;=$E31,R$3&lt;=$F31),1,"")</f>
        <v/>
      </c>
      <c r="S31" s="1" t="str">
        <f aca="false">IF(AND(S$3&gt;=$E31,S$3&lt;=$F31),1,"")</f>
        <v/>
      </c>
      <c r="T31" s="1" t="str">
        <f aca="false">IF(AND(T$3&gt;=$E31,T$3&lt;=$F31),1,"")</f>
        <v/>
      </c>
      <c r="U31" s="1" t="str">
        <f aca="false">IF(AND(U$3&gt;=$E31,U$3&lt;=$F31),1,"")</f>
        <v/>
      </c>
      <c r="V31" s="1" t="str">
        <f aca="false">IF(AND(V$3&gt;=$E31,V$3&lt;=$F31),1,"")</f>
        <v/>
      </c>
      <c r="W31" s="1" t="str">
        <f aca="false">IF(AND(W$3&gt;=$E31,W$3&lt;=$F31),1,"")</f>
        <v/>
      </c>
      <c r="X31" s="1" t="str">
        <f aca="false">IF(AND(X$3&gt;=$E31,X$3&lt;=$F31),1,"")</f>
        <v/>
      </c>
      <c r="Y31" s="1" t="str">
        <f aca="false">IF(AND(Y$3&gt;=$E31,Y$3&lt;=$F31),1,"")</f>
        <v/>
      </c>
      <c r="Z31" s="1" t="str">
        <f aca="false">IF(AND(Z$3&gt;=$E31,Z$3&lt;=$F31),1,"")</f>
        <v/>
      </c>
      <c r="AA31" s="1" t="str">
        <f aca="false">IF(AND(AA$3&gt;=$E31,AA$3&lt;=$F31),1,"")</f>
        <v/>
      </c>
      <c r="AB31" s="1" t="str">
        <f aca="false">IF(AND(AB$3&gt;=$E31,AB$3&lt;=$F31),1,"")</f>
        <v/>
      </c>
      <c r="AC31" s="1" t="str">
        <f aca="false">IF(AND(AC$3&gt;=$E31,AC$3&lt;=$F31),1,"")</f>
        <v/>
      </c>
      <c r="AD31" s="1" t="str">
        <f aca="false">IF(AND(AD$3&gt;=$E31,AD$3&lt;=$F31),1,"")</f>
        <v/>
      </c>
      <c r="AE31" s="1" t="str">
        <f aca="false">IF(AND(AE$3&gt;=$E31,AE$3&lt;=$F31),1,"")</f>
        <v/>
      </c>
      <c r="AF31" s="1" t="str">
        <f aca="false">IF(AND(AF$3&gt;=$E31,AF$3&lt;=$F31),1,"")</f>
        <v/>
      </c>
      <c r="AG31" s="1" t="str">
        <f aca="false">IF(AND(AG$3&gt;=$E31,AG$3&lt;=$F31),1,"")</f>
        <v/>
      </c>
      <c r="AH31" s="1" t="str">
        <f aca="false">IF(AND(AH$3&gt;=$E31,AH$3&lt;=$F31),1,"")</f>
        <v/>
      </c>
      <c r="AI31" s="1" t="str">
        <f aca="false">IF(AND(AI$3&gt;=$E31,AI$3&lt;=$F31),1,"")</f>
        <v/>
      </c>
      <c r="AJ31" s="1" t="str">
        <f aca="false">IF(AND(AJ$3&gt;=$E31,AJ$3&lt;=$F31),1,"")</f>
        <v/>
      </c>
      <c r="AK31" s="1" t="str">
        <f aca="false">IF(AND(AK$3&gt;=$E31,AK$3&lt;=$F31),1,"")</f>
        <v/>
      </c>
      <c r="AL31" s="1" t="str">
        <f aca="false">IF(AND(AL$3&gt;=$E31,AL$3&lt;=$F31),1,"")</f>
        <v/>
      </c>
      <c r="AM31" s="1" t="str">
        <f aca="false">IF(AND(AM$3&gt;=$E31,AM$3&lt;=$F31),1,"")</f>
        <v/>
      </c>
      <c r="AN31" s="1" t="str">
        <f aca="false">IF(AND(AN$3&gt;=$E31,AN$3&lt;=$F31),1,"")</f>
        <v/>
      </c>
      <c r="AO31" s="1" t="str">
        <f aca="false">IF(AND(AO$3&gt;=$E31,AO$3&lt;=$F31),1,"")</f>
        <v/>
      </c>
      <c r="AP31" s="1" t="str">
        <f aca="false">IF(AND(AP$3&gt;=$E31,AP$3&lt;=$F31),1,"")</f>
        <v/>
      </c>
      <c r="AQ31" s="1" t="str">
        <f aca="false">IF(AND(AQ$3&gt;=$E31,AQ$3&lt;=$F31),1,"")</f>
        <v/>
      </c>
      <c r="AR31" s="1" t="str">
        <f aca="false">IF(AND(AR$3&gt;=$E31,AR$3&lt;=$F31),1,"")</f>
        <v/>
      </c>
      <c r="AS31" s="1" t="str">
        <f aca="false">IF(AND(AS$3&gt;=$E31,AS$3&lt;=$F31),1,"")</f>
        <v/>
      </c>
      <c r="AT31" s="1" t="str">
        <f aca="false">IF(AND(AT$3&gt;=$E31,AT$3&lt;=$F31),1,"")</f>
        <v/>
      </c>
      <c r="AU31" s="1" t="str">
        <f aca="false">IF(AND(AU$3&gt;=$E31,AU$3&lt;=$F31),1,"")</f>
        <v/>
      </c>
      <c r="AV31" s="1" t="str">
        <f aca="false">IF(AND(AV$3&gt;=$E31,AV$3&lt;=$F31),1,"")</f>
        <v/>
      </c>
      <c r="AW31" s="1" t="str">
        <f aca="false">IF(AND(AW$3&gt;=$E31,AW$3&lt;=$F31),1,"")</f>
        <v/>
      </c>
      <c r="AX31" s="1" t="str">
        <f aca="false">IF(AND(AX$3&gt;=$E31,AX$3&lt;=$F31),1,"")</f>
        <v/>
      </c>
      <c r="AY31" s="1" t="str">
        <f aca="false">IF(AND(AY$3&gt;=$E31,AY$3&lt;=$F31),1,"")</f>
        <v/>
      </c>
      <c r="AZ31" s="1" t="str">
        <f aca="false">IF(AND(AZ$3&gt;=$E31,AZ$3&lt;=$F31),1,"")</f>
        <v/>
      </c>
      <c r="BA31" s="1" t="str">
        <f aca="false">IF(AND(BA$3&gt;=$E31,BA$3&lt;=$F31),1,"")</f>
        <v/>
      </c>
      <c r="BB31" s="1" t="str">
        <f aca="false">IF(AND(BB$3&gt;=$E31,BB$3&lt;=$F31),1,"")</f>
        <v/>
      </c>
      <c r="BC31" s="1" t="str">
        <f aca="false">IF(AND(BC$3&gt;=$E31,BC$3&lt;=$F31),1,"")</f>
        <v/>
      </c>
      <c r="BD31" s="1" t="str">
        <f aca="false">IF(AND(BD$3&gt;=$E31,BD$3&lt;=$F31),1,"")</f>
        <v/>
      </c>
      <c r="BE31" s="1" t="str">
        <f aca="false">IF(AND(BE$3&gt;=$E31,BE$3&lt;=$F31),1,"")</f>
        <v/>
      </c>
      <c r="BF31" s="1" t="str">
        <f aca="false">IF(AND(BF$3&gt;=$E31,BF$3&lt;=$F31),1,"")</f>
        <v/>
      </c>
      <c r="BG31" s="1" t="str">
        <f aca="false">IF(AND(BG$3&gt;=$E31,BG$3&lt;=$F31),1,"")</f>
        <v/>
      </c>
      <c r="BH31" s="1" t="str">
        <f aca="false">IF(AND(BH$3&gt;=$E31,BH$3&lt;=$F31),1,"")</f>
        <v/>
      </c>
      <c r="BI31" s="1" t="str">
        <f aca="false">IF(AND(BI$3&gt;=$E31,BI$3&lt;=$F31),1,"")</f>
        <v/>
      </c>
      <c r="BJ31" s="1" t="str">
        <f aca="false">IF(AND(BJ$3&gt;=$E31,BJ$3&lt;=$F31),1,"")</f>
        <v/>
      </c>
      <c r="BK31" s="1" t="str">
        <f aca="false">IF(AND(BK$3&gt;=$E31,BK$3&lt;=$F31),1,"")</f>
        <v/>
      </c>
      <c r="BL31" s="1" t="str">
        <f aca="false">IF(AND(BL$3&gt;=$E31,BL$3&lt;=$F31),1,"")</f>
        <v/>
      </c>
      <c r="BM31" s="1" t="str">
        <f aca="false">IF(AND(BM$3&gt;=$E31,BM$3&lt;=$F31),1,"")</f>
        <v/>
      </c>
      <c r="BN31" s="1" t="str">
        <f aca="false">IF(AND(BN$3&gt;=$E31,BN$3&lt;=$F31),1,"")</f>
        <v/>
      </c>
      <c r="BO31" s="1" t="str">
        <f aca="false">IF(AND(BO$3&gt;=$E31,BO$3&lt;=$F31),1,"")</f>
        <v/>
      </c>
      <c r="BP31" s="1" t="str">
        <f aca="false">IF(AND(BP$3&gt;=$E31,BP$3&lt;=$F31),1,"")</f>
        <v/>
      </c>
      <c r="BQ31" s="1" t="str">
        <f aca="false">IF(AND(BQ$3&gt;=$E31,BQ$3&lt;=$F31),1,"")</f>
        <v/>
      </c>
      <c r="BR31" s="1" t="str">
        <f aca="false">IF(AND(BR$3&gt;=$E31,BR$3&lt;=$F31),1,"")</f>
        <v/>
      </c>
    </row>
    <row r="32" customFormat="false" ht="15" hidden="false" customHeight="true" outlineLevel="0" collapsed="false">
      <c r="A32" s="1" t="s">
        <v>418</v>
      </c>
      <c r="B32" s="1" t="n">
        <v>15</v>
      </c>
      <c r="C32" s="95" t="s">
        <v>395</v>
      </c>
      <c r="D32" s="1" t="n">
        <v>1</v>
      </c>
      <c r="E32" s="89" t="n">
        <v>46116.2916666667</v>
      </c>
      <c r="F32" s="89" t="n">
        <v>46141.2916666667</v>
      </c>
      <c r="G32" s="95" t="s">
        <v>161</v>
      </c>
      <c r="H32" s="1" t="str">
        <f aca="false">IF($A32="","",TEXT($F32,"MMM-YYYY"))</f>
        <v>Apr-2026</v>
      </c>
      <c r="I32" s="95" t="s">
        <v>150</v>
      </c>
      <c r="J32" s="96" t="n">
        <f aca="false">IF($A32="","",$F32+30)</f>
        <v>46171.2916666667</v>
      </c>
      <c r="K32" s="1" t="s">
        <v>151</v>
      </c>
      <c r="L32" s="1" t="str">
        <f aca="false">IF(AND(L$3&gt;=$E32,L$3&lt;=$F32),1,"")</f>
        <v/>
      </c>
      <c r="M32" s="1" t="str">
        <f aca="false">IF(AND(M$3&gt;=$E32,M$3&lt;=$F32),1,"")</f>
        <v/>
      </c>
      <c r="N32" s="1" t="str">
        <f aca="false">IF(AND(N$3&gt;=$E32,N$3&lt;=$F32),1,"")</f>
        <v/>
      </c>
      <c r="O32" s="1" t="str">
        <f aca="false">IF(AND(O$3&gt;=$E32,O$3&lt;=$F32),1,"")</f>
        <v/>
      </c>
      <c r="P32" s="1" t="n">
        <f aca="false">IF(AND(P$3&gt;=$E32,P$3&lt;=$F32),1,"")</f>
        <v>1</v>
      </c>
      <c r="Q32" s="1" t="n">
        <f aca="false">IF(AND(Q$3&gt;=$E32,Q$3&lt;=$F32),1,"")</f>
        <v>1</v>
      </c>
      <c r="R32" s="1" t="n">
        <f aca="false">IF(AND(R$3&gt;=$E32,R$3&lt;=$F32),1,"")</f>
        <v>1</v>
      </c>
      <c r="S32" s="1" t="n">
        <f aca="false">IF(AND(S$3&gt;=$E32,S$3&lt;=$F32),1,"")</f>
        <v>1</v>
      </c>
      <c r="T32" s="1" t="n">
        <f aca="false">IF(AND(T$3&gt;=$E32,T$3&lt;=$F32),1,"")</f>
        <v>1</v>
      </c>
      <c r="U32" s="1" t="n">
        <f aca="false">IF(AND(U$3&gt;=$E32,U$3&lt;=$F32),1,"")</f>
        <v>1</v>
      </c>
      <c r="V32" s="1" t="n">
        <f aca="false">IF(AND(V$3&gt;=$E32,V$3&lt;=$F32),1,"")</f>
        <v>1</v>
      </c>
      <c r="W32" s="1" t="n">
        <f aca="false">IF(AND(W$3&gt;=$E32,W$3&lt;=$F32),1,"")</f>
        <v>1</v>
      </c>
      <c r="X32" s="1" t="n">
        <f aca="false">IF(AND(X$3&gt;=$E32,X$3&lt;=$F32),1,"")</f>
        <v>1</v>
      </c>
      <c r="Y32" s="1" t="n">
        <f aca="false">IF(AND(Y$3&gt;=$E32,Y$3&lt;=$F32),1,"")</f>
        <v>1</v>
      </c>
      <c r="Z32" s="1" t="n">
        <f aca="false">IF(AND(Z$3&gt;=$E32,Z$3&lt;=$F32),1,"")</f>
        <v>1</v>
      </c>
      <c r="AA32" s="1" t="n">
        <f aca="false">IF(AND(AA$3&gt;=$E32,AA$3&lt;=$F32),1,"")</f>
        <v>1</v>
      </c>
      <c r="AB32" s="1" t="n">
        <f aca="false">IF(AND(AB$3&gt;=$E32,AB$3&lt;=$F32),1,"")</f>
        <v>1</v>
      </c>
      <c r="AC32" s="1" t="n">
        <f aca="false">IF(AND(AC$3&gt;=$E32,AC$3&lt;=$F32),1,"")</f>
        <v>1</v>
      </c>
      <c r="AD32" s="1" t="n">
        <f aca="false">IF(AND(AD$3&gt;=$E32,AD$3&lt;=$F32),1,"")</f>
        <v>1</v>
      </c>
      <c r="AE32" s="1" t="n">
        <f aca="false">IF(AND(AE$3&gt;=$E32,AE$3&lt;=$F32),1,"")</f>
        <v>1</v>
      </c>
      <c r="AF32" s="1" t="n">
        <f aca="false">IF(AND(AF$3&gt;=$E32,AF$3&lt;=$F32),1,"")</f>
        <v>1</v>
      </c>
      <c r="AG32" s="1" t="n">
        <f aca="false">IF(AND(AG$3&gt;=$E32,AG$3&lt;=$F32),1,"")</f>
        <v>1</v>
      </c>
      <c r="AH32" s="1" t="n">
        <f aca="false">IF(AND(AH$3&gt;=$E32,AH$3&lt;=$F32),1,"")</f>
        <v>1</v>
      </c>
      <c r="AI32" s="1" t="n">
        <f aca="false">IF(AND(AI$3&gt;=$E32,AI$3&lt;=$F32),1,"")</f>
        <v>1</v>
      </c>
      <c r="AJ32" s="1" t="n">
        <f aca="false">IF(AND(AJ$3&gt;=$E32,AJ$3&lt;=$F32),1,"")</f>
        <v>1</v>
      </c>
      <c r="AK32" s="1" t="n">
        <f aca="false">IF(AND(AK$3&gt;=$E32,AK$3&lt;=$F32),1,"")</f>
        <v>1</v>
      </c>
      <c r="AL32" s="1" t="n">
        <f aca="false">IF(AND(AL$3&gt;=$E32,AL$3&lt;=$F32),1,"")</f>
        <v>1</v>
      </c>
      <c r="AM32" s="1" t="n">
        <f aca="false">IF(AND(AM$3&gt;=$E32,AM$3&lt;=$F32),1,"")</f>
        <v>1</v>
      </c>
      <c r="AN32" s="1" t="str">
        <f aca="false">IF(AND(AN$3&gt;=$E32,AN$3&lt;=$F32),1,"")</f>
        <v/>
      </c>
      <c r="AO32" s="1" t="str">
        <f aca="false">IF(AND(AO$3&gt;=$E32,AO$3&lt;=$F32),1,"")</f>
        <v/>
      </c>
      <c r="AP32" s="1" t="str">
        <f aca="false">IF(AND(AP$3&gt;=$E32,AP$3&lt;=$F32),1,"")</f>
        <v/>
      </c>
      <c r="AQ32" s="1" t="str">
        <f aca="false">IF(AND(AQ$3&gt;=$E32,AQ$3&lt;=$F32),1,"")</f>
        <v/>
      </c>
      <c r="AR32" s="1" t="str">
        <f aca="false">IF(AND(AR$3&gt;=$E32,AR$3&lt;=$F32),1,"")</f>
        <v/>
      </c>
      <c r="AS32" s="1" t="str">
        <f aca="false">IF(AND(AS$3&gt;=$E32,AS$3&lt;=$F32),1,"")</f>
        <v/>
      </c>
      <c r="AT32" s="1" t="str">
        <f aca="false">IF(AND(AT$3&gt;=$E32,AT$3&lt;=$F32),1,"")</f>
        <v/>
      </c>
      <c r="AU32" s="1" t="str">
        <f aca="false">IF(AND(AU$3&gt;=$E32,AU$3&lt;=$F32),1,"")</f>
        <v/>
      </c>
      <c r="AV32" s="1" t="str">
        <f aca="false">IF(AND(AV$3&gt;=$E32,AV$3&lt;=$F32),1,"")</f>
        <v/>
      </c>
      <c r="AW32" s="1" t="str">
        <f aca="false">IF(AND(AW$3&gt;=$E32,AW$3&lt;=$F32),1,"")</f>
        <v/>
      </c>
      <c r="AX32" s="1" t="str">
        <f aca="false">IF(AND(AX$3&gt;=$E32,AX$3&lt;=$F32),1,"")</f>
        <v/>
      </c>
      <c r="AY32" s="1" t="str">
        <f aca="false">IF(AND(AY$3&gt;=$E32,AY$3&lt;=$F32),1,"")</f>
        <v/>
      </c>
      <c r="AZ32" s="1" t="str">
        <f aca="false">IF(AND(AZ$3&gt;=$E32,AZ$3&lt;=$F32),1,"")</f>
        <v/>
      </c>
      <c r="BA32" s="1" t="str">
        <f aca="false">IF(AND(BA$3&gt;=$E32,BA$3&lt;=$F32),1,"")</f>
        <v/>
      </c>
      <c r="BB32" s="1" t="str">
        <f aca="false">IF(AND(BB$3&gt;=$E32,BB$3&lt;=$F32),1,"")</f>
        <v/>
      </c>
      <c r="BC32" s="1" t="str">
        <f aca="false">IF(AND(BC$3&gt;=$E32,BC$3&lt;=$F32),1,"")</f>
        <v/>
      </c>
      <c r="BD32" s="1" t="str">
        <f aca="false">IF(AND(BD$3&gt;=$E32,BD$3&lt;=$F32),1,"")</f>
        <v/>
      </c>
      <c r="BE32" s="1" t="str">
        <f aca="false">IF(AND(BE$3&gt;=$E32,BE$3&lt;=$F32),1,"")</f>
        <v/>
      </c>
      <c r="BF32" s="1" t="str">
        <f aca="false">IF(AND(BF$3&gt;=$E32,BF$3&lt;=$F32),1,"")</f>
        <v/>
      </c>
      <c r="BG32" s="1" t="str">
        <f aca="false">IF(AND(BG$3&gt;=$E32,BG$3&lt;=$F32),1,"")</f>
        <v/>
      </c>
      <c r="BH32" s="1" t="str">
        <f aca="false">IF(AND(BH$3&gt;=$E32,BH$3&lt;=$F32),1,"")</f>
        <v/>
      </c>
      <c r="BI32" s="1" t="str">
        <f aca="false">IF(AND(BI$3&gt;=$E32,BI$3&lt;=$F32),1,"")</f>
        <v/>
      </c>
      <c r="BJ32" s="1" t="str">
        <f aca="false">IF(AND(BJ$3&gt;=$E32,BJ$3&lt;=$F32),1,"")</f>
        <v/>
      </c>
      <c r="BK32" s="1" t="str">
        <f aca="false">IF(AND(BK$3&gt;=$E32,BK$3&lt;=$F32),1,"")</f>
        <v/>
      </c>
      <c r="BL32" s="1" t="str">
        <f aca="false">IF(AND(BL$3&gt;=$E32,BL$3&lt;=$F32),1,"")</f>
        <v/>
      </c>
      <c r="BM32" s="1" t="str">
        <f aca="false">IF(AND(BM$3&gt;=$E32,BM$3&lt;=$F32),1,"")</f>
        <v/>
      </c>
      <c r="BN32" s="1" t="str">
        <f aca="false">IF(AND(BN$3&gt;=$E32,BN$3&lt;=$F32),1,"")</f>
        <v/>
      </c>
      <c r="BO32" s="1" t="str">
        <f aca="false">IF(AND(BO$3&gt;=$E32,BO$3&lt;=$F32),1,"")</f>
        <v/>
      </c>
      <c r="BP32" s="1" t="str">
        <f aca="false">IF(AND(BP$3&gt;=$E32,BP$3&lt;=$F32),1,"")</f>
        <v/>
      </c>
      <c r="BQ32" s="1" t="str">
        <f aca="false">IF(AND(BQ$3&gt;=$E32,BQ$3&lt;=$F32),1,"")</f>
        <v/>
      </c>
      <c r="BR32" s="1" t="str">
        <f aca="false">IF(AND(BR$3&gt;=$E32,BR$3&lt;=$F32),1,"")</f>
        <v/>
      </c>
    </row>
    <row r="33" customFormat="false" ht="15" hidden="false" customHeight="true" outlineLevel="0" collapsed="false">
      <c r="A33" s="1" t="s">
        <v>419</v>
      </c>
      <c r="B33" s="1" t="n">
        <v>57</v>
      </c>
      <c r="C33" s="95" t="s">
        <v>401</v>
      </c>
      <c r="D33" s="1" t="n">
        <v>4</v>
      </c>
      <c r="E33" s="89" t="n">
        <v>46208.2916666667</v>
      </c>
      <c r="F33" s="89" t="n">
        <v>46268.2916666667</v>
      </c>
      <c r="G33" s="95" t="s">
        <v>154</v>
      </c>
      <c r="H33" s="1" t="str">
        <f aca="false">IF($A33="","",TEXT($F33,"MMM-YYYY"))</f>
        <v>Sep-2026</v>
      </c>
      <c r="I33" s="95" t="s">
        <v>147</v>
      </c>
      <c r="J33" s="96" t="n">
        <f aca="false">IF($A33="","",$F33+30)</f>
        <v>46298.2916666667</v>
      </c>
      <c r="K33" s="1" t="s">
        <v>155</v>
      </c>
      <c r="L33" s="1" t="str">
        <f aca="false">IF(AND(L$3&gt;=$E33,L$3&lt;=$F33),1,"")</f>
        <v/>
      </c>
      <c r="M33" s="1" t="str">
        <f aca="false">IF(AND(M$3&gt;=$E33,M$3&lt;=$F33),1,"")</f>
        <v/>
      </c>
      <c r="N33" s="1" t="str">
        <f aca="false">IF(AND(N$3&gt;=$E33,N$3&lt;=$F33),1,"")</f>
        <v/>
      </c>
      <c r="O33" s="1" t="str">
        <f aca="false">IF(AND(O$3&gt;=$E33,O$3&lt;=$F33),1,"")</f>
        <v/>
      </c>
      <c r="P33" s="1" t="str">
        <f aca="false">IF(AND(P$3&gt;=$E33,P$3&lt;=$F33),1,"")</f>
        <v/>
      </c>
      <c r="Q33" s="1" t="str">
        <f aca="false">IF(AND(Q$3&gt;=$E33,Q$3&lt;=$F33),1,"")</f>
        <v/>
      </c>
      <c r="R33" s="1" t="str">
        <f aca="false">IF(AND(R$3&gt;=$E33,R$3&lt;=$F33),1,"")</f>
        <v/>
      </c>
      <c r="S33" s="1" t="str">
        <f aca="false">IF(AND(S$3&gt;=$E33,S$3&lt;=$F33),1,"")</f>
        <v/>
      </c>
      <c r="T33" s="1" t="str">
        <f aca="false">IF(AND(T$3&gt;=$E33,T$3&lt;=$F33),1,"")</f>
        <v/>
      </c>
      <c r="U33" s="1" t="str">
        <f aca="false">IF(AND(U$3&gt;=$E33,U$3&lt;=$F33),1,"")</f>
        <v/>
      </c>
      <c r="V33" s="1" t="str">
        <f aca="false">IF(AND(V$3&gt;=$E33,V$3&lt;=$F33),1,"")</f>
        <v/>
      </c>
      <c r="W33" s="1" t="str">
        <f aca="false">IF(AND(W$3&gt;=$E33,W$3&lt;=$F33),1,"")</f>
        <v/>
      </c>
      <c r="X33" s="1" t="str">
        <f aca="false">IF(AND(X$3&gt;=$E33,X$3&lt;=$F33),1,"")</f>
        <v/>
      </c>
      <c r="Y33" s="1" t="str">
        <f aca="false">IF(AND(Y$3&gt;=$E33,Y$3&lt;=$F33),1,"")</f>
        <v/>
      </c>
      <c r="Z33" s="1" t="str">
        <f aca="false">IF(AND(Z$3&gt;=$E33,Z$3&lt;=$F33),1,"")</f>
        <v/>
      </c>
      <c r="AA33" s="1" t="str">
        <f aca="false">IF(AND(AA$3&gt;=$E33,AA$3&lt;=$F33),1,"")</f>
        <v/>
      </c>
      <c r="AB33" s="1" t="str">
        <f aca="false">IF(AND(AB$3&gt;=$E33,AB$3&lt;=$F33),1,"")</f>
        <v/>
      </c>
      <c r="AC33" s="1" t="str">
        <f aca="false">IF(AND(AC$3&gt;=$E33,AC$3&lt;=$F33),1,"")</f>
        <v/>
      </c>
      <c r="AD33" s="1" t="str">
        <f aca="false">IF(AND(AD$3&gt;=$E33,AD$3&lt;=$F33),1,"")</f>
        <v/>
      </c>
      <c r="AE33" s="1" t="str">
        <f aca="false">IF(AND(AE$3&gt;=$E33,AE$3&lt;=$F33),1,"")</f>
        <v/>
      </c>
      <c r="AF33" s="1" t="str">
        <f aca="false">IF(AND(AF$3&gt;=$E33,AF$3&lt;=$F33),1,"")</f>
        <v/>
      </c>
      <c r="AG33" s="1" t="str">
        <f aca="false">IF(AND(AG$3&gt;=$E33,AG$3&lt;=$F33),1,"")</f>
        <v/>
      </c>
      <c r="AH33" s="1" t="str">
        <f aca="false">IF(AND(AH$3&gt;=$E33,AH$3&lt;=$F33),1,"")</f>
        <v/>
      </c>
      <c r="AI33" s="1" t="str">
        <f aca="false">IF(AND(AI$3&gt;=$E33,AI$3&lt;=$F33),1,"")</f>
        <v/>
      </c>
      <c r="AJ33" s="1" t="str">
        <f aca="false">IF(AND(AJ$3&gt;=$E33,AJ$3&lt;=$F33),1,"")</f>
        <v/>
      </c>
      <c r="AK33" s="1" t="str">
        <f aca="false">IF(AND(AK$3&gt;=$E33,AK$3&lt;=$F33),1,"")</f>
        <v/>
      </c>
      <c r="AL33" s="1" t="str">
        <f aca="false">IF(AND(AL$3&gt;=$E33,AL$3&lt;=$F33),1,"")</f>
        <v/>
      </c>
      <c r="AM33" s="1" t="str">
        <f aca="false">IF(AND(AM$3&gt;=$E33,AM$3&lt;=$F33),1,"")</f>
        <v/>
      </c>
      <c r="AN33" s="1" t="str">
        <f aca="false">IF(AND(AN$3&gt;=$E33,AN$3&lt;=$F33),1,"")</f>
        <v/>
      </c>
      <c r="AO33" s="1" t="str">
        <f aca="false">IF(AND(AO$3&gt;=$E33,AO$3&lt;=$F33),1,"")</f>
        <v/>
      </c>
      <c r="AP33" s="1" t="str">
        <f aca="false">IF(AND(AP$3&gt;=$E33,AP$3&lt;=$F33),1,"")</f>
        <v/>
      </c>
      <c r="AQ33" s="1" t="str">
        <f aca="false">IF(AND(AQ$3&gt;=$E33,AQ$3&lt;=$F33),1,"")</f>
        <v/>
      </c>
      <c r="AR33" s="1" t="str">
        <f aca="false">IF(AND(AR$3&gt;=$E33,AR$3&lt;=$F33),1,"")</f>
        <v/>
      </c>
      <c r="AS33" s="1" t="str">
        <f aca="false">IF(AND(AS$3&gt;=$E33,AS$3&lt;=$F33),1,"")</f>
        <v/>
      </c>
      <c r="AT33" s="1" t="str">
        <f aca="false">IF(AND(AT$3&gt;=$E33,AT$3&lt;=$F33),1,"")</f>
        <v/>
      </c>
      <c r="AU33" s="1" t="str">
        <f aca="false">IF(AND(AU$3&gt;=$E33,AU$3&lt;=$F33),1,"")</f>
        <v/>
      </c>
      <c r="AV33" s="1" t="str">
        <f aca="false">IF(AND(AV$3&gt;=$E33,AV$3&lt;=$F33),1,"")</f>
        <v/>
      </c>
      <c r="AW33" s="1" t="str">
        <f aca="false">IF(AND(AW$3&gt;=$E33,AW$3&lt;=$F33),1,"")</f>
        <v/>
      </c>
      <c r="AX33" s="1" t="str">
        <f aca="false">IF(AND(AX$3&gt;=$E33,AX$3&lt;=$F33),1,"")</f>
        <v/>
      </c>
      <c r="AY33" s="1" t="str">
        <f aca="false">IF(AND(AY$3&gt;=$E33,AY$3&lt;=$F33),1,"")</f>
        <v/>
      </c>
      <c r="AZ33" s="1" t="str">
        <f aca="false">IF(AND(AZ$3&gt;=$E33,AZ$3&lt;=$F33),1,"")</f>
        <v/>
      </c>
      <c r="BA33" s="1" t="str">
        <f aca="false">IF(AND(BA$3&gt;=$E33,BA$3&lt;=$F33),1,"")</f>
        <v/>
      </c>
      <c r="BB33" s="1" t="str">
        <f aca="false">IF(AND(BB$3&gt;=$E33,BB$3&lt;=$F33),1,"")</f>
        <v/>
      </c>
      <c r="BC33" s="1" t="str">
        <f aca="false">IF(AND(BC$3&gt;=$E33,BC$3&lt;=$F33),1,"")</f>
        <v/>
      </c>
      <c r="BD33" s="1" t="str">
        <f aca="false">IF(AND(BD$3&gt;=$E33,BD$3&lt;=$F33),1,"")</f>
        <v/>
      </c>
      <c r="BE33" s="1" t="str">
        <f aca="false">IF(AND(BE$3&gt;=$E33,BE$3&lt;=$F33),1,"")</f>
        <v/>
      </c>
      <c r="BF33" s="1" t="str">
        <f aca="false">IF(AND(BF$3&gt;=$E33,BF$3&lt;=$F33),1,"")</f>
        <v/>
      </c>
      <c r="BG33" s="1" t="str">
        <f aca="false">IF(AND(BG$3&gt;=$E33,BG$3&lt;=$F33),1,"")</f>
        <v/>
      </c>
      <c r="BH33" s="1" t="str">
        <f aca="false">IF(AND(BH$3&gt;=$E33,BH$3&lt;=$F33),1,"")</f>
        <v/>
      </c>
      <c r="BI33" s="1" t="str">
        <f aca="false">IF(AND(BI$3&gt;=$E33,BI$3&lt;=$F33),1,"")</f>
        <v/>
      </c>
      <c r="BJ33" s="1" t="str">
        <f aca="false">IF(AND(BJ$3&gt;=$E33,BJ$3&lt;=$F33),1,"")</f>
        <v/>
      </c>
      <c r="BK33" s="1" t="str">
        <f aca="false">IF(AND(BK$3&gt;=$E33,BK$3&lt;=$F33),1,"")</f>
        <v/>
      </c>
      <c r="BL33" s="1" t="str">
        <f aca="false">IF(AND(BL$3&gt;=$E33,BL$3&lt;=$F33),1,"")</f>
        <v/>
      </c>
      <c r="BM33" s="1" t="str">
        <f aca="false">IF(AND(BM$3&gt;=$E33,BM$3&lt;=$F33),1,"")</f>
        <v/>
      </c>
      <c r="BN33" s="1" t="str">
        <f aca="false">IF(AND(BN$3&gt;=$E33,BN$3&lt;=$F33),1,"")</f>
        <v/>
      </c>
      <c r="BO33" s="1" t="str">
        <f aca="false">IF(AND(BO$3&gt;=$E33,BO$3&lt;=$F33),1,"")</f>
        <v/>
      </c>
      <c r="BP33" s="1" t="str">
        <f aca="false">IF(AND(BP$3&gt;=$E33,BP$3&lt;=$F33),1,"")</f>
        <v/>
      </c>
      <c r="BQ33" s="1" t="str">
        <f aca="false">IF(AND(BQ$3&gt;=$E33,BQ$3&lt;=$F33),1,"")</f>
        <v/>
      </c>
      <c r="BR33" s="1" t="str">
        <f aca="false">IF(AND(BR$3&gt;=$E33,BR$3&lt;=$F33),1,"")</f>
        <v/>
      </c>
    </row>
    <row r="34" customFormat="false" ht="15" hidden="false" customHeight="true" outlineLevel="0" collapsed="false">
      <c r="A34" s="1" t="s">
        <v>420</v>
      </c>
      <c r="B34" s="1" t="n">
        <v>9</v>
      </c>
      <c r="C34" s="95" t="s">
        <v>388</v>
      </c>
      <c r="D34" s="1" t="n">
        <v>2</v>
      </c>
      <c r="E34" s="89" t="n">
        <v>46121.2916666667</v>
      </c>
      <c r="F34" s="89" t="n">
        <v>46188.2916666667</v>
      </c>
      <c r="G34" s="95" t="s">
        <v>154</v>
      </c>
      <c r="H34" s="1" t="str">
        <f aca="false">IF($A34="","",TEXT($F34,"MMM-YYYY"))</f>
        <v>Jun-2026</v>
      </c>
      <c r="I34" s="95" t="s">
        <v>157</v>
      </c>
      <c r="J34" s="96" t="n">
        <f aca="false">IF($A34="","",$F34+30)</f>
        <v>46218.2916666667</v>
      </c>
      <c r="K34" s="1" t="s">
        <v>392</v>
      </c>
      <c r="L34" s="1" t="str">
        <f aca="false">IF(AND(L$3&gt;=$E34,L$3&lt;=$F34),1,"")</f>
        <v/>
      </c>
      <c r="M34" s="1" t="str">
        <f aca="false">IF(AND(M$3&gt;=$E34,M$3&lt;=$F34),1,"")</f>
        <v/>
      </c>
      <c r="N34" s="1" t="str">
        <f aca="false">IF(AND(N$3&gt;=$E34,N$3&lt;=$F34),1,"")</f>
        <v/>
      </c>
      <c r="O34" s="1" t="str">
        <f aca="false">IF(AND(O$3&gt;=$E34,O$3&lt;=$F34),1,"")</f>
        <v/>
      </c>
      <c r="P34" s="1" t="str">
        <f aca="false">IF(AND(P$3&gt;=$E34,P$3&lt;=$F34),1,"")</f>
        <v/>
      </c>
      <c r="Q34" s="1" t="str">
        <f aca="false">IF(AND(Q$3&gt;=$E34,Q$3&lt;=$F34),1,"")</f>
        <v/>
      </c>
      <c r="R34" s="1" t="str">
        <f aca="false">IF(AND(R$3&gt;=$E34,R$3&lt;=$F34),1,"")</f>
        <v/>
      </c>
      <c r="S34" s="1" t="str">
        <f aca="false">IF(AND(S$3&gt;=$E34,S$3&lt;=$F34),1,"")</f>
        <v/>
      </c>
      <c r="T34" s="1" t="n">
        <f aca="false">IF(AND(T$3&gt;=$E34,T$3&lt;=$F34),1,"")</f>
        <v>1</v>
      </c>
      <c r="U34" s="1" t="n">
        <f aca="false">IF(AND(U$3&gt;=$E34,U$3&lt;=$F34),1,"")</f>
        <v>1</v>
      </c>
      <c r="V34" s="1" t="n">
        <f aca="false">IF(AND(V$3&gt;=$E34,V$3&lt;=$F34),1,"")</f>
        <v>1</v>
      </c>
      <c r="W34" s="1" t="n">
        <f aca="false">IF(AND(W$3&gt;=$E34,W$3&lt;=$F34),1,"")</f>
        <v>1</v>
      </c>
      <c r="X34" s="1" t="n">
        <f aca="false">IF(AND(X$3&gt;=$E34,X$3&lt;=$F34),1,"")</f>
        <v>1</v>
      </c>
      <c r="Y34" s="1" t="n">
        <f aca="false">IF(AND(Y$3&gt;=$E34,Y$3&lt;=$F34),1,"")</f>
        <v>1</v>
      </c>
      <c r="Z34" s="1" t="n">
        <f aca="false">IF(AND(Z$3&gt;=$E34,Z$3&lt;=$F34),1,"")</f>
        <v>1</v>
      </c>
      <c r="AA34" s="1" t="n">
        <f aca="false">IF(AND(AA$3&gt;=$E34,AA$3&lt;=$F34),1,"")</f>
        <v>1</v>
      </c>
      <c r="AB34" s="1" t="n">
        <f aca="false">IF(AND(AB$3&gt;=$E34,AB$3&lt;=$F34),1,"")</f>
        <v>1</v>
      </c>
      <c r="AC34" s="1" t="n">
        <f aca="false">IF(AND(AC$3&gt;=$E34,AC$3&lt;=$F34),1,"")</f>
        <v>1</v>
      </c>
      <c r="AD34" s="1" t="n">
        <f aca="false">IF(AND(AD$3&gt;=$E34,AD$3&lt;=$F34),1,"")</f>
        <v>1</v>
      </c>
      <c r="AE34" s="1" t="n">
        <f aca="false">IF(AND(AE$3&gt;=$E34,AE$3&lt;=$F34),1,"")</f>
        <v>1</v>
      </c>
      <c r="AF34" s="1" t="n">
        <f aca="false">IF(AND(AF$3&gt;=$E34,AF$3&lt;=$F34),1,"")</f>
        <v>1</v>
      </c>
      <c r="AG34" s="1" t="n">
        <f aca="false">IF(AND(AG$3&gt;=$E34,AG$3&lt;=$F34),1,"")</f>
        <v>1</v>
      </c>
      <c r="AH34" s="1" t="n">
        <f aca="false">IF(AND(AH$3&gt;=$E34,AH$3&lt;=$F34),1,"")</f>
        <v>1</v>
      </c>
      <c r="AI34" s="1" t="n">
        <f aca="false">IF(AND(AI$3&gt;=$E34,AI$3&lt;=$F34),1,"")</f>
        <v>1</v>
      </c>
      <c r="AJ34" s="1" t="n">
        <f aca="false">IF(AND(AJ$3&gt;=$E34,AJ$3&lt;=$F34),1,"")</f>
        <v>1</v>
      </c>
      <c r="AK34" s="1" t="n">
        <f aca="false">IF(AND(AK$3&gt;=$E34,AK$3&lt;=$F34),1,"")</f>
        <v>1</v>
      </c>
      <c r="AL34" s="1" t="n">
        <f aca="false">IF(AND(AL$3&gt;=$E34,AL$3&lt;=$F34),1,"")</f>
        <v>1</v>
      </c>
      <c r="AM34" s="1" t="n">
        <f aca="false">IF(AND(AM$3&gt;=$E34,AM$3&lt;=$F34),1,"")</f>
        <v>1</v>
      </c>
      <c r="AN34" s="1" t="n">
        <f aca="false">IF(AND(AN$3&gt;=$E34,AN$3&lt;=$F34),1,"")</f>
        <v>1</v>
      </c>
      <c r="AO34" s="1" t="n">
        <f aca="false">IF(AND(AO$3&gt;=$E34,AO$3&lt;=$F34),1,"")</f>
        <v>1</v>
      </c>
      <c r="AP34" s="1" t="n">
        <f aca="false">IF(AND(AP$3&gt;=$E34,AP$3&lt;=$F34),1,"")</f>
        <v>1</v>
      </c>
      <c r="AQ34" s="1" t="n">
        <f aca="false">IF(AND(AQ$3&gt;=$E34,AQ$3&lt;=$F34),1,"")</f>
        <v>1</v>
      </c>
      <c r="AR34" s="1" t="n">
        <f aca="false">IF(AND(AR$3&gt;=$E34,AR$3&lt;=$F34),1,"")</f>
        <v>1</v>
      </c>
      <c r="AS34" s="1" t="n">
        <f aca="false">IF(AND(AS$3&gt;=$E34,AS$3&lt;=$F34),1,"")</f>
        <v>1</v>
      </c>
      <c r="AT34" s="1" t="n">
        <f aca="false">IF(AND(AT$3&gt;=$E34,AT$3&lt;=$F34),1,"")</f>
        <v>1</v>
      </c>
      <c r="AU34" s="1" t="n">
        <f aca="false">IF(AND(AU$3&gt;=$E34,AU$3&lt;=$F34),1,"")</f>
        <v>1</v>
      </c>
      <c r="AV34" s="1" t="n">
        <f aca="false">IF(AND(AV$3&gt;=$E34,AV$3&lt;=$F34),1,"")</f>
        <v>1</v>
      </c>
      <c r="AW34" s="1" t="n">
        <f aca="false">IF(AND(AW$3&gt;=$E34,AW$3&lt;=$F34),1,"")</f>
        <v>1</v>
      </c>
      <c r="AX34" s="1" t="n">
        <f aca="false">IF(AND(AX$3&gt;=$E34,AX$3&lt;=$F34),1,"")</f>
        <v>1</v>
      </c>
      <c r="AY34" s="1" t="n">
        <f aca="false">IF(AND(AY$3&gt;=$E34,AY$3&lt;=$F34),1,"")</f>
        <v>1</v>
      </c>
      <c r="AZ34" s="1" t="n">
        <f aca="false">IF(AND(AZ$3&gt;=$E34,AZ$3&lt;=$F34),1,"")</f>
        <v>1</v>
      </c>
      <c r="BA34" s="1" t="n">
        <f aca="false">IF(AND(BA$3&gt;=$E34,BA$3&lt;=$F34),1,"")</f>
        <v>1</v>
      </c>
      <c r="BB34" s="1" t="n">
        <f aca="false">IF(AND(BB$3&gt;=$E34,BB$3&lt;=$F34),1,"")</f>
        <v>1</v>
      </c>
      <c r="BC34" s="1" t="n">
        <f aca="false">IF(AND(BC$3&gt;=$E34,BC$3&lt;=$F34),1,"")</f>
        <v>1</v>
      </c>
      <c r="BD34" s="1" t="n">
        <f aca="false">IF(AND(BD$3&gt;=$E34,BD$3&lt;=$F34),1,"")</f>
        <v>1</v>
      </c>
      <c r="BE34" s="1" t="n">
        <f aca="false">IF(AND(BE$3&gt;=$E34,BE$3&lt;=$F34),1,"")</f>
        <v>1</v>
      </c>
      <c r="BF34" s="1" t="n">
        <f aca="false">IF(AND(BF$3&gt;=$E34,BF$3&lt;=$F34),1,"")</f>
        <v>1</v>
      </c>
      <c r="BG34" s="1" t="n">
        <f aca="false">IF(AND(BG$3&gt;=$E34,BG$3&lt;=$F34),1,"")</f>
        <v>1</v>
      </c>
      <c r="BH34" s="1" t="n">
        <f aca="false">IF(AND(BH$3&gt;=$E34,BH$3&lt;=$F34),1,"")</f>
        <v>1</v>
      </c>
      <c r="BI34" s="1" t="n">
        <f aca="false">IF(AND(BI$3&gt;=$E34,BI$3&lt;=$F34),1,"")</f>
        <v>1</v>
      </c>
      <c r="BJ34" s="1" t="n">
        <f aca="false">IF(AND(BJ$3&gt;=$E34,BJ$3&lt;=$F34),1,"")</f>
        <v>1</v>
      </c>
      <c r="BK34" s="1" t="n">
        <f aca="false">IF(AND(BK$3&gt;=$E34,BK$3&lt;=$F34),1,"")</f>
        <v>1</v>
      </c>
      <c r="BL34" s="1" t="n">
        <f aca="false">IF(AND(BL$3&gt;=$E34,BL$3&lt;=$F34),1,"")</f>
        <v>1</v>
      </c>
      <c r="BM34" s="1" t="n">
        <f aca="false">IF(AND(BM$3&gt;=$E34,BM$3&lt;=$F34),1,"")</f>
        <v>1</v>
      </c>
      <c r="BN34" s="1" t="n">
        <f aca="false">IF(AND(BN$3&gt;=$E34,BN$3&lt;=$F34),1,"")</f>
        <v>1</v>
      </c>
      <c r="BO34" s="1" t="n">
        <f aca="false">IF(AND(BO$3&gt;=$E34,BO$3&lt;=$F34),1,"")</f>
        <v>1</v>
      </c>
      <c r="BP34" s="1" t="n">
        <f aca="false">IF(AND(BP$3&gt;=$E34,BP$3&lt;=$F34),1,"")</f>
        <v>1</v>
      </c>
      <c r="BQ34" s="1" t="n">
        <f aca="false">IF(AND(BQ$3&gt;=$E34,BQ$3&lt;=$F34),1,"")</f>
        <v>1</v>
      </c>
      <c r="BR34" s="1" t="n">
        <f aca="false">IF(AND(BR$3&gt;=$E34,BR$3&lt;=$F34),1,"")</f>
        <v>1</v>
      </c>
    </row>
    <row r="35" customFormat="false" ht="15" hidden="false" customHeight="true" outlineLevel="0" collapsed="false">
      <c r="A35" s="1" t="s">
        <v>421</v>
      </c>
      <c r="B35" s="1" t="n">
        <v>42</v>
      </c>
      <c r="C35" s="95" t="s">
        <v>390</v>
      </c>
      <c r="D35" s="1" t="n">
        <v>1</v>
      </c>
      <c r="E35" s="89" t="n">
        <v>46177.2916666667</v>
      </c>
      <c r="F35" s="89" t="n">
        <v>46248.2916666667</v>
      </c>
      <c r="G35" s="95" t="s">
        <v>161</v>
      </c>
      <c r="H35" s="1" t="str">
        <f aca="false">IF($A35="","",TEXT($F35,"MMM-YYYY"))</f>
        <v>Aug-2026</v>
      </c>
      <c r="I35" s="95" t="s">
        <v>157</v>
      </c>
      <c r="J35" s="96" t="n">
        <f aca="false">IF($A35="","",$F35+30)</f>
        <v>46278.2916666667</v>
      </c>
      <c r="K35" s="1" t="s">
        <v>148</v>
      </c>
      <c r="L35" s="1" t="str">
        <f aca="false">IF(AND(L$3&gt;=$E35,L$3&lt;=$F35),1,"")</f>
        <v/>
      </c>
      <c r="M35" s="1" t="str">
        <f aca="false">IF(AND(M$3&gt;=$E35,M$3&lt;=$F35),1,"")</f>
        <v/>
      </c>
      <c r="N35" s="1" t="str">
        <f aca="false">IF(AND(N$3&gt;=$E35,N$3&lt;=$F35),1,"")</f>
        <v/>
      </c>
      <c r="O35" s="1" t="str">
        <f aca="false">IF(AND(O$3&gt;=$E35,O$3&lt;=$F35),1,"")</f>
        <v/>
      </c>
      <c r="P35" s="1" t="str">
        <f aca="false">IF(AND(P$3&gt;=$E35,P$3&lt;=$F35),1,"")</f>
        <v/>
      </c>
      <c r="Q35" s="1" t="str">
        <f aca="false">IF(AND(Q$3&gt;=$E35,Q$3&lt;=$F35),1,"")</f>
        <v/>
      </c>
      <c r="R35" s="1" t="str">
        <f aca="false">IF(AND(R$3&gt;=$E35,R$3&lt;=$F35),1,"")</f>
        <v/>
      </c>
      <c r="S35" s="1" t="str">
        <f aca="false">IF(AND(S$3&gt;=$E35,S$3&lt;=$F35),1,"")</f>
        <v/>
      </c>
      <c r="T35" s="1" t="str">
        <f aca="false">IF(AND(T$3&gt;=$E35,T$3&lt;=$F35),1,"")</f>
        <v/>
      </c>
      <c r="U35" s="1" t="str">
        <f aca="false">IF(AND(U$3&gt;=$E35,U$3&lt;=$F35),1,"")</f>
        <v/>
      </c>
      <c r="V35" s="1" t="str">
        <f aca="false">IF(AND(V$3&gt;=$E35,V$3&lt;=$F35),1,"")</f>
        <v/>
      </c>
      <c r="W35" s="1" t="str">
        <f aca="false">IF(AND(W$3&gt;=$E35,W$3&lt;=$F35),1,"")</f>
        <v/>
      </c>
      <c r="X35" s="1" t="str">
        <f aca="false">IF(AND(X$3&gt;=$E35,X$3&lt;=$F35),1,"")</f>
        <v/>
      </c>
      <c r="Y35" s="1" t="str">
        <f aca="false">IF(AND(Y$3&gt;=$E35,Y$3&lt;=$F35),1,"")</f>
        <v/>
      </c>
      <c r="Z35" s="1" t="str">
        <f aca="false">IF(AND(Z$3&gt;=$E35,Z$3&lt;=$F35),1,"")</f>
        <v/>
      </c>
      <c r="AA35" s="1" t="str">
        <f aca="false">IF(AND(AA$3&gt;=$E35,AA$3&lt;=$F35),1,"")</f>
        <v/>
      </c>
      <c r="AB35" s="1" t="str">
        <f aca="false">IF(AND(AB$3&gt;=$E35,AB$3&lt;=$F35),1,"")</f>
        <v/>
      </c>
      <c r="AC35" s="1" t="str">
        <f aca="false">IF(AND(AC$3&gt;=$E35,AC$3&lt;=$F35),1,"")</f>
        <v/>
      </c>
      <c r="AD35" s="1" t="str">
        <f aca="false">IF(AND(AD$3&gt;=$E35,AD$3&lt;=$F35),1,"")</f>
        <v/>
      </c>
      <c r="AE35" s="1" t="str">
        <f aca="false">IF(AND(AE$3&gt;=$E35,AE$3&lt;=$F35),1,"")</f>
        <v/>
      </c>
      <c r="AF35" s="1" t="str">
        <f aca="false">IF(AND(AF$3&gt;=$E35,AF$3&lt;=$F35),1,"")</f>
        <v/>
      </c>
      <c r="AG35" s="1" t="str">
        <f aca="false">IF(AND(AG$3&gt;=$E35,AG$3&lt;=$F35),1,"")</f>
        <v/>
      </c>
      <c r="AH35" s="1" t="str">
        <f aca="false">IF(AND(AH$3&gt;=$E35,AH$3&lt;=$F35),1,"")</f>
        <v/>
      </c>
      <c r="AI35" s="1" t="str">
        <f aca="false">IF(AND(AI$3&gt;=$E35,AI$3&lt;=$F35),1,"")</f>
        <v/>
      </c>
      <c r="AJ35" s="1" t="str">
        <f aca="false">IF(AND(AJ$3&gt;=$E35,AJ$3&lt;=$F35),1,"")</f>
        <v/>
      </c>
      <c r="AK35" s="1" t="str">
        <f aca="false">IF(AND(AK$3&gt;=$E35,AK$3&lt;=$F35),1,"")</f>
        <v/>
      </c>
      <c r="AL35" s="1" t="str">
        <f aca="false">IF(AND(AL$3&gt;=$E35,AL$3&lt;=$F35),1,"")</f>
        <v/>
      </c>
      <c r="AM35" s="1" t="str">
        <f aca="false">IF(AND(AM$3&gt;=$E35,AM$3&lt;=$F35),1,"")</f>
        <v/>
      </c>
      <c r="AN35" s="1" t="str">
        <f aca="false">IF(AND(AN$3&gt;=$E35,AN$3&lt;=$F35),1,"")</f>
        <v/>
      </c>
      <c r="AO35" s="1" t="str">
        <f aca="false">IF(AND(AO$3&gt;=$E35,AO$3&lt;=$F35),1,"")</f>
        <v/>
      </c>
      <c r="AP35" s="1" t="str">
        <f aca="false">IF(AND(AP$3&gt;=$E35,AP$3&lt;=$F35),1,"")</f>
        <v/>
      </c>
      <c r="AQ35" s="1" t="str">
        <f aca="false">IF(AND(AQ$3&gt;=$E35,AQ$3&lt;=$F35),1,"")</f>
        <v/>
      </c>
      <c r="AR35" s="1" t="str">
        <f aca="false">IF(AND(AR$3&gt;=$E35,AR$3&lt;=$F35),1,"")</f>
        <v/>
      </c>
      <c r="AS35" s="1" t="str">
        <f aca="false">IF(AND(AS$3&gt;=$E35,AS$3&lt;=$F35),1,"")</f>
        <v/>
      </c>
      <c r="AT35" s="1" t="str">
        <f aca="false">IF(AND(AT$3&gt;=$E35,AT$3&lt;=$F35),1,"")</f>
        <v/>
      </c>
      <c r="AU35" s="1" t="str">
        <f aca="false">IF(AND(AU$3&gt;=$E35,AU$3&lt;=$F35),1,"")</f>
        <v/>
      </c>
      <c r="AV35" s="1" t="str">
        <f aca="false">IF(AND(AV$3&gt;=$E35,AV$3&lt;=$F35),1,"")</f>
        <v/>
      </c>
      <c r="AW35" s="1" t="str">
        <f aca="false">IF(AND(AW$3&gt;=$E35,AW$3&lt;=$F35),1,"")</f>
        <v/>
      </c>
      <c r="AX35" s="1" t="str">
        <f aca="false">IF(AND(AX$3&gt;=$E35,AX$3&lt;=$F35),1,"")</f>
        <v/>
      </c>
      <c r="AY35" s="1" t="str">
        <f aca="false">IF(AND(AY$3&gt;=$E35,AY$3&lt;=$F35),1,"")</f>
        <v/>
      </c>
      <c r="AZ35" s="1" t="str">
        <f aca="false">IF(AND(AZ$3&gt;=$E35,AZ$3&lt;=$F35),1,"")</f>
        <v/>
      </c>
      <c r="BA35" s="1" t="str">
        <f aca="false">IF(AND(BA$3&gt;=$E35,BA$3&lt;=$F35),1,"")</f>
        <v/>
      </c>
      <c r="BB35" s="1" t="str">
        <f aca="false">IF(AND(BB$3&gt;=$E35,BB$3&lt;=$F35),1,"")</f>
        <v/>
      </c>
      <c r="BC35" s="1" t="str">
        <f aca="false">IF(AND(BC$3&gt;=$E35,BC$3&lt;=$F35),1,"")</f>
        <v/>
      </c>
      <c r="BD35" s="1" t="str">
        <f aca="false">IF(AND(BD$3&gt;=$E35,BD$3&lt;=$F35),1,"")</f>
        <v/>
      </c>
      <c r="BE35" s="1" t="str">
        <f aca="false">IF(AND(BE$3&gt;=$E35,BE$3&lt;=$F35),1,"")</f>
        <v/>
      </c>
      <c r="BF35" s="1" t="str">
        <f aca="false">IF(AND(BF$3&gt;=$E35,BF$3&lt;=$F35),1,"")</f>
        <v/>
      </c>
      <c r="BG35" s="1" t="str">
        <f aca="false">IF(AND(BG$3&gt;=$E35,BG$3&lt;=$F35),1,"")</f>
        <v/>
      </c>
      <c r="BH35" s="1" t="str">
        <f aca="false">IF(AND(BH$3&gt;=$E35,BH$3&lt;=$F35),1,"")</f>
        <v/>
      </c>
      <c r="BI35" s="1" t="str">
        <f aca="false">IF(AND(BI$3&gt;=$E35,BI$3&lt;=$F35),1,"")</f>
        <v/>
      </c>
      <c r="BJ35" s="1" t="str">
        <f aca="false">IF(AND(BJ$3&gt;=$E35,BJ$3&lt;=$F35),1,"")</f>
        <v/>
      </c>
      <c r="BK35" s="1" t="str">
        <f aca="false">IF(AND(BK$3&gt;=$E35,BK$3&lt;=$F35),1,"")</f>
        <v/>
      </c>
      <c r="BL35" s="1" t="str">
        <f aca="false">IF(AND(BL$3&gt;=$E35,BL$3&lt;=$F35),1,"")</f>
        <v/>
      </c>
      <c r="BM35" s="1" t="str">
        <f aca="false">IF(AND(BM$3&gt;=$E35,BM$3&lt;=$F35),1,"")</f>
        <v/>
      </c>
      <c r="BN35" s="1" t="str">
        <f aca="false">IF(AND(BN$3&gt;=$E35,BN$3&lt;=$F35),1,"")</f>
        <v/>
      </c>
      <c r="BO35" s="1" t="str">
        <f aca="false">IF(AND(BO$3&gt;=$E35,BO$3&lt;=$F35),1,"")</f>
        <v/>
      </c>
      <c r="BP35" s="1" t="str">
        <f aca="false">IF(AND(BP$3&gt;=$E35,BP$3&lt;=$F35),1,"")</f>
        <v/>
      </c>
      <c r="BQ35" s="1" t="str">
        <f aca="false">IF(AND(BQ$3&gt;=$E35,BQ$3&lt;=$F35),1,"")</f>
        <v/>
      </c>
      <c r="BR35" s="1" t="str">
        <f aca="false">IF(AND(BR$3&gt;=$E35,BR$3&lt;=$F35),1,"")</f>
        <v/>
      </c>
    </row>
    <row r="36" customFormat="false" ht="15" hidden="false" customHeight="true" outlineLevel="0" collapsed="false">
      <c r="A36" s="1" t="s">
        <v>422</v>
      </c>
      <c r="B36" s="1" t="n">
        <v>15</v>
      </c>
      <c r="C36" s="95" t="s">
        <v>395</v>
      </c>
      <c r="D36" s="1" t="n">
        <v>1</v>
      </c>
      <c r="E36" s="89" t="n">
        <v>46217.2916666667</v>
      </c>
      <c r="F36" s="89" t="n">
        <v>46283.2916666667</v>
      </c>
      <c r="G36" s="95" t="s">
        <v>146</v>
      </c>
      <c r="H36" s="1" t="str">
        <f aca="false">IF($A36="","",TEXT($F36,"MMM-YYYY"))</f>
        <v>Sep-2026</v>
      </c>
      <c r="I36" s="95" t="s">
        <v>150</v>
      </c>
      <c r="J36" s="96" t="n">
        <f aca="false">IF($A36="","",$F36+30)</f>
        <v>46313.2916666667</v>
      </c>
      <c r="K36" s="1" t="s">
        <v>148</v>
      </c>
      <c r="L36" s="1" t="str">
        <f aca="false">IF(AND(L$3&gt;=$E36,L$3&lt;=$F36),1,"")</f>
        <v/>
      </c>
      <c r="M36" s="1" t="str">
        <f aca="false">IF(AND(M$3&gt;=$E36,M$3&lt;=$F36),1,"")</f>
        <v/>
      </c>
      <c r="N36" s="1" t="str">
        <f aca="false">IF(AND(N$3&gt;=$E36,N$3&lt;=$F36),1,"")</f>
        <v/>
      </c>
      <c r="O36" s="1" t="str">
        <f aca="false">IF(AND(O$3&gt;=$E36,O$3&lt;=$F36),1,"")</f>
        <v/>
      </c>
      <c r="P36" s="1" t="str">
        <f aca="false">IF(AND(P$3&gt;=$E36,P$3&lt;=$F36),1,"")</f>
        <v/>
      </c>
      <c r="Q36" s="1" t="str">
        <f aca="false">IF(AND(Q$3&gt;=$E36,Q$3&lt;=$F36),1,"")</f>
        <v/>
      </c>
      <c r="R36" s="1" t="str">
        <f aca="false">IF(AND(R$3&gt;=$E36,R$3&lt;=$F36),1,"")</f>
        <v/>
      </c>
      <c r="S36" s="1" t="str">
        <f aca="false">IF(AND(S$3&gt;=$E36,S$3&lt;=$F36),1,"")</f>
        <v/>
      </c>
      <c r="T36" s="1" t="str">
        <f aca="false">IF(AND(T$3&gt;=$E36,T$3&lt;=$F36),1,"")</f>
        <v/>
      </c>
      <c r="U36" s="1" t="str">
        <f aca="false">IF(AND(U$3&gt;=$E36,U$3&lt;=$F36),1,"")</f>
        <v/>
      </c>
      <c r="V36" s="1" t="str">
        <f aca="false">IF(AND(V$3&gt;=$E36,V$3&lt;=$F36),1,"")</f>
        <v/>
      </c>
      <c r="W36" s="1" t="str">
        <f aca="false">IF(AND(W$3&gt;=$E36,W$3&lt;=$F36),1,"")</f>
        <v/>
      </c>
      <c r="X36" s="1" t="str">
        <f aca="false">IF(AND(X$3&gt;=$E36,X$3&lt;=$F36),1,"")</f>
        <v/>
      </c>
      <c r="Y36" s="1" t="str">
        <f aca="false">IF(AND(Y$3&gt;=$E36,Y$3&lt;=$F36),1,"")</f>
        <v/>
      </c>
      <c r="Z36" s="1" t="str">
        <f aca="false">IF(AND(Z$3&gt;=$E36,Z$3&lt;=$F36),1,"")</f>
        <v/>
      </c>
      <c r="AA36" s="1" t="str">
        <f aca="false">IF(AND(AA$3&gt;=$E36,AA$3&lt;=$F36),1,"")</f>
        <v/>
      </c>
      <c r="AB36" s="1" t="str">
        <f aca="false">IF(AND(AB$3&gt;=$E36,AB$3&lt;=$F36),1,"")</f>
        <v/>
      </c>
      <c r="AC36" s="1" t="str">
        <f aca="false">IF(AND(AC$3&gt;=$E36,AC$3&lt;=$F36),1,"")</f>
        <v/>
      </c>
      <c r="AD36" s="1" t="str">
        <f aca="false">IF(AND(AD$3&gt;=$E36,AD$3&lt;=$F36),1,"")</f>
        <v/>
      </c>
      <c r="AE36" s="1" t="str">
        <f aca="false">IF(AND(AE$3&gt;=$E36,AE$3&lt;=$F36),1,"")</f>
        <v/>
      </c>
      <c r="AF36" s="1" t="str">
        <f aca="false">IF(AND(AF$3&gt;=$E36,AF$3&lt;=$F36),1,"")</f>
        <v/>
      </c>
      <c r="AG36" s="1" t="str">
        <f aca="false">IF(AND(AG$3&gt;=$E36,AG$3&lt;=$F36),1,"")</f>
        <v/>
      </c>
      <c r="AH36" s="1" t="str">
        <f aca="false">IF(AND(AH$3&gt;=$E36,AH$3&lt;=$F36),1,"")</f>
        <v/>
      </c>
      <c r="AI36" s="1" t="str">
        <f aca="false">IF(AND(AI$3&gt;=$E36,AI$3&lt;=$F36),1,"")</f>
        <v/>
      </c>
      <c r="AJ36" s="1" t="str">
        <f aca="false">IF(AND(AJ$3&gt;=$E36,AJ$3&lt;=$F36),1,"")</f>
        <v/>
      </c>
      <c r="AK36" s="1" t="str">
        <f aca="false">IF(AND(AK$3&gt;=$E36,AK$3&lt;=$F36),1,"")</f>
        <v/>
      </c>
      <c r="AL36" s="1" t="str">
        <f aca="false">IF(AND(AL$3&gt;=$E36,AL$3&lt;=$F36),1,"")</f>
        <v/>
      </c>
      <c r="AM36" s="1" t="str">
        <f aca="false">IF(AND(AM$3&gt;=$E36,AM$3&lt;=$F36),1,"")</f>
        <v/>
      </c>
      <c r="AN36" s="1" t="str">
        <f aca="false">IF(AND(AN$3&gt;=$E36,AN$3&lt;=$F36),1,"")</f>
        <v/>
      </c>
      <c r="AO36" s="1" t="str">
        <f aca="false">IF(AND(AO$3&gt;=$E36,AO$3&lt;=$F36),1,"")</f>
        <v/>
      </c>
      <c r="AP36" s="1" t="str">
        <f aca="false">IF(AND(AP$3&gt;=$E36,AP$3&lt;=$F36),1,"")</f>
        <v/>
      </c>
      <c r="AQ36" s="1" t="str">
        <f aca="false">IF(AND(AQ$3&gt;=$E36,AQ$3&lt;=$F36),1,"")</f>
        <v/>
      </c>
      <c r="AR36" s="1" t="str">
        <f aca="false">IF(AND(AR$3&gt;=$E36,AR$3&lt;=$F36),1,"")</f>
        <v/>
      </c>
      <c r="AS36" s="1" t="str">
        <f aca="false">IF(AND(AS$3&gt;=$E36,AS$3&lt;=$F36),1,"")</f>
        <v/>
      </c>
      <c r="AT36" s="1" t="str">
        <f aca="false">IF(AND(AT$3&gt;=$E36,AT$3&lt;=$F36),1,"")</f>
        <v/>
      </c>
      <c r="AU36" s="1" t="str">
        <f aca="false">IF(AND(AU$3&gt;=$E36,AU$3&lt;=$F36),1,"")</f>
        <v/>
      </c>
      <c r="AV36" s="1" t="str">
        <f aca="false">IF(AND(AV$3&gt;=$E36,AV$3&lt;=$F36),1,"")</f>
        <v/>
      </c>
      <c r="AW36" s="1" t="str">
        <f aca="false">IF(AND(AW$3&gt;=$E36,AW$3&lt;=$F36),1,"")</f>
        <v/>
      </c>
      <c r="AX36" s="1" t="str">
        <f aca="false">IF(AND(AX$3&gt;=$E36,AX$3&lt;=$F36),1,"")</f>
        <v/>
      </c>
      <c r="AY36" s="1" t="str">
        <f aca="false">IF(AND(AY$3&gt;=$E36,AY$3&lt;=$F36),1,"")</f>
        <v/>
      </c>
      <c r="AZ36" s="1" t="str">
        <f aca="false">IF(AND(AZ$3&gt;=$E36,AZ$3&lt;=$F36),1,"")</f>
        <v/>
      </c>
      <c r="BA36" s="1" t="str">
        <f aca="false">IF(AND(BA$3&gt;=$E36,BA$3&lt;=$F36),1,"")</f>
        <v/>
      </c>
      <c r="BB36" s="1" t="str">
        <f aca="false">IF(AND(BB$3&gt;=$E36,BB$3&lt;=$F36),1,"")</f>
        <v/>
      </c>
      <c r="BC36" s="1" t="str">
        <f aca="false">IF(AND(BC$3&gt;=$E36,BC$3&lt;=$F36),1,"")</f>
        <v/>
      </c>
      <c r="BD36" s="1" t="str">
        <f aca="false">IF(AND(BD$3&gt;=$E36,BD$3&lt;=$F36),1,"")</f>
        <v/>
      </c>
      <c r="BE36" s="1" t="str">
        <f aca="false">IF(AND(BE$3&gt;=$E36,BE$3&lt;=$F36),1,"")</f>
        <v/>
      </c>
      <c r="BF36" s="1" t="str">
        <f aca="false">IF(AND(BF$3&gt;=$E36,BF$3&lt;=$F36),1,"")</f>
        <v/>
      </c>
      <c r="BG36" s="1" t="str">
        <f aca="false">IF(AND(BG$3&gt;=$E36,BG$3&lt;=$F36),1,"")</f>
        <v/>
      </c>
      <c r="BH36" s="1" t="str">
        <f aca="false">IF(AND(BH$3&gt;=$E36,BH$3&lt;=$F36),1,"")</f>
        <v/>
      </c>
      <c r="BI36" s="1" t="str">
        <f aca="false">IF(AND(BI$3&gt;=$E36,BI$3&lt;=$F36),1,"")</f>
        <v/>
      </c>
      <c r="BJ36" s="1" t="str">
        <f aca="false">IF(AND(BJ$3&gt;=$E36,BJ$3&lt;=$F36),1,"")</f>
        <v/>
      </c>
      <c r="BK36" s="1" t="str">
        <f aca="false">IF(AND(BK$3&gt;=$E36,BK$3&lt;=$F36),1,"")</f>
        <v/>
      </c>
      <c r="BL36" s="1" t="str">
        <f aca="false">IF(AND(BL$3&gt;=$E36,BL$3&lt;=$F36),1,"")</f>
        <v/>
      </c>
      <c r="BM36" s="1" t="str">
        <f aca="false">IF(AND(BM$3&gt;=$E36,BM$3&lt;=$F36),1,"")</f>
        <v/>
      </c>
      <c r="BN36" s="1" t="str">
        <f aca="false">IF(AND(BN$3&gt;=$E36,BN$3&lt;=$F36),1,"")</f>
        <v/>
      </c>
      <c r="BO36" s="1" t="str">
        <f aca="false">IF(AND(BO$3&gt;=$E36,BO$3&lt;=$F36),1,"")</f>
        <v/>
      </c>
      <c r="BP36" s="1" t="str">
        <f aca="false">IF(AND(BP$3&gt;=$E36,BP$3&lt;=$F36),1,"")</f>
        <v/>
      </c>
      <c r="BQ36" s="1" t="str">
        <f aca="false">IF(AND(BQ$3&gt;=$E36,BQ$3&lt;=$F36),1,"")</f>
        <v/>
      </c>
      <c r="BR36" s="1" t="str">
        <f aca="false">IF(AND(BR$3&gt;=$E36,BR$3&lt;=$F36),1,"")</f>
        <v/>
      </c>
    </row>
    <row r="37" customFormat="false" ht="15" hidden="false" customHeight="true" outlineLevel="0" collapsed="false">
      <c r="A37" s="1" t="s">
        <v>423</v>
      </c>
      <c r="B37" s="1" t="n">
        <v>42</v>
      </c>
      <c r="C37" s="95" t="s">
        <v>388</v>
      </c>
      <c r="D37" s="1" t="n">
        <v>2</v>
      </c>
      <c r="E37" s="89" t="n">
        <v>46132.2916666667</v>
      </c>
      <c r="F37" s="89" t="n">
        <v>46163.2916666667</v>
      </c>
      <c r="G37" s="95" t="s">
        <v>154</v>
      </c>
      <c r="H37" s="1" t="str">
        <f aca="false">IF($A37="","",TEXT($F37,"MMM-YYYY"))</f>
        <v>May-2026</v>
      </c>
      <c r="I37" s="95" t="s">
        <v>147</v>
      </c>
      <c r="J37" s="96" t="n">
        <f aca="false">IF($A37="","",$F37+30)</f>
        <v>46193.2916666667</v>
      </c>
      <c r="K37" s="1" t="s">
        <v>155</v>
      </c>
      <c r="L37" s="1" t="str">
        <f aca="false">IF(AND(L$3&gt;=$E37,L$3&lt;=$F37),1,"")</f>
        <v/>
      </c>
      <c r="M37" s="1" t="str">
        <f aca="false">IF(AND(M$3&gt;=$E37,M$3&lt;=$F37),1,"")</f>
        <v/>
      </c>
      <c r="N37" s="1" t="str">
        <f aca="false">IF(AND(N$3&gt;=$E37,N$3&lt;=$F37),1,"")</f>
        <v/>
      </c>
      <c r="O37" s="1" t="str">
        <f aca="false">IF(AND(O$3&gt;=$E37,O$3&lt;=$F37),1,"")</f>
        <v/>
      </c>
      <c r="P37" s="1" t="str">
        <f aca="false">IF(AND(P$3&gt;=$E37,P$3&lt;=$F37),1,"")</f>
        <v/>
      </c>
      <c r="Q37" s="1" t="str">
        <f aca="false">IF(AND(Q$3&gt;=$E37,Q$3&lt;=$F37),1,"")</f>
        <v/>
      </c>
      <c r="R37" s="1" t="str">
        <f aca="false">IF(AND(R$3&gt;=$E37,R$3&lt;=$F37),1,"")</f>
        <v/>
      </c>
      <c r="S37" s="1" t="str">
        <f aca="false">IF(AND(S$3&gt;=$E37,S$3&lt;=$F37),1,"")</f>
        <v/>
      </c>
      <c r="T37" s="1" t="str">
        <f aca="false">IF(AND(T$3&gt;=$E37,T$3&lt;=$F37),1,"")</f>
        <v/>
      </c>
      <c r="U37" s="1" t="str">
        <f aca="false">IF(AND(U$3&gt;=$E37,U$3&lt;=$F37),1,"")</f>
        <v/>
      </c>
      <c r="V37" s="1" t="str">
        <f aca="false">IF(AND(V$3&gt;=$E37,V$3&lt;=$F37),1,"")</f>
        <v/>
      </c>
      <c r="W37" s="1" t="str">
        <f aca="false">IF(AND(W$3&gt;=$E37,W$3&lt;=$F37),1,"")</f>
        <v/>
      </c>
      <c r="X37" s="1" t="str">
        <f aca="false">IF(AND(X$3&gt;=$E37,X$3&lt;=$F37),1,"")</f>
        <v/>
      </c>
      <c r="Y37" s="1" t="str">
        <f aca="false">IF(AND(Y$3&gt;=$E37,Y$3&lt;=$F37),1,"")</f>
        <v/>
      </c>
      <c r="Z37" s="1" t="str">
        <f aca="false">IF(AND(Z$3&gt;=$E37,Z$3&lt;=$F37),1,"")</f>
        <v/>
      </c>
      <c r="AA37" s="1" t="str">
        <f aca="false">IF(AND(AA$3&gt;=$E37,AA$3&lt;=$F37),1,"")</f>
        <v/>
      </c>
      <c r="AB37" s="1" t="str">
        <f aca="false">IF(AND(AB$3&gt;=$E37,AB$3&lt;=$F37),1,"")</f>
        <v/>
      </c>
      <c r="AC37" s="1" t="str">
        <f aca="false">IF(AND(AC$3&gt;=$E37,AC$3&lt;=$F37),1,"")</f>
        <v/>
      </c>
      <c r="AD37" s="1" t="str">
        <f aca="false">IF(AND(AD$3&gt;=$E37,AD$3&lt;=$F37),1,"")</f>
        <v/>
      </c>
      <c r="AE37" s="1" t="n">
        <f aca="false">IF(AND(AE$3&gt;=$E37,AE$3&lt;=$F37),1,"")</f>
        <v>1</v>
      </c>
      <c r="AF37" s="1" t="n">
        <f aca="false">IF(AND(AF$3&gt;=$E37,AF$3&lt;=$F37),1,"")</f>
        <v>1</v>
      </c>
      <c r="AG37" s="1" t="n">
        <f aca="false">IF(AND(AG$3&gt;=$E37,AG$3&lt;=$F37),1,"")</f>
        <v>1</v>
      </c>
      <c r="AH37" s="1" t="n">
        <f aca="false">IF(AND(AH$3&gt;=$E37,AH$3&lt;=$F37),1,"")</f>
        <v>1</v>
      </c>
      <c r="AI37" s="1" t="n">
        <f aca="false">IF(AND(AI$3&gt;=$E37,AI$3&lt;=$F37),1,"")</f>
        <v>1</v>
      </c>
      <c r="AJ37" s="1" t="n">
        <f aca="false">IF(AND(AJ$3&gt;=$E37,AJ$3&lt;=$F37),1,"")</f>
        <v>1</v>
      </c>
      <c r="AK37" s="1" t="n">
        <f aca="false">IF(AND(AK$3&gt;=$E37,AK$3&lt;=$F37),1,"")</f>
        <v>1</v>
      </c>
      <c r="AL37" s="1" t="n">
        <f aca="false">IF(AND(AL$3&gt;=$E37,AL$3&lt;=$F37),1,"")</f>
        <v>1</v>
      </c>
      <c r="AM37" s="1" t="n">
        <f aca="false">IF(AND(AM$3&gt;=$E37,AM$3&lt;=$F37),1,"")</f>
        <v>1</v>
      </c>
      <c r="AN37" s="1" t="n">
        <f aca="false">IF(AND(AN$3&gt;=$E37,AN$3&lt;=$F37),1,"")</f>
        <v>1</v>
      </c>
      <c r="AO37" s="1" t="n">
        <f aca="false">IF(AND(AO$3&gt;=$E37,AO$3&lt;=$F37),1,"")</f>
        <v>1</v>
      </c>
      <c r="AP37" s="1" t="n">
        <f aca="false">IF(AND(AP$3&gt;=$E37,AP$3&lt;=$F37),1,"")</f>
        <v>1</v>
      </c>
      <c r="AQ37" s="1" t="n">
        <f aca="false">IF(AND(AQ$3&gt;=$E37,AQ$3&lt;=$F37),1,"")</f>
        <v>1</v>
      </c>
      <c r="AR37" s="1" t="n">
        <f aca="false">IF(AND(AR$3&gt;=$E37,AR$3&lt;=$F37),1,"")</f>
        <v>1</v>
      </c>
      <c r="AS37" s="1" t="n">
        <f aca="false">IF(AND(AS$3&gt;=$E37,AS$3&lt;=$F37),1,"")</f>
        <v>1</v>
      </c>
      <c r="AT37" s="1" t="n">
        <f aca="false">IF(AND(AT$3&gt;=$E37,AT$3&lt;=$F37),1,"")</f>
        <v>1</v>
      </c>
      <c r="AU37" s="1" t="n">
        <f aca="false">IF(AND(AU$3&gt;=$E37,AU$3&lt;=$F37),1,"")</f>
        <v>1</v>
      </c>
      <c r="AV37" s="1" t="n">
        <f aca="false">IF(AND(AV$3&gt;=$E37,AV$3&lt;=$F37),1,"")</f>
        <v>1</v>
      </c>
      <c r="AW37" s="1" t="n">
        <f aca="false">IF(AND(AW$3&gt;=$E37,AW$3&lt;=$F37),1,"")</f>
        <v>1</v>
      </c>
      <c r="AX37" s="1" t="n">
        <f aca="false">IF(AND(AX$3&gt;=$E37,AX$3&lt;=$F37),1,"")</f>
        <v>1</v>
      </c>
      <c r="AY37" s="1" t="n">
        <f aca="false">IF(AND(AY$3&gt;=$E37,AY$3&lt;=$F37),1,"")</f>
        <v>1</v>
      </c>
      <c r="AZ37" s="1" t="n">
        <f aca="false">IF(AND(AZ$3&gt;=$E37,AZ$3&lt;=$F37),1,"")</f>
        <v>1</v>
      </c>
      <c r="BA37" s="1" t="n">
        <f aca="false">IF(AND(BA$3&gt;=$E37,BA$3&lt;=$F37),1,"")</f>
        <v>1</v>
      </c>
      <c r="BB37" s="1" t="n">
        <f aca="false">IF(AND(BB$3&gt;=$E37,BB$3&lt;=$F37),1,"")</f>
        <v>1</v>
      </c>
      <c r="BC37" s="1" t="n">
        <f aca="false">IF(AND(BC$3&gt;=$E37,BC$3&lt;=$F37),1,"")</f>
        <v>1</v>
      </c>
      <c r="BD37" s="1" t="n">
        <f aca="false">IF(AND(BD$3&gt;=$E37,BD$3&lt;=$F37),1,"")</f>
        <v>1</v>
      </c>
      <c r="BE37" s="1" t="n">
        <f aca="false">IF(AND(BE$3&gt;=$E37,BE$3&lt;=$F37),1,"")</f>
        <v>1</v>
      </c>
      <c r="BF37" s="1" t="n">
        <f aca="false">IF(AND(BF$3&gt;=$E37,BF$3&lt;=$F37),1,"")</f>
        <v>1</v>
      </c>
      <c r="BG37" s="1" t="n">
        <f aca="false">IF(AND(BG$3&gt;=$E37,BG$3&lt;=$F37),1,"")</f>
        <v>1</v>
      </c>
      <c r="BH37" s="1" t="n">
        <f aca="false">IF(AND(BH$3&gt;=$E37,BH$3&lt;=$F37),1,"")</f>
        <v>1</v>
      </c>
      <c r="BI37" s="1" t="n">
        <f aca="false">IF(AND(BI$3&gt;=$E37,BI$3&lt;=$F37),1,"")</f>
        <v>1</v>
      </c>
      <c r="BJ37" s="1" t="str">
        <f aca="false">IF(AND(BJ$3&gt;=$E37,BJ$3&lt;=$F37),1,"")</f>
        <v/>
      </c>
      <c r="BK37" s="1" t="str">
        <f aca="false">IF(AND(BK$3&gt;=$E37,BK$3&lt;=$F37),1,"")</f>
        <v/>
      </c>
      <c r="BL37" s="1" t="str">
        <f aca="false">IF(AND(BL$3&gt;=$E37,BL$3&lt;=$F37),1,"")</f>
        <v/>
      </c>
      <c r="BM37" s="1" t="str">
        <f aca="false">IF(AND(BM$3&gt;=$E37,BM$3&lt;=$F37),1,"")</f>
        <v/>
      </c>
      <c r="BN37" s="1" t="str">
        <f aca="false">IF(AND(BN$3&gt;=$E37,BN$3&lt;=$F37),1,"")</f>
        <v/>
      </c>
      <c r="BO37" s="1" t="str">
        <f aca="false">IF(AND(BO$3&gt;=$E37,BO$3&lt;=$F37),1,"")</f>
        <v/>
      </c>
      <c r="BP37" s="1" t="str">
        <f aca="false">IF(AND(BP$3&gt;=$E37,BP$3&lt;=$F37),1,"")</f>
        <v/>
      </c>
      <c r="BQ37" s="1" t="str">
        <f aca="false">IF(AND(BQ$3&gt;=$E37,BQ$3&lt;=$F37),1,"")</f>
        <v/>
      </c>
      <c r="BR37" s="1" t="str">
        <f aca="false">IF(AND(BR$3&gt;=$E37,BR$3&lt;=$F37),1,"")</f>
        <v/>
      </c>
    </row>
    <row r="38" customFormat="false" ht="15" hidden="false" customHeight="true" outlineLevel="0" collapsed="false">
      <c r="A38" s="1" t="s">
        <v>424</v>
      </c>
      <c r="B38" s="1" t="n">
        <v>63</v>
      </c>
      <c r="C38" s="95" t="s">
        <v>401</v>
      </c>
      <c r="D38" s="1" t="n">
        <v>4</v>
      </c>
      <c r="E38" s="89" t="n">
        <v>46182.2916666667</v>
      </c>
      <c r="F38" s="89" t="n">
        <v>46262.2916666667</v>
      </c>
      <c r="G38" s="95" t="s">
        <v>154</v>
      </c>
      <c r="H38" s="1" t="str">
        <f aca="false">IF($A38="","",TEXT($F38,"MMM-YYYY"))</f>
        <v>Aug-2026</v>
      </c>
      <c r="I38" s="95" t="s">
        <v>157</v>
      </c>
      <c r="J38" s="96" t="n">
        <f aca="false">IF($A38="","",$F38+30)</f>
        <v>46292.2916666667</v>
      </c>
      <c r="K38" s="1" t="s">
        <v>155</v>
      </c>
      <c r="L38" s="1" t="str">
        <f aca="false">IF(AND(L$3&gt;=$E38,L$3&lt;=$F38),1,"")</f>
        <v/>
      </c>
      <c r="M38" s="1" t="str">
        <f aca="false">IF(AND(M$3&gt;=$E38,M$3&lt;=$F38),1,"")</f>
        <v/>
      </c>
      <c r="N38" s="1" t="str">
        <f aca="false">IF(AND(N$3&gt;=$E38,N$3&lt;=$F38),1,"")</f>
        <v/>
      </c>
      <c r="O38" s="1" t="str">
        <f aca="false">IF(AND(O$3&gt;=$E38,O$3&lt;=$F38),1,"")</f>
        <v/>
      </c>
      <c r="P38" s="1" t="str">
        <f aca="false">IF(AND(P$3&gt;=$E38,P$3&lt;=$F38),1,"")</f>
        <v/>
      </c>
      <c r="Q38" s="1" t="str">
        <f aca="false">IF(AND(Q$3&gt;=$E38,Q$3&lt;=$F38),1,"")</f>
        <v/>
      </c>
      <c r="R38" s="1" t="str">
        <f aca="false">IF(AND(R$3&gt;=$E38,R$3&lt;=$F38),1,"")</f>
        <v/>
      </c>
      <c r="S38" s="1" t="str">
        <f aca="false">IF(AND(S$3&gt;=$E38,S$3&lt;=$F38),1,"")</f>
        <v/>
      </c>
      <c r="T38" s="1" t="str">
        <f aca="false">IF(AND(T$3&gt;=$E38,T$3&lt;=$F38),1,"")</f>
        <v/>
      </c>
      <c r="U38" s="1" t="str">
        <f aca="false">IF(AND(U$3&gt;=$E38,U$3&lt;=$F38),1,"")</f>
        <v/>
      </c>
      <c r="V38" s="1" t="str">
        <f aca="false">IF(AND(V$3&gt;=$E38,V$3&lt;=$F38),1,"")</f>
        <v/>
      </c>
      <c r="W38" s="1" t="str">
        <f aca="false">IF(AND(W$3&gt;=$E38,W$3&lt;=$F38),1,"")</f>
        <v/>
      </c>
      <c r="X38" s="1" t="str">
        <f aca="false">IF(AND(X$3&gt;=$E38,X$3&lt;=$F38),1,"")</f>
        <v/>
      </c>
      <c r="Y38" s="1" t="str">
        <f aca="false">IF(AND(Y$3&gt;=$E38,Y$3&lt;=$F38),1,"")</f>
        <v/>
      </c>
      <c r="Z38" s="1" t="str">
        <f aca="false">IF(AND(Z$3&gt;=$E38,Z$3&lt;=$F38),1,"")</f>
        <v/>
      </c>
      <c r="AA38" s="1" t="str">
        <f aca="false">IF(AND(AA$3&gt;=$E38,AA$3&lt;=$F38),1,"")</f>
        <v/>
      </c>
      <c r="AB38" s="1" t="str">
        <f aca="false">IF(AND(AB$3&gt;=$E38,AB$3&lt;=$F38),1,"")</f>
        <v/>
      </c>
      <c r="AC38" s="1" t="str">
        <f aca="false">IF(AND(AC$3&gt;=$E38,AC$3&lt;=$F38),1,"")</f>
        <v/>
      </c>
      <c r="AD38" s="1" t="str">
        <f aca="false">IF(AND(AD$3&gt;=$E38,AD$3&lt;=$F38),1,"")</f>
        <v/>
      </c>
      <c r="AE38" s="1" t="str">
        <f aca="false">IF(AND(AE$3&gt;=$E38,AE$3&lt;=$F38),1,"")</f>
        <v/>
      </c>
      <c r="AF38" s="1" t="str">
        <f aca="false">IF(AND(AF$3&gt;=$E38,AF$3&lt;=$F38),1,"")</f>
        <v/>
      </c>
      <c r="AG38" s="1" t="str">
        <f aca="false">IF(AND(AG$3&gt;=$E38,AG$3&lt;=$F38),1,"")</f>
        <v/>
      </c>
      <c r="AH38" s="1" t="str">
        <f aca="false">IF(AND(AH$3&gt;=$E38,AH$3&lt;=$F38),1,"")</f>
        <v/>
      </c>
      <c r="AI38" s="1" t="str">
        <f aca="false">IF(AND(AI$3&gt;=$E38,AI$3&lt;=$F38),1,"")</f>
        <v/>
      </c>
      <c r="AJ38" s="1" t="str">
        <f aca="false">IF(AND(AJ$3&gt;=$E38,AJ$3&lt;=$F38),1,"")</f>
        <v/>
      </c>
      <c r="AK38" s="1" t="str">
        <f aca="false">IF(AND(AK$3&gt;=$E38,AK$3&lt;=$F38),1,"")</f>
        <v/>
      </c>
      <c r="AL38" s="1" t="str">
        <f aca="false">IF(AND(AL$3&gt;=$E38,AL$3&lt;=$F38),1,"")</f>
        <v/>
      </c>
      <c r="AM38" s="1" t="str">
        <f aca="false">IF(AND(AM$3&gt;=$E38,AM$3&lt;=$F38),1,"")</f>
        <v/>
      </c>
      <c r="AN38" s="1" t="str">
        <f aca="false">IF(AND(AN$3&gt;=$E38,AN$3&lt;=$F38),1,"")</f>
        <v/>
      </c>
      <c r="AO38" s="1" t="str">
        <f aca="false">IF(AND(AO$3&gt;=$E38,AO$3&lt;=$F38),1,"")</f>
        <v/>
      </c>
      <c r="AP38" s="1" t="str">
        <f aca="false">IF(AND(AP$3&gt;=$E38,AP$3&lt;=$F38),1,"")</f>
        <v/>
      </c>
      <c r="AQ38" s="1" t="str">
        <f aca="false">IF(AND(AQ$3&gt;=$E38,AQ$3&lt;=$F38),1,"")</f>
        <v/>
      </c>
      <c r="AR38" s="1" t="str">
        <f aca="false">IF(AND(AR$3&gt;=$E38,AR$3&lt;=$F38),1,"")</f>
        <v/>
      </c>
      <c r="AS38" s="1" t="str">
        <f aca="false">IF(AND(AS$3&gt;=$E38,AS$3&lt;=$F38),1,"")</f>
        <v/>
      </c>
      <c r="AT38" s="1" t="str">
        <f aca="false">IF(AND(AT$3&gt;=$E38,AT$3&lt;=$F38),1,"")</f>
        <v/>
      </c>
      <c r="AU38" s="1" t="str">
        <f aca="false">IF(AND(AU$3&gt;=$E38,AU$3&lt;=$F38),1,"")</f>
        <v/>
      </c>
      <c r="AV38" s="1" t="str">
        <f aca="false">IF(AND(AV$3&gt;=$E38,AV$3&lt;=$F38),1,"")</f>
        <v/>
      </c>
      <c r="AW38" s="1" t="str">
        <f aca="false">IF(AND(AW$3&gt;=$E38,AW$3&lt;=$F38),1,"")</f>
        <v/>
      </c>
      <c r="AX38" s="1" t="str">
        <f aca="false">IF(AND(AX$3&gt;=$E38,AX$3&lt;=$F38),1,"")</f>
        <v/>
      </c>
      <c r="AY38" s="1" t="str">
        <f aca="false">IF(AND(AY$3&gt;=$E38,AY$3&lt;=$F38),1,"")</f>
        <v/>
      </c>
      <c r="AZ38" s="1" t="str">
        <f aca="false">IF(AND(AZ$3&gt;=$E38,AZ$3&lt;=$F38),1,"")</f>
        <v/>
      </c>
      <c r="BA38" s="1" t="str">
        <f aca="false">IF(AND(BA$3&gt;=$E38,BA$3&lt;=$F38),1,"")</f>
        <v/>
      </c>
      <c r="BB38" s="1" t="str">
        <f aca="false">IF(AND(BB$3&gt;=$E38,BB$3&lt;=$F38),1,"")</f>
        <v/>
      </c>
      <c r="BC38" s="1" t="str">
        <f aca="false">IF(AND(BC$3&gt;=$E38,BC$3&lt;=$F38),1,"")</f>
        <v/>
      </c>
      <c r="BD38" s="1" t="str">
        <f aca="false">IF(AND(BD$3&gt;=$E38,BD$3&lt;=$F38),1,"")</f>
        <v/>
      </c>
      <c r="BE38" s="1" t="str">
        <f aca="false">IF(AND(BE$3&gt;=$E38,BE$3&lt;=$F38),1,"")</f>
        <v/>
      </c>
      <c r="BF38" s="1" t="str">
        <f aca="false">IF(AND(BF$3&gt;=$E38,BF$3&lt;=$F38),1,"")</f>
        <v/>
      </c>
      <c r="BG38" s="1" t="str">
        <f aca="false">IF(AND(BG$3&gt;=$E38,BG$3&lt;=$F38),1,"")</f>
        <v/>
      </c>
      <c r="BH38" s="1" t="str">
        <f aca="false">IF(AND(BH$3&gt;=$E38,BH$3&lt;=$F38),1,"")</f>
        <v/>
      </c>
      <c r="BI38" s="1" t="str">
        <f aca="false">IF(AND(BI$3&gt;=$E38,BI$3&lt;=$F38),1,"")</f>
        <v/>
      </c>
      <c r="BJ38" s="1" t="str">
        <f aca="false">IF(AND(BJ$3&gt;=$E38,BJ$3&lt;=$F38),1,"")</f>
        <v/>
      </c>
      <c r="BK38" s="1" t="str">
        <f aca="false">IF(AND(BK$3&gt;=$E38,BK$3&lt;=$F38),1,"")</f>
        <v/>
      </c>
      <c r="BL38" s="1" t="str">
        <f aca="false">IF(AND(BL$3&gt;=$E38,BL$3&lt;=$F38),1,"")</f>
        <v/>
      </c>
      <c r="BM38" s="1" t="str">
        <f aca="false">IF(AND(BM$3&gt;=$E38,BM$3&lt;=$F38),1,"")</f>
        <v/>
      </c>
      <c r="BN38" s="1" t="str">
        <f aca="false">IF(AND(BN$3&gt;=$E38,BN$3&lt;=$F38),1,"")</f>
        <v/>
      </c>
      <c r="BO38" s="1" t="str">
        <f aca="false">IF(AND(BO$3&gt;=$E38,BO$3&lt;=$F38),1,"")</f>
        <v/>
      </c>
      <c r="BP38" s="1" t="str">
        <f aca="false">IF(AND(BP$3&gt;=$E38,BP$3&lt;=$F38),1,"")</f>
        <v/>
      </c>
      <c r="BQ38" s="1" t="str">
        <f aca="false">IF(AND(BQ$3&gt;=$E38,BQ$3&lt;=$F38),1,"")</f>
        <v/>
      </c>
      <c r="BR38" s="1" t="str">
        <f aca="false">IF(AND(BR$3&gt;=$E38,BR$3&lt;=$F38),1,"")</f>
        <v/>
      </c>
    </row>
    <row r="39" customFormat="false" ht="15" hidden="false" customHeight="true" outlineLevel="0" collapsed="false">
      <c r="A39" s="1" t="s">
        <v>425</v>
      </c>
      <c r="B39" s="1" t="n">
        <v>50</v>
      </c>
      <c r="C39" s="95" t="s">
        <v>401</v>
      </c>
      <c r="D39" s="1" t="n">
        <v>4</v>
      </c>
      <c r="E39" s="89" t="n">
        <v>46201.2916666667</v>
      </c>
      <c r="F39" s="89" t="n">
        <v>46223.2916666667</v>
      </c>
      <c r="G39" s="95" t="s">
        <v>154</v>
      </c>
      <c r="H39" s="1" t="str">
        <f aca="false">IF($A39="","",TEXT($F39,"MMM-YYYY"))</f>
        <v>Jul-2026</v>
      </c>
      <c r="I39" s="95" t="s">
        <v>150</v>
      </c>
      <c r="J39" s="96" t="n">
        <f aca="false">IF($A39="","",$F39+30)</f>
        <v>46253.2916666667</v>
      </c>
      <c r="K39" s="1" t="s">
        <v>392</v>
      </c>
      <c r="L39" s="1" t="str">
        <f aca="false">IF(AND(L$3&gt;=$E39,L$3&lt;=$F39),1,"")</f>
        <v/>
      </c>
      <c r="M39" s="1" t="str">
        <f aca="false">IF(AND(M$3&gt;=$E39,M$3&lt;=$F39),1,"")</f>
        <v/>
      </c>
      <c r="N39" s="1" t="str">
        <f aca="false">IF(AND(N$3&gt;=$E39,N$3&lt;=$F39),1,"")</f>
        <v/>
      </c>
      <c r="O39" s="1" t="str">
        <f aca="false">IF(AND(O$3&gt;=$E39,O$3&lt;=$F39),1,"")</f>
        <v/>
      </c>
      <c r="P39" s="1" t="str">
        <f aca="false">IF(AND(P$3&gt;=$E39,P$3&lt;=$F39),1,"")</f>
        <v/>
      </c>
      <c r="Q39" s="1" t="str">
        <f aca="false">IF(AND(Q$3&gt;=$E39,Q$3&lt;=$F39),1,"")</f>
        <v/>
      </c>
      <c r="R39" s="1" t="str">
        <f aca="false">IF(AND(R$3&gt;=$E39,R$3&lt;=$F39),1,"")</f>
        <v/>
      </c>
      <c r="S39" s="1" t="str">
        <f aca="false">IF(AND(S$3&gt;=$E39,S$3&lt;=$F39),1,"")</f>
        <v/>
      </c>
      <c r="T39" s="1" t="str">
        <f aca="false">IF(AND(T$3&gt;=$E39,T$3&lt;=$F39),1,"")</f>
        <v/>
      </c>
      <c r="U39" s="1" t="str">
        <f aca="false">IF(AND(U$3&gt;=$E39,U$3&lt;=$F39),1,"")</f>
        <v/>
      </c>
      <c r="V39" s="1" t="str">
        <f aca="false">IF(AND(V$3&gt;=$E39,V$3&lt;=$F39),1,"")</f>
        <v/>
      </c>
      <c r="W39" s="1" t="str">
        <f aca="false">IF(AND(W$3&gt;=$E39,W$3&lt;=$F39),1,"")</f>
        <v/>
      </c>
      <c r="X39" s="1" t="str">
        <f aca="false">IF(AND(X$3&gt;=$E39,X$3&lt;=$F39),1,"")</f>
        <v/>
      </c>
      <c r="Y39" s="1" t="str">
        <f aca="false">IF(AND(Y$3&gt;=$E39,Y$3&lt;=$F39),1,"")</f>
        <v/>
      </c>
      <c r="Z39" s="1" t="str">
        <f aca="false">IF(AND(Z$3&gt;=$E39,Z$3&lt;=$F39),1,"")</f>
        <v/>
      </c>
      <c r="AA39" s="1" t="str">
        <f aca="false">IF(AND(AA$3&gt;=$E39,AA$3&lt;=$F39),1,"")</f>
        <v/>
      </c>
      <c r="AB39" s="1" t="str">
        <f aca="false">IF(AND(AB$3&gt;=$E39,AB$3&lt;=$F39),1,"")</f>
        <v/>
      </c>
      <c r="AC39" s="1" t="str">
        <f aca="false">IF(AND(AC$3&gt;=$E39,AC$3&lt;=$F39),1,"")</f>
        <v/>
      </c>
      <c r="AD39" s="1" t="str">
        <f aca="false">IF(AND(AD$3&gt;=$E39,AD$3&lt;=$F39),1,"")</f>
        <v/>
      </c>
      <c r="AE39" s="1" t="str">
        <f aca="false">IF(AND(AE$3&gt;=$E39,AE$3&lt;=$F39),1,"")</f>
        <v/>
      </c>
      <c r="AF39" s="1" t="str">
        <f aca="false">IF(AND(AF$3&gt;=$E39,AF$3&lt;=$F39),1,"")</f>
        <v/>
      </c>
      <c r="AG39" s="1" t="str">
        <f aca="false">IF(AND(AG$3&gt;=$E39,AG$3&lt;=$F39),1,"")</f>
        <v/>
      </c>
      <c r="AH39" s="1" t="str">
        <f aca="false">IF(AND(AH$3&gt;=$E39,AH$3&lt;=$F39),1,"")</f>
        <v/>
      </c>
      <c r="AI39" s="1" t="str">
        <f aca="false">IF(AND(AI$3&gt;=$E39,AI$3&lt;=$F39),1,"")</f>
        <v/>
      </c>
      <c r="AJ39" s="1" t="str">
        <f aca="false">IF(AND(AJ$3&gt;=$E39,AJ$3&lt;=$F39),1,"")</f>
        <v/>
      </c>
      <c r="AK39" s="1" t="str">
        <f aca="false">IF(AND(AK$3&gt;=$E39,AK$3&lt;=$F39),1,"")</f>
        <v/>
      </c>
      <c r="AL39" s="1" t="str">
        <f aca="false">IF(AND(AL$3&gt;=$E39,AL$3&lt;=$F39),1,"")</f>
        <v/>
      </c>
      <c r="AM39" s="1" t="str">
        <f aca="false">IF(AND(AM$3&gt;=$E39,AM$3&lt;=$F39),1,"")</f>
        <v/>
      </c>
      <c r="AN39" s="1" t="str">
        <f aca="false">IF(AND(AN$3&gt;=$E39,AN$3&lt;=$F39),1,"")</f>
        <v/>
      </c>
      <c r="AO39" s="1" t="str">
        <f aca="false">IF(AND(AO$3&gt;=$E39,AO$3&lt;=$F39),1,"")</f>
        <v/>
      </c>
      <c r="AP39" s="1" t="str">
        <f aca="false">IF(AND(AP$3&gt;=$E39,AP$3&lt;=$F39),1,"")</f>
        <v/>
      </c>
      <c r="AQ39" s="1" t="str">
        <f aca="false">IF(AND(AQ$3&gt;=$E39,AQ$3&lt;=$F39),1,"")</f>
        <v/>
      </c>
      <c r="AR39" s="1" t="str">
        <f aca="false">IF(AND(AR$3&gt;=$E39,AR$3&lt;=$F39),1,"")</f>
        <v/>
      </c>
      <c r="AS39" s="1" t="str">
        <f aca="false">IF(AND(AS$3&gt;=$E39,AS$3&lt;=$F39),1,"")</f>
        <v/>
      </c>
      <c r="AT39" s="1" t="str">
        <f aca="false">IF(AND(AT$3&gt;=$E39,AT$3&lt;=$F39),1,"")</f>
        <v/>
      </c>
      <c r="AU39" s="1" t="str">
        <f aca="false">IF(AND(AU$3&gt;=$E39,AU$3&lt;=$F39),1,"")</f>
        <v/>
      </c>
      <c r="AV39" s="1" t="str">
        <f aca="false">IF(AND(AV$3&gt;=$E39,AV$3&lt;=$F39),1,"")</f>
        <v/>
      </c>
      <c r="AW39" s="1" t="str">
        <f aca="false">IF(AND(AW$3&gt;=$E39,AW$3&lt;=$F39),1,"")</f>
        <v/>
      </c>
      <c r="AX39" s="1" t="str">
        <f aca="false">IF(AND(AX$3&gt;=$E39,AX$3&lt;=$F39),1,"")</f>
        <v/>
      </c>
      <c r="AY39" s="1" t="str">
        <f aca="false">IF(AND(AY$3&gt;=$E39,AY$3&lt;=$F39),1,"")</f>
        <v/>
      </c>
      <c r="AZ39" s="1" t="str">
        <f aca="false">IF(AND(AZ$3&gt;=$E39,AZ$3&lt;=$F39),1,"")</f>
        <v/>
      </c>
      <c r="BA39" s="1" t="str">
        <f aca="false">IF(AND(BA$3&gt;=$E39,BA$3&lt;=$F39),1,"")</f>
        <v/>
      </c>
      <c r="BB39" s="1" t="str">
        <f aca="false">IF(AND(BB$3&gt;=$E39,BB$3&lt;=$F39),1,"")</f>
        <v/>
      </c>
      <c r="BC39" s="1" t="str">
        <f aca="false">IF(AND(BC$3&gt;=$E39,BC$3&lt;=$F39),1,"")</f>
        <v/>
      </c>
      <c r="BD39" s="1" t="str">
        <f aca="false">IF(AND(BD$3&gt;=$E39,BD$3&lt;=$F39),1,"")</f>
        <v/>
      </c>
      <c r="BE39" s="1" t="str">
        <f aca="false">IF(AND(BE$3&gt;=$E39,BE$3&lt;=$F39),1,"")</f>
        <v/>
      </c>
      <c r="BF39" s="1" t="str">
        <f aca="false">IF(AND(BF$3&gt;=$E39,BF$3&lt;=$F39),1,"")</f>
        <v/>
      </c>
      <c r="BG39" s="1" t="str">
        <f aca="false">IF(AND(BG$3&gt;=$E39,BG$3&lt;=$F39),1,"")</f>
        <v/>
      </c>
      <c r="BH39" s="1" t="str">
        <f aca="false">IF(AND(BH$3&gt;=$E39,BH$3&lt;=$F39),1,"")</f>
        <v/>
      </c>
      <c r="BI39" s="1" t="str">
        <f aca="false">IF(AND(BI$3&gt;=$E39,BI$3&lt;=$F39),1,"")</f>
        <v/>
      </c>
      <c r="BJ39" s="1" t="str">
        <f aca="false">IF(AND(BJ$3&gt;=$E39,BJ$3&lt;=$F39),1,"")</f>
        <v/>
      </c>
      <c r="BK39" s="1" t="str">
        <f aca="false">IF(AND(BK$3&gt;=$E39,BK$3&lt;=$F39),1,"")</f>
        <v/>
      </c>
      <c r="BL39" s="1" t="str">
        <f aca="false">IF(AND(BL$3&gt;=$E39,BL$3&lt;=$F39),1,"")</f>
        <v/>
      </c>
      <c r="BM39" s="1" t="str">
        <f aca="false">IF(AND(BM$3&gt;=$E39,BM$3&lt;=$F39),1,"")</f>
        <v/>
      </c>
      <c r="BN39" s="1" t="str">
        <f aca="false">IF(AND(BN$3&gt;=$E39,BN$3&lt;=$F39),1,"")</f>
        <v/>
      </c>
      <c r="BO39" s="1" t="str">
        <f aca="false">IF(AND(BO$3&gt;=$E39,BO$3&lt;=$F39),1,"")</f>
        <v/>
      </c>
      <c r="BP39" s="1" t="str">
        <f aca="false">IF(AND(BP$3&gt;=$E39,BP$3&lt;=$F39),1,"")</f>
        <v/>
      </c>
      <c r="BQ39" s="1" t="str">
        <f aca="false">IF(AND(BQ$3&gt;=$E39,BQ$3&lt;=$F39),1,"")</f>
        <v/>
      </c>
      <c r="BR39" s="1" t="str">
        <f aca="false">IF(AND(BR$3&gt;=$E39,BR$3&lt;=$F39),1,"")</f>
        <v/>
      </c>
    </row>
    <row r="40" customFormat="false" ht="15" hidden="false" customHeight="true" outlineLevel="0" collapsed="false">
      <c r="A40" s="1" t="s">
        <v>426</v>
      </c>
      <c r="B40" s="1" t="n">
        <v>30</v>
      </c>
      <c r="C40" s="95" t="s">
        <v>386</v>
      </c>
      <c r="D40" s="1" t="n">
        <v>3</v>
      </c>
      <c r="E40" s="89" t="n">
        <v>46128.2916666667</v>
      </c>
      <c r="F40" s="89" t="n">
        <v>46208.2916666667</v>
      </c>
      <c r="G40" s="95" t="s">
        <v>154</v>
      </c>
      <c r="H40" s="1" t="str">
        <f aca="false">IF($A40="","",TEXT($F40,"MMM-YYYY"))</f>
        <v>Jul-2026</v>
      </c>
      <c r="I40" s="95" t="s">
        <v>147</v>
      </c>
      <c r="J40" s="96" t="n">
        <f aca="false">IF($A40="","",$F40+30)</f>
        <v>46238.2916666667</v>
      </c>
      <c r="K40" s="1" t="s">
        <v>155</v>
      </c>
      <c r="L40" s="1" t="str">
        <f aca="false">IF(AND(L$3&gt;=$E40,L$3&lt;=$F40),1,"")</f>
        <v/>
      </c>
      <c r="M40" s="1" t="str">
        <f aca="false">IF(AND(M$3&gt;=$E40,M$3&lt;=$F40),1,"")</f>
        <v/>
      </c>
      <c r="N40" s="1" t="str">
        <f aca="false">IF(AND(N$3&gt;=$E40,N$3&lt;=$F40),1,"")</f>
        <v/>
      </c>
      <c r="O40" s="1" t="str">
        <f aca="false">IF(AND(O$3&gt;=$E40,O$3&lt;=$F40),1,"")</f>
        <v/>
      </c>
      <c r="P40" s="1" t="str">
        <f aca="false">IF(AND(P$3&gt;=$E40,P$3&lt;=$F40),1,"")</f>
        <v/>
      </c>
      <c r="Q40" s="1" t="str">
        <f aca="false">IF(AND(Q$3&gt;=$E40,Q$3&lt;=$F40),1,"")</f>
        <v/>
      </c>
      <c r="R40" s="1" t="str">
        <f aca="false">IF(AND(R$3&gt;=$E40,R$3&lt;=$F40),1,"")</f>
        <v/>
      </c>
      <c r="S40" s="1" t="str">
        <f aca="false">IF(AND(S$3&gt;=$E40,S$3&lt;=$F40),1,"")</f>
        <v/>
      </c>
      <c r="T40" s="1" t="str">
        <f aca="false">IF(AND(T$3&gt;=$E40,T$3&lt;=$F40),1,"")</f>
        <v/>
      </c>
      <c r="U40" s="1" t="str">
        <f aca="false">IF(AND(U$3&gt;=$E40,U$3&lt;=$F40),1,"")</f>
        <v/>
      </c>
      <c r="V40" s="1" t="str">
        <f aca="false">IF(AND(V$3&gt;=$E40,V$3&lt;=$F40),1,"")</f>
        <v/>
      </c>
      <c r="W40" s="1" t="str">
        <f aca="false">IF(AND(W$3&gt;=$E40,W$3&lt;=$F40),1,"")</f>
        <v/>
      </c>
      <c r="X40" s="1" t="str">
        <f aca="false">IF(AND(X$3&gt;=$E40,X$3&lt;=$F40),1,"")</f>
        <v/>
      </c>
      <c r="Y40" s="1" t="str">
        <f aca="false">IF(AND(Y$3&gt;=$E40,Y$3&lt;=$F40),1,"")</f>
        <v/>
      </c>
      <c r="Z40" s="1" t="str">
        <f aca="false">IF(AND(Z$3&gt;=$E40,Z$3&lt;=$F40),1,"")</f>
        <v/>
      </c>
      <c r="AA40" s="1" t="n">
        <f aca="false">IF(AND(AA$3&gt;=$E40,AA$3&lt;=$F40),1,"")</f>
        <v>1</v>
      </c>
      <c r="AB40" s="1" t="n">
        <f aca="false">IF(AND(AB$3&gt;=$E40,AB$3&lt;=$F40),1,"")</f>
        <v>1</v>
      </c>
      <c r="AC40" s="1" t="n">
        <f aca="false">IF(AND(AC$3&gt;=$E40,AC$3&lt;=$F40),1,"")</f>
        <v>1</v>
      </c>
      <c r="AD40" s="1" t="n">
        <f aca="false">IF(AND(AD$3&gt;=$E40,AD$3&lt;=$F40),1,"")</f>
        <v>1</v>
      </c>
      <c r="AE40" s="1" t="n">
        <f aca="false">IF(AND(AE$3&gt;=$E40,AE$3&lt;=$F40),1,"")</f>
        <v>1</v>
      </c>
      <c r="AF40" s="1" t="n">
        <f aca="false">IF(AND(AF$3&gt;=$E40,AF$3&lt;=$F40),1,"")</f>
        <v>1</v>
      </c>
      <c r="AG40" s="1" t="n">
        <f aca="false">IF(AND(AG$3&gt;=$E40,AG$3&lt;=$F40),1,"")</f>
        <v>1</v>
      </c>
      <c r="AH40" s="1" t="n">
        <f aca="false">IF(AND(AH$3&gt;=$E40,AH$3&lt;=$F40),1,"")</f>
        <v>1</v>
      </c>
      <c r="AI40" s="1" t="n">
        <f aca="false">IF(AND(AI$3&gt;=$E40,AI$3&lt;=$F40),1,"")</f>
        <v>1</v>
      </c>
      <c r="AJ40" s="1" t="n">
        <f aca="false">IF(AND(AJ$3&gt;=$E40,AJ$3&lt;=$F40),1,"")</f>
        <v>1</v>
      </c>
      <c r="AK40" s="1" t="n">
        <f aca="false">IF(AND(AK$3&gt;=$E40,AK$3&lt;=$F40),1,"")</f>
        <v>1</v>
      </c>
      <c r="AL40" s="1" t="n">
        <f aca="false">IF(AND(AL$3&gt;=$E40,AL$3&lt;=$F40),1,"")</f>
        <v>1</v>
      </c>
      <c r="AM40" s="1" t="n">
        <f aca="false">IF(AND(AM$3&gt;=$E40,AM$3&lt;=$F40),1,"")</f>
        <v>1</v>
      </c>
      <c r="AN40" s="1" t="n">
        <f aca="false">IF(AND(AN$3&gt;=$E40,AN$3&lt;=$F40),1,"")</f>
        <v>1</v>
      </c>
      <c r="AO40" s="1" t="n">
        <f aca="false">IF(AND(AO$3&gt;=$E40,AO$3&lt;=$F40),1,"")</f>
        <v>1</v>
      </c>
      <c r="AP40" s="1" t="n">
        <f aca="false">IF(AND(AP$3&gt;=$E40,AP$3&lt;=$F40),1,"")</f>
        <v>1</v>
      </c>
      <c r="AQ40" s="1" t="n">
        <f aca="false">IF(AND(AQ$3&gt;=$E40,AQ$3&lt;=$F40),1,"")</f>
        <v>1</v>
      </c>
      <c r="AR40" s="1" t="n">
        <f aca="false">IF(AND(AR$3&gt;=$E40,AR$3&lt;=$F40),1,"")</f>
        <v>1</v>
      </c>
      <c r="AS40" s="1" t="n">
        <f aca="false">IF(AND(AS$3&gt;=$E40,AS$3&lt;=$F40),1,"")</f>
        <v>1</v>
      </c>
      <c r="AT40" s="1" t="n">
        <f aca="false">IF(AND(AT$3&gt;=$E40,AT$3&lt;=$F40),1,"")</f>
        <v>1</v>
      </c>
      <c r="AU40" s="1" t="n">
        <f aca="false">IF(AND(AU$3&gt;=$E40,AU$3&lt;=$F40),1,"")</f>
        <v>1</v>
      </c>
      <c r="AV40" s="1" t="n">
        <f aca="false">IF(AND(AV$3&gt;=$E40,AV$3&lt;=$F40),1,"")</f>
        <v>1</v>
      </c>
      <c r="AW40" s="1" t="n">
        <f aca="false">IF(AND(AW$3&gt;=$E40,AW$3&lt;=$F40),1,"")</f>
        <v>1</v>
      </c>
      <c r="AX40" s="1" t="n">
        <f aca="false">IF(AND(AX$3&gt;=$E40,AX$3&lt;=$F40),1,"")</f>
        <v>1</v>
      </c>
      <c r="AY40" s="1" t="n">
        <f aca="false">IF(AND(AY$3&gt;=$E40,AY$3&lt;=$F40),1,"")</f>
        <v>1</v>
      </c>
      <c r="AZ40" s="1" t="n">
        <f aca="false">IF(AND(AZ$3&gt;=$E40,AZ$3&lt;=$F40),1,"")</f>
        <v>1</v>
      </c>
      <c r="BA40" s="1" t="n">
        <f aca="false">IF(AND(BA$3&gt;=$E40,BA$3&lt;=$F40),1,"")</f>
        <v>1</v>
      </c>
      <c r="BB40" s="1" t="n">
        <f aca="false">IF(AND(BB$3&gt;=$E40,BB$3&lt;=$F40),1,"")</f>
        <v>1</v>
      </c>
      <c r="BC40" s="1" t="n">
        <f aca="false">IF(AND(BC$3&gt;=$E40,BC$3&lt;=$F40),1,"")</f>
        <v>1</v>
      </c>
      <c r="BD40" s="1" t="n">
        <f aca="false">IF(AND(BD$3&gt;=$E40,BD$3&lt;=$F40),1,"")</f>
        <v>1</v>
      </c>
      <c r="BE40" s="1" t="n">
        <f aca="false">IF(AND(BE$3&gt;=$E40,BE$3&lt;=$F40),1,"")</f>
        <v>1</v>
      </c>
      <c r="BF40" s="1" t="n">
        <f aca="false">IF(AND(BF$3&gt;=$E40,BF$3&lt;=$F40),1,"")</f>
        <v>1</v>
      </c>
      <c r="BG40" s="1" t="n">
        <f aca="false">IF(AND(BG$3&gt;=$E40,BG$3&lt;=$F40),1,"")</f>
        <v>1</v>
      </c>
      <c r="BH40" s="1" t="n">
        <f aca="false">IF(AND(BH$3&gt;=$E40,BH$3&lt;=$F40),1,"")</f>
        <v>1</v>
      </c>
      <c r="BI40" s="1" t="n">
        <f aca="false">IF(AND(BI$3&gt;=$E40,BI$3&lt;=$F40),1,"")</f>
        <v>1</v>
      </c>
      <c r="BJ40" s="1" t="n">
        <f aca="false">IF(AND(BJ$3&gt;=$E40,BJ$3&lt;=$F40),1,"")</f>
        <v>1</v>
      </c>
      <c r="BK40" s="1" t="n">
        <f aca="false">IF(AND(BK$3&gt;=$E40,BK$3&lt;=$F40),1,"")</f>
        <v>1</v>
      </c>
      <c r="BL40" s="1" t="n">
        <f aca="false">IF(AND(BL$3&gt;=$E40,BL$3&lt;=$F40),1,"")</f>
        <v>1</v>
      </c>
      <c r="BM40" s="1" t="n">
        <f aca="false">IF(AND(BM$3&gt;=$E40,BM$3&lt;=$F40),1,"")</f>
        <v>1</v>
      </c>
      <c r="BN40" s="1" t="n">
        <f aca="false">IF(AND(BN$3&gt;=$E40,BN$3&lt;=$F40),1,"")</f>
        <v>1</v>
      </c>
      <c r="BO40" s="1" t="n">
        <f aca="false">IF(AND(BO$3&gt;=$E40,BO$3&lt;=$F40),1,"")</f>
        <v>1</v>
      </c>
      <c r="BP40" s="1" t="n">
        <f aca="false">IF(AND(BP$3&gt;=$E40,BP$3&lt;=$F40),1,"")</f>
        <v>1</v>
      </c>
      <c r="BQ40" s="1" t="n">
        <f aca="false">IF(AND(BQ$3&gt;=$E40,BQ$3&lt;=$F40),1,"")</f>
        <v>1</v>
      </c>
      <c r="BR40" s="1" t="n">
        <f aca="false">IF(AND(BR$3&gt;=$E40,BR$3&lt;=$F40),1,"")</f>
        <v>1</v>
      </c>
    </row>
    <row r="41" customFormat="false" ht="15" hidden="false" customHeight="true" outlineLevel="0" collapsed="false">
      <c r="A41" s="1" t="s">
        <v>427</v>
      </c>
      <c r="B41" s="1" t="n">
        <v>46</v>
      </c>
      <c r="C41" s="95" t="s">
        <v>395</v>
      </c>
      <c r="D41" s="1" t="n">
        <v>1</v>
      </c>
      <c r="E41" s="89" t="n">
        <v>46194.2916666667</v>
      </c>
      <c r="F41" s="89" t="n">
        <v>46246.2916666667</v>
      </c>
      <c r="G41" s="95" t="s">
        <v>154</v>
      </c>
      <c r="H41" s="1" t="str">
        <f aca="false">IF($A41="","",TEXT($F41,"MMM-YYYY"))</f>
        <v>Aug-2026</v>
      </c>
      <c r="I41" s="95" t="s">
        <v>157</v>
      </c>
      <c r="J41" s="96" t="n">
        <f aca="false">IF($A41="","",$F41+30)</f>
        <v>46276.2916666667</v>
      </c>
      <c r="K41" s="1" t="s">
        <v>148</v>
      </c>
      <c r="L41" s="1" t="str">
        <f aca="false">IF(AND(L$3&gt;=$E41,L$3&lt;=$F41),1,"")</f>
        <v/>
      </c>
      <c r="M41" s="1" t="str">
        <f aca="false">IF(AND(M$3&gt;=$E41,M$3&lt;=$F41),1,"")</f>
        <v/>
      </c>
      <c r="N41" s="1" t="str">
        <f aca="false">IF(AND(N$3&gt;=$E41,N$3&lt;=$F41),1,"")</f>
        <v/>
      </c>
      <c r="O41" s="1" t="str">
        <f aca="false">IF(AND(O$3&gt;=$E41,O$3&lt;=$F41),1,"")</f>
        <v/>
      </c>
      <c r="P41" s="1" t="str">
        <f aca="false">IF(AND(P$3&gt;=$E41,P$3&lt;=$F41),1,"")</f>
        <v/>
      </c>
      <c r="Q41" s="1" t="str">
        <f aca="false">IF(AND(Q$3&gt;=$E41,Q$3&lt;=$F41),1,"")</f>
        <v/>
      </c>
      <c r="R41" s="1" t="str">
        <f aca="false">IF(AND(R$3&gt;=$E41,R$3&lt;=$F41),1,"")</f>
        <v/>
      </c>
      <c r="S41" s="1" t="str">
        <f aca="false">IF(AND(S$3&gt;=$E41,S$3&lt;=$F41),1,"")</f>
        <v/>
      </c>
      <c r="T41" s="1" t="str">
        <f aca="false">IF(AND(T$3&gt;=$E41,T$3&lt;=$F41),1,"")</f>
        <v/>
      </c>
      <c r="U41" s="1" t="str">
        <f aca="false">IF(AND(U$3&gt;=$E41,U$3&lt;=$F41),1,"")</f>
        <v/>
      </c>
      <c r="V41" s="1" t="str">
        <f aca="false">IF(AND(V$3&gt;=$E41,V$3&lt;=$F41),1,"")</f>
        <v/>
      </c>
      <c r="W41" s="1" t="str">
        <f aca="false">IF(AND(W$3&gt;=$E41,W$3&lt;=$F41),1,"")</f>
        <v/>
      </c>
      <c r="X41" s="1" t="str">
        <f aca="false">IF(AND(X$3&gt;=$E41,X$3&lt;=$F41),1,"")</f>
        <v/>
      </c>
      <c r="Y41" s="1" t="str">
        <f aca="false">IF(AND(Y$3&gt;=$E41,Y$3&lt;=$F41),1,"")</f>
        <v/>
      </c>
      <c r="Z41" s="1" t="str">
        <f aca="false">IF(AND(Z$3&gt;=$E41,Z$3&lt;=$F41),1,"")</f>
        <v/>
      </c>
      <c r="AA41" s="1" t="str">
        <f aca="false">IF(AND(AA$3&gt;=$E41,AA$3&lt;=$F41),1,"")</f>
        <v/>
      </c>
      <c r="AB41" s="1" t="str">
        <f aca="false">IF(AND(AB$3&gt;=$E41,AB$3&lt;=$F41),1,"")</f>
        <v/>
      </c>
      <c r="AC41" s="1" t="str">
        <f aca="false">IF(AND(AC$3&gt;=$E41,AC$3&lt;=$F41),1,"")</f>
        <v/>
      </c>
      <c r="AD41" s="1" t="str">
        <f aca="false">IF(AND(AD$3&gt;=$E41,AD$3&lt;=$F41),1,"")</f>
        <v/>
      </c>
      <c r="AE41" s="1" t="str">
        <f aca="false">IF(AND(AE$3&gt;=$E41,AE$3&lt;=$F41),1,"")</f>
        <v/>
      </c>
      <c r="AF41" s="1" t="str">
        <f aca="false">IF(AND(AF$3&gt;=$E41,AF$3&lt;=$F41),1,"")</f>
        <v/>
      </c>
      <c r="AG41" s="1" t="str">
        <f aca="false">IF(AND(AG$3&gt;=$E41,AG$3&lt;=$F41),1,"")</f>
        <v/>
      </c>
      <c r="AH41" s="1" t="str">
        <f aca="false">IF(AND(AH$3&gt;=$E41,AH$3&lt;=$F41),1,"")</f>
        <v/>
      </c>
      <c r="AI41" s="1" t="str">
        <f aca="false">IF(AND(AI$3&gt;=$E41,AI$3&lt;=$F41),1,"")</f>
        <v/>
      </c>
      <c r="AJ41" s="1" t="str">
        <f aca="false">IF(AND(AJ$3&gt;=$E41,AJ$3&lt;=$F41),1,"")</f>
        <v/>
      </c>
      <c r="AK41" s="1" t="str">
        <f aca="false">IF(AND(AK$3&gt;=$E41,AK$3&lt;=$F41),1,"")</f>
        <v/>
      </c>
      <c r="AL41" s="1" t="str">
        <f aca="false">IF(AND(AL$3&gt;=$E41,AL$3&lt;=$F41),1,"")</f>
        <v/>
      </c>
      <c r="AM41" s="1" t="str">
        <f aca="false">IF(AND(AM$3&gt;=$E41,AM$3&lt;=$F41),1,"")</f>
        <v/>
      </c>
      <c r="AN41" s="1" t="str">
        <f aca="false">IF(AND(AN$3&gt;=$E41,AN$3&lt;=$F41),1,"")</f>
        <v/>
      </c>
      <c r="AO41" s="1" t="str">
        <f aca="false">IF(AND(AO$3&gt;=$E41,AO$3&lt;=$F41),1,"")</f>
        <v/>
      </c>
      <c r="AP41" s="1" t="str">
        <f aca="false">IF(AND(AP$3&gt;=$E41,AP$3&lt;=$F41),1,"")</f>
        <v/>
      </c>
      <c r="AQ41" s="1" t="str">
        <f aca="false">IF(AND(AQ$3&gt;=$E41,AQ$3&lt;=$F41),1,"")</f>
        <v/>
      </c>
      <c r="AR41" s="1" t="str">
        <f aca="false">IF(AND(AR$3&gt;=$E41,AR$3&lt;=$F41),1,"")</f>
        <v/>
      </c>
      <c r="AS41" s="1" t="str">
        <f aca="false">IF(AND(AS$3&gt;=$E41,AS$3&lt;=$F41),1,"")</f>
        <v/>
      </c>
      <c r="AT41" s="1" t="str">
        <f aca="false">IF(AND(AT$3&gt;=$E41,AT$3&lt;=$F41),1,"")</f>
        <v/>
      </c>
      <c r="AU41" s="1" t="str">
        <f aca="false">IF(AND(AU$3&gt;=$E41,AU$3&lt;=$F41),1,"")</f>
        <v/>
      </c>
      <c r="AV41" s="1" t="str">
        <f aca="false">IF(AND(AV$3&gt;=$E41,AV$3&lt;=$F41),1,"")</f>
        <v/>
      </c>
      <c r="AW41" s="1" t="str">
        <f aca="false">IF(AND(AW$3&gt;=$E41,AW$3&lt;=$F41),1,"")</f>
        <v/>
      </c>
      <c r="AX41" s="1" t="str">
        <f aca="false">IF(AND(AX$3&gt;=$E41,AX$3&lt;=$F41),1,"")</f>
        <v/>
      </c>
      <c r="AY41" s="1" t="str">
        <f aca="false">IF(AND(AY$3&gt;=$E41,AY$3&lt;=$F41),1,"")</f>
        <v/>
      </c>
      <c r="AZ41" s="1" t="str">
        <f aca="false">IF(AND(AZ$3&gt;=$E41,AZ$3&lt;=$F41),1,"")</f>
        <v/>
      </c>
      <c r="BA41" s="1" t="str">
        <f aca="false">IF(AND(BA$3&gt;=$E41,BA$3&lt;=$F41),1,"")</f>
        <v/>
      </c>
      <c r="BB41" s="1" t="str">
        <f aca="false">IF(AND(BB$3&gt;=$E41,BB$3&lt;=$F41),1,"")</f>
        <v/>
      </c>
      <c r="BC41" s="1" t="str">
        <f aca="false">IF(AND(BC$3&gt;=$E41,BC$3&lt;=$F41),1,"")</f>
        <v/>
      </c>
      <c r="BD41" s="1" t="str">
        <f aca="false">IF(AND(BD$3&gt;=$E41,BD$3&lt;=$F41),1,"")</f>
        <v/>
      </c>
      <c r="BE41" s="1" t="str">
        <f aca="false">IF(AND(BE$3&gt;=$E41,BE$3&lt;=$F41),1,"")</f>
        <v/>
      </c>
      <c r="BF41" s="1" t="str">
        <f aca="false">IF(AND(BF$3&gt;=$E41,BF$3&lt;=$F41),1,"")</f>
        <v/>
      </c>
      <c r="BG41" s="1" t="str">
        <f aca="false">IF(AND(BG$3&gt;=$E41,BG$3&lt;=$F41),1,"")</f>
        <v/>
      </c>
      <c r="BH41" s="1" t="str">
        <f aca="false">IF(AND(BH$3&gt;=$E41,BH$3&lt;=$F41),1,"")</f>
        <v/>
      </c>
      <c r="BI41" s="1" t="str">
        <f aca="false">IF(AND(BI$3&gt;=$E41,BI$3&lt;=$F41),1,"")</f>
        <v/>
      </c>
      <c r="BJ41" s="1" t="str">
        <f aca="false">IF(AND(BJ$3&gt;=$E41,BJ$3&lt;=$F41),1,"")</f>
        <v/>
      </c>
      <c r="BK41" s="1" t="str">
        <f aca="false">IF(AND(BK$3&gt;=$E41,BK$3&lt;=$F41),1,"")</f>
        <v/>
      </c>
      <c r="BL41" s="1" t="str">
        <f aca="false">IF(AND(BL$3&gt;=$E41,BL$3&lt;=$F41),1,"")</f>
        <v/>
      </c>
      <c r="BM41" s="1" t="str">
        <f aca="false">IF(AND(BM$3&gt;=$E41,BM$3&lt;=$F41),1,"")</f>
        <v/>
      </c>
      <c r="BN41" s="1" t="str">
        <f aca="false">IF(AND(BN$3&gt;=$E41,BN$3&lt;=$F41),1,"")</f>
        <v/>
      </c>
      <c r="BO41" s="1" t="str">
        <f aca="false">IF(AND(BO$3&gt;=$E41,BO$3&lt;=$F41),1,"")</f>
        <v/>
      </c>
      <c r="BP41" s="1" t="str">
        <f aca="false">IF(AND(BP$3&gt;=$E41,BP$3&lt;=$F41),1,"")</f>
        <v/>
      </c>
      <c r="BQ41" s="1" t="str">
        <f aca="false">IF(AND(BQ$3&gt;=$E41,BQ$3&lt;=$F41),1,"")</f>
        <v/>
      </c>
      <c r="BR41" s="1" t="str">
        <f aca="false">IF(AND(BR$3&gt;=$E41,BR$3&lt;=$F41),1,"")</f>
        <v/>
      </c>
    </row>
    <row r="42" customFormat="false" ht="15" hidden="false" customHeight="true" outlineLevel="0" collapsed="false">
      <c r="A42" s="1" t="s">
        <v>428</v>
      </c>
      <c r="B42" s="1" t="n">
        <v>15</v>
      </c>
      <c r="C42" s="95" t="s">
        <v>383</v>
      </c>
      <c r="D42" s="1" t="n">
        <v>2</v>
      </c>
      <c r="E42" s="89" t="n">
        <v>46174.2916666667</v>
      </c>
      <c r="F42" s="89" t="n">
        <v>46245.2916666667</v>
      </c>
      <c r="G42" s="95" t="s">
        <v>161</v>
      </c>
      <c r="H42" s="1" t="str">
        <f aca="false">IF($A42="","",TEXT($F42,"MMM-YYYY"))</f>
        <v>Aug-2026</v>
      </c>
      <c r="I42" s="95" t="s">
        <v>157</v>
      </c>
      <c r="J42" s="96" t="n">
        <f aca="false">IF($A42="","",$F42+30)</f>
        <v>46275.2916666667</v>
      </c>
      <c r="K42" s="1" t="s">
        <v>148</v>
      </c>
      <c r="L42" s="1" t="str">
        <f aca="false">IF(AND(L$3&gt;=$E42,L$3&lt;=$F42),1,"")</f>
        <v/>
      </c>
      <c r="M42" s="1" t="str">
        <f aca="false">IF(AND(M$3&gt;=$E42,M$3&lt;=$F42),1,"")</f>
        <v/>
      </c>
      <c r="N42" s="1" t="str">
        <f aca="false">IF(AND(N$3&gt;=$E42,N$3&lt;=$F42),1,"")</f>
        <v/>
      </c>
      <c r="O42" s="1" t="str">
        <f aca="false">IF(AND(O$3&gt;=$E42,O$3&lt;=$F42),1,"")</f>
        <v/>
      </c>
      <c r="P42" s="1" t="str">
        <f aca="false">IF(AND(P$3&gt;=$E42,P$3&lt;=$F42),1,"")</f>
        <v/>
      </c>
      <c r="Q42" s="1" t="str">
        <f aca="false">IF(AND(Q$3&gt;=$E42,Q$3&lt;=$F42),1,"")</f>
        <v/>
      </c>
      <c r="R42" s="1" t="str">
        <f aca="false">IF(AND(R$3&gt;=$E42,R$3&lt;=$F42),1,"")</f>
        <v/>
      </c>
      <c r="S42" s="1" t="str">
        <f aca="false">IF(AND(S$3&gt;=$E42,S$3&lt;=$F42),1,"")</f>
        <v/>
      </c>
      <c r="T42" s="1" t="str">
        <f aca="false">IF(AND(T$3&gt;=$E42,T$3&lt;=$F42),1,"")</f>
        <v/>
      </c>
      <c r="U42" s="1" t="str">
        <f aca="false">IF(AND(U$3&gt;=$E42,U$3&lt;=$F42),1,"")</f>
        <v/>
      </c>
      <c r="V42" s="1" t="str">
        <f aca="false">IF(AND(V$3&gt;=$E42,V$3&lt;=$F42),1,"")</f>
        <v/>
      </c>
      <c r="W42" s="1" t="str">
        <f aca="false">IF(AND(W$3&gt;=$E42,W$3&lt;=$F42),1,"")</f>
        <v/>
      </c>
      <c r="X42" s="1" t="str">
        <f aca="false">IF(AND(X$3&gt;=$E42,X$3&lt;=$F42),1,"")</f>
        <v/>
      </c>
      <c r="Y42" s="1" t="str">
        <f aca="false">IF(AND(Y$3&gt;=$E42,Y$3&lt;=$F42),1,"")</f>
        <v/>
      </c>
      <c r="Z42" s="1" t="str">
        <f aca="false">IF(AND(Z$3&gt;=$E42,Z$3&lt;=$F42),1,"")</f>
        <v/>
      </c>
      <c r="AA42" s="1" t="str">
        <f aca="false">IF(AND(AA$3&gt;=$E42,AA$3&lt;=$F42),1,"")</f>
        <v/>
      </c>
      <c r="AB42" s="1" t="str">
        <f aca="false">IF(AND(AB$3&gt;=$E42,AB$3&lt;=$F42),1,"")</f>
        <v/>
      </c>
      <c r="AC42" s="1" t="str">
        <f aca="false">IF(AND(AC$3&gt;=$E42,AC$3&lt;=$F42),1,"")</f>
        <v/>
      </c>
      <c r="AD42" s="1" t="str">
        <f aca="false">IF(AND(AD$3&gt;=$E42,AD$3&lt;=$F42),1,"")</f>
        <v/>
      </c>
      <c r="AE42" s="1" t="str">
        <f aca="false">IF(AND(AE$3&gt;=$E42,AE$3&lt;=$F42),1,"")</f>
        <v/>
      </c>
      <c r="AF42" s="1" t="str">
        <f aca="false">IF(AND(AF$3&gt;=$E42,AF$3&lt;=$F42),1,"")</f>
        <v/>
      </c>
      <c r="AG42" s="1" t="str">
        <f aca="false">IF(AND(AG$3&gt;=$E42,AG$3&lt;=$F42),1,"")</f>
        <v/>
      </c>
      <c r="AH42" s="1" t="str">
        <f aca="false">IF(AND(AH$3&gt;=$E42,AH$3&lt;=$F42),1,"")</f>
        <v/>
      </c>
      <c r="AI42" s="1" t="str">
        <f aca="false">IF(AND(AI$3&gt;=$E42,AI$3&lt;=$F42),1,"")</f>
        <v/>
      </c>
      <c r="AJ42" s="1" t="str">
        <f aca="false">IF(AND(AJ$3&gt;=$E42,AJ$3&lt;=$F42),1,"")</f>
        <v/>
      </c>
      <c r="AK42" s="1" t="str">
        <f aca="false">IF(AND(AK$3&gt;=$E42,AK$3&lt;=$F42),1,"")</f>
        <v/>
      </c>
      <c r="AL42" s="1" t="str">
        <f aca="false">IF(AND(AL$3&gt;=$E42,AL$3&lt;=$F42),1,"")</f>
        <v/>
      </c>
      <c r="AM42" s="1" t="str">
        <f aca="false">IF(AND(AM$3&gt;=$E42,AM$3&lt;=$F42),1,"")</f>
        <v/>
      </c>
      <c r="AN42" s="1" t="str">
        <f aca="false">IF(AND(AN$3&gt;=$E42,AN$3&lt;=$F42),1,"")</f>
        <v/>
      </c>
      <c r="AO42" s="1" t="str">
        <f aca="false">IF(AND(AO$3&gt;=$E42,AO$3&lt;=$F42),1,"")</f>
        <v/>
      </c>
      <c r="AP42" s="1" t="str">
        <f aca="false">IF(AND(AP$3&gt;=$E42,AP$3&lt;=$F42),1,"")</f>
        <v/>
      </c>
      <c r="AQ42" s="1" t="str">
        <f aca="false">IF(AND(AQ$3&gt;=$E42,AQ$3&lt;=$F42),1,"")</f>
        <v/>
      </c>
      <c r="AR42" s="1" t="str">
        <f aca="false">IF(AND(AR$3&gt;=$E42,AR$3&lt;=$F42),1,"")</f>
        <v/>
      </c>
      <c r="AS42" s="1" t="str">
        <f aca="false">IF(AND(AS$3&gt;=$E42,AS$3&lt;=$F42),1,"")</f>
        <v/>
      </c>
      <c r="AT42" s="1" t="str">
        <f aca="false">IF(AND(AT$3&gt;=$E42,AT$3&lt;=$F42),1,"")</f>
        <v/>
      </c>
      <c r="AU42" s="1" t="str">
        <f aca="false">IF(AND(AU$3&gt;=$E42,AU$3&lt;=$F42),1,"")</f>
        <v/>
      </c>
      <c r="AV42" s="1" t="str">
        <f aca="false">IF(AND(AV$3&gt;=$E42,AV$3&lt;=$F42),1,"")</f>
        <v/>
      </c>
      <c r="AW42" s="1" t="str">
        <f aca="false">IF(AND(AW$3&gt;=$E42,AW$3&lt;=$F42),1,"")</f>
        <v/>
      </c>
      <c r="AX42" s="1" t="str">
        <f aca="false">IF(AND(AX$3&gt;=$E42,AX$3&lt;=$F42),1,"")</f>
        <v/>
      </c>
      <c r="AY42" s="1" t="str">
        <f aca="false">IF(AND(AY$3&gt;=$E42,AY$3&lt;=$F42),1,"")</f>
        <v/>
      </c>
      <c r="AZ42" s="1" t="str">
        <f aca="false">IF(AND(AZ$3&gt;=$E42,AZ$3&lt;=$F42),1,"")</f>
        <v/>
      </c>
      <c r="BA42" s="1" t="str">
        <f aca="false">IF(AND(BA$3&gt;=$E42,BA$3&lt;=$F42),1,"")</f>
        <v/>
      </c>
      <c r="BB42" s="1" t="str">
        <f aca="false">IF(AND(BB$3&gt;=$E42,BB$3&lt;=$F42),1,"")</f>
        <v/>
      </c>
      <c r="BC42" s="1" t="str">
        <f aca="false">IF(AND(BC$3&gt;=$E42,BC$3&lt;=$F42),1,"")</f>
        <v/>
      </c>
      <c r="BD42" s="1" t="str">
        <f aca="false">IF(AND(BD$3&gt;=$E42,BD$3&lt;=$F42),1,"")</f>
        <v/>
      </c>
      <c r="BE42" s="1" t="str">
        <f aca="false">IF(AND(BE$3&gt;=$E42,BE$3&lt;=$F42),1,"")</f>
        <v/>
      </c>
      <c r="BF42" s="1" t="str">
        <f aca="false">IF(AND(BF$3&gt;=$E42,BF$3&lt;=$F42),1,"")</f>
        <v/>
      </c>
      <c r="BG42" s="1" t="str">
        <f aca="false">IF(AND(BG$3&gt;=$E42,BG$3&lt;=$F42),1,"")</f>
        <v/>
      </c>
      <c r="BH42" s="1" t="str">
        <f aca="false">IF(AND(BH$3&gt;=$E42,BH$3&lt;=$F42),1,"")</f>
        <v/>
      </c>
      <c r="BI42" s="1" t="str">
        <f aca="false">IF(AND(BI$3&gt;=$E42,BI$3&lt;=$F42),1,"")</f>
        <v/>
      </c>
      <c r="BJ42" s="1" t="str">
        <f aca="false">IF(AND(BJ$3&gt;=$E42,BJ$3&lt;=$F42),1,"")</f>
        <v/>
      </c>
      <c r="BK42" s="1" t="str">
        <f aca="false">IF(AND(BK$3&gt;=$E42,BK$3&lt;=$F42),1,"")</f>
        <v/>
      </c>
      <c r="BL42" s="1" t="str">
        <f aca="false">IF(AND(BL$3&gt;=$E42,BL$3&lt;=$F42),1,"")</f>
        <v/>
      </c>
      <c r="BM42" s="1" t="str">
        <f aca="false">IF(AND(BM$3&gt;=$E42,BM$3&lt;=$F42),1,"")</f>
        <v/>
      </c>
      <c r="BN42" s="1" t="str">
        <f aca="false">IF(AND(BN$3&gt;=$E42,BN$3&lt;=$F42),1,"")</f>
        <v/>
      </c>
      <c r="BO42" s="1" t="str">
        <f aca="false">IF(AND(BO$3&gt;=$E42,BO$3&lt;=$F42),1,"")</f>
        <v/>
      </c>
      <c r="BP42" s="1" t="str">
        <f aca="false">IF(AND(BP$3&gt;=$E42,BP$3&lt;=$F42),1,"")</f>
        <v/>
      </c>
      <c r="BQ42" s="1" t="str">
        <f aca="false">IF(AND(BQ$3&gt;=$E42,BQ$3&lt;=$F42),1,"")</f>
        <v/>
      </c>
      <c r="BR42" s="1" t="str">
        <f aca="false">IF(AND(BR$3&gt;=$E42,BR$3&lt;=$F42),1,"")</f>
        <v/>
      </c>
    </row>
    <row r="43" customFormat="false" ht="15" hidden="false" customHeight="true" outlineLevel="0" collapsed="false">
      <c r="A43" s="1" t="s">
        <v>429</v>
      </c>
      <c r="B43" s="1" t="n">
        <v>25</v>
      </c>
      <c r="C43" s="95" t="s">
        <v>395</v>
      </c>
      <c r="D43" s="1" t="n">
        <v>1</v>
      </c>
      <c r="E43" s="89" t="n">
        <v>46121.2916666667</v>
      </c>
      <c r="F43" s="89" t="n">
        <v>46205.2916666667</v>
      </c>
      <c r="G43" s="95" t="s">
        <v>161</v>
      </c>
      <c r="H43" s="1" t="str">
        <f aca="false">IF($A43="","",TEXT($F43,"MMM-YYYY"))</f>
        <v>Jul-2026</v>
      </c>
      <c r="I43" s="95" t="s">
        <v>157</v>
      </c>
      <c r="J43" s="96" t="n">
        <f aca="false">IF($A43="","",$F43+30)</f>
        <v>46235.2916666667</v>
      </c>
      <c r="K43" s="1" t="s">
        <v>159</v>
      </c>
      <c r="L43" s="1" t="str">
        <f aca="false">IF(AND(L$3&gt;=$E43,L$3&lt;=$F43),1,"")</f>
        <v/>
      </c>
      <c r="M43" s="1" t="str">
        <f aca="false">IF(AND(M$3&gt;=$E43,M$3&lt;=$F43),1,"")</f>
        <v/>
      </c>
      <c r="N43" s="1" t="str">
        <f aca="false">IF(AND(N$3&gt;=$E43,N$3&lt;=$F43),1,"")</f>
        <v/>
      </c>
      <c r="O43" s="1" t="str">
        <f aca="false">IF(AND(O$3&gt;=$E43,O$3&lt;=$F43),1,"")</f>
        <v/>
      </c>
      <c r="P43" s="1" t="str">
        <f aca="false">IF(AND(P$3&gt;=$E43,P$3&lt;=$F43),1,"")</f>
        <v/>
      </c>
      <c r="Q43" s="1" t="str">
        <f aca="false">IF(AND(Q$3&gt;=$E43,Q$3&lt;=$F43),1,"")</f>
        <v/>
      </c>
      <c r="R43" s="1" t="str">
        <f aca="false">IF(AND(R$3&gt;=$E43,R$3&lt;=$F43),1,"")</f>
        <v/>
      </c>
      <c r="S43" s="1" t="str">
        <f aca="false">IF(AND(S$3&gt;=$E43,S$3&lt;=$F43),1,"")</f>
        <v/>
      </c>
      <c r="T43" s="1" t="n">
        <f aca="false">IF(AND(T$3&gt;=$E43,T$3&lt;=$F43),1,"")</f>
        <v>1</v>
      </c>
      <c r="U43" s="1" t="n">
        <f aca="false">IF(AND(U$3&gt;=$E43,U$3&lt;=$F43),1,"")</f>
        <v>1</v>
      </c>
      <c r="V43" s="1" t="n">
        <f aca="false">IF(AND(V$3&gt;=$E43,V$3&lt;=$F43),1,"")</f>
        <v>1</v>
      </c>
      <c r="W43" s="1" t="n">
        <f aca="false">IF(AND(W$3&gt;=$E43,W$3&lt;=$F43),1,"")</f>
        <v>1</v>
      </c>
      <c r="X43" s="1" t="n">
        <f aca="false">IF(AND(X$3&gt;=$E43,X$3&lt;=$F43),1,"")</f>
        <v>1</v>
      </c>
      <c r="Y43" s="1" t="n">
        <f aca="false">IF(AND(Y$3&gt;=$E43,Y$3&lt;=$F43),1,"")</f>
        <v>1</v>
      </c>
      <c r="Z43" s="1" t="n">
        <f aca="false">IF(AND(Z$3&gt;=$E43,Z$3&lt;=$F43),1,"")</f>
        <v>1</v>
      </c>
      <c r="AA43" s="1" t="n">
        <f aca="false">IF(AND(AA$3&gt;=$E43,AA$3&lt;=$F43),1,"")</f>
        <v>1</v>
      </c>
      <c r="AB43" s="1" t="n">
        <f aca="false">IF(AND(AB$3&gt;=$E43,AB$3&lt;=$F43),1,"")</f>
        <v>1</v>
      </c>
      <c r="AC43" s="1" t="n">
        <f aca="false">IF(AND(AC$3&gt;=$E43,AC$3&lt;=$F43),1,"")</f>
        <v>1</v>
      </c>
      <c r="AD43" s="1" t="n">
        <f aca="false">IF(AND(AD$3&gt;=$E43,AD$3&lt;=$F43),1,"")</f>
        <v>1</v>
      </c>
      <c r="AE43" s="1" t="n">
        <f aca="false">IF(AND(AE$3&gt;=$E43,AE$3&lt;=$F43),1,"")</f>
        <v>1</v>
      </c>
      <c r="AF43" s="1" t="n">
        <f aca="false">IF(AND(AF$3&gt;=$E43,AF$3&lt;=$F43),1,"")</f>
        <v>1</v>
      </c>
      <c r="AG43" s="1" t="n">
        <f aca="false">IF(AND(AG$3&gt;=$E43,AG$3&lt;=$F43),1,"")</f>
        <v>1</v>
      </c>
      <c r="AH43" s="1" t="n">
        <f aca="false">IF(AND(AH$3&gt;=$E43,AH$3&lt;=$F43),1,"")</f>
        <v>1</v>
      </c>
      <c r="AI43" s="1" t="n">
        <f aca="false">IF(AND(AI$3&gt;=$E43,AI$3&lt;=$F43),1,"")</f>
        <v>1</v>
      </c>
      <c r="AJ43" s="1" t="n">
        <f aca="false">IF(AND(AJ$3&gt;=$E43,AJ$3&lt;=$F43),1,"")</f>
        <v>1</v>
      </c>
      <c r="AK43" s="1" t="n">
        <f aca="false">IF(AND(AK$3&gt;=$E43,AK$3&lt;=$F43),1,"")</f>
        <v>1</v>
      </c>
      <c r="AL43" s="1" t="n">
        <f aca="false">IF(AND(AL$3&gt;=$E43,AL$3&lt;=$F43),1,"")</f>
        <v>1</v>
      </c>
      <c r="AM43" s="1" t="n">
        <f aca="false">IF(AND(AM$3&gt;=$E43,AM$3&lt;=$F43),1,"")</f>
        <v>1</v>
      </c>
      <c r="AN43" s="1" t="n">
        <f aca="false">IF(AND(AN$3&gt;=$E43,AN$3&lt;=$F43),1,"")</f>
        <v>1</v>
      </c>
      <c r="AO43" s="1" t="n">
        <f aca="false">IF(AND(AO$3&gt;=$E43,AO$3&lt;=$F43),1,"")</f>
        <v>1</v>
      </c>
      <c r="AP43" s="1" t="n">
        <f aca="false">IF(AND(AP$3&gt;=$E43,AP$3&lt;=$F43),1,"")</f>
        <v>1</v>
      </c>
      <c r="AQ43" s="1" t="n">
        <f aca="false">IF(AND(AQ$3&gt;=$E43,AQ$3&lt;=$F43),1,"")</f>
        <v>1</v>
      </c>
      <c r="AR43" s="1" t="n">
        <f aca="false">IF(AND(AR$3&gt;=$E43,AR$3&lt;=$F43),1,"")</f>
        <v>1</v>
      </c>
      <c r="AS43" s="1" t="n">
        <f aca="false">IF(AND(AS$3&gt;=$E43,AS$3&lt;=$F43),1,"")</f>
        <v>1</v>
      </c>
      <c r="AT43" s="1" t="n">
        <f aca="false">IF(AND(AT$3&gt;=$E43,AT$3&lt;=$F43),1,"")</f>
        <v>1</v>
      </c>
      <c r="AU43" s="1" t="n">
        <f aca="false">IF(AND(AU$3&gt;=$E43,AU$3&lt;=$F43),1,"")</f>
        <v>1</v>
      </c>
      <c r="AV43" s="1" t="n">
        <f aca="false">IF(AND(AV$3&gt;=$E43,AV$3&lt;=$F43),1,"")</f>
        <v>1</v>
      </c>
      <c r="AW43" s="1" t="n">
        <f aca="false">IF(AND(AW$3&gt;=$E43,AW$3&lt;=$F43),1,"")</f>
        <v>1</v>
      </c>
      <c r="AX43" s="1" t="n">
        <f aca="false">IF(AND(AX$3&gt;=$E43,AX$3&lt;=$F43),1,"")</f>
        <v>1</v>
      </c>
      <c r="AY43" s="1" t="n">
        <f aca="false">IF(AND(AY$3&gt;=$E43,AY$3&lt;=$F43),1,"")</f>
        <v>1</v>
      </c>
      <c r="AZ43" s="1" t="n">
        <f aca="false">IF(AND(AZ$3&gt;=$E43,AZ$3&lt;=$F43),1,"")</f>
        <v>1</v>
      </c>
      <c r="BA43" s="1" t="n">
        <f aca="false">IF(AND(BA$3&gt;=$E43,BA$3&lt;=$F43),1,"")</f>
        <v>1</v>
      </c>
      <c r="BB43" s="1" t="n">
        <f aca="false">IF(AND(BB$3&gt;=$E43,BB$3&lt;=$F43),1,"")</f>
        <v>1</v>
      </c>
      <c r="BC43" s="1" t="n">
        <f aca="false">IF(AND(BC$3&gt;=$E43,BC$3&lt;=$F43),1,"")</f>
        <v>1</v>
      </c>
      <c r="BD43" s="1" t="n">
        <f aca="false">IF(AND(BD$3&gt;=$E43,BD$3&lt;=$F43),1,"")</f>
        <v>1</v>
      </c>
      <c r="BE43" s="1" t="n">
        <f aca="false">IF(AND(BE$3&gt;=$E43,BE$3&lt;=$F43),1,"")</f>
        <v>1</v>
      </c>
      <c r="BF43" s="1" t="n">
        <f aca="false">IF(AND(BF$3&gt;=$E43,BF$3&lt;=$F43),1,"")</f>
        <v>1</v>
      </c>
      <c r="BG43" s="1" t="n">
        <f aca="false">IF(AND(BG$3&gt;=$E43,BG$3&lt;=$F43),1,"")</f>
        <v>1</v>
      </c>
      <c r="BH43" s="1" t="n">
        <f aca="false">IF(AND(BH$3&gt;=$E43,BH$3&lt;=$F43),1,"")</f>
        <v>1</v>
      </c>
      <c r="BI43" s="1" t="n">
        <f aca="false">IF(AND(BI$3&gt;=$E43,BI$3&lt;=$F43),1,"")</f>
        <v>1</v>
      </c>
      <c r="BJ43" s="1" t="n">
        <f aca="false">IF(AND(BJ$3&gt;=$E43,BJ$3&lt;=$F43),1,"")</f>
        <v>1</v>
      </c>
      <c r="BK43" s="1" t="n">
        <f aca="false">IF(AND(BK$3&gt;=$E43,BK$3&lt;=$F43),1,"")</f>
        <v>1</v>
      </c>
      <c r="BL43" s="1" t="n">
        <f aca="false">IF(AND(BL$3&gt;=$E43,BL$3&lt;=$F43),1,"")</f>
        <v>1</v>
      </c>
      <c r="BM43" s="1" t="n">
        <f aca="false">IF(AND(BM$3&gt;=$E43,BM$3&lt;=$F43),1,"")</f>
        <v>1</v>
      </c>
      <c r="BN43" s="1" t="n">
        <f aca="false">IF(AND(BN$3&gt;=$E43,BN$3&lt;=$F43),1,"")</f>
        <v>1</v>
      </c>
      <c r="BO43" s="1" t="n">
        <f aca="false">IF(AND(BO$3&gt;=$E43,BO$3&lt;=$F43),1,"")</f>
        <v>1</v>
      </c>
      <c r="BP43" s="1" t="n">
        <f aca="false">IF(AND(BP$3&gt;=$E43,BP$3&lt;=$F43),1,"")</f>
        <v>1</v>
      </c>
      <c r="BQ43" s="1" t="n">
        <f aca="false">IF(AND(BQ$3&gt;=$E43,BQ$3&lt;=$F43),1,"")</f>
        <v>1</v>
      </c>
      <c r="BR43" s="1" t="n">
        <f aca="false">IF(AND(BR$3&gt;=$E43,BR$3&lt;=$F43),1,"")</f>
        <v>1</v>
      </c>
    </row>
    <row r="44" customFormat="false" ht="15" hidden="false" customHeight="true" outlineLevel="0" collapsed="false">
      <c r="A44" s="1" t="s">
        <v>430</v>
      </c>
      <c r="B44" s="1" t="n">
        <v>17</v>
      </c>
      <c r="C44" s="95" t="s">
        <v>388</v>
      </c>
      <c r="D44" s="1" t="n">
        <v>2</v>
      </c>
      <c r="E44" s="89" t="n">
        <v>46155.2916666667</v>
      </c>
      <c r="F44" s="89" t="n">
        <v>46222.2916666667</v>
      </c>
      <c r="G44" s="95" t="s">
        <v>146</v>
      </c>
      <c r="H44" s="1" t="str">
        <f aca="false">IF($A44="","",TEXT($F44,"MMM-YYYY"))</f>
        <v>Jul-2026</v>
      </c>
      <c r="I44" s="95" t="s">
        <v>150</v>
      </c>
      <c r="J44" s="96" t="n">
        <f aca="false">IF($A44="","",$F44+30)</f>
        <v>46252.2916666667</v>
      </c>
      <c r="K44" s="1" t="s">
        <v>148</v>
      </c>
      <c r="L44" s="1" t="str">
        <f aca="false">IF(AND(L$3&gt;=$E44,L$3&lt;=$F44),1,"")</f>
        <v/>
      </c>
      <c r="M44" s="1" t="str">
        <f aca="false">IF(AND(M$3&gt;=$E44,M$3&lt;=$F44),1,"")</f>
        <v/>
      </c>
      <c r="N44" s="1" t="str">
        <f aca="false">IF(AND(N$3&gt;=$E44,N$3&lt;=$F44),1,"")</f>
        <v/>
      </c>
      <c r="O44" s="1" t="str">
        <f aca="false">IF(AND(O$3&gt;=$E44,O$3&lt;=$F44),1,"")</f>
        <v/>
      </c>
      <c r="P44" s="1" t="str">
        <f aca="false">IF(AND(P$3&gt;=$E44,P$3&lt;=$F44),1,"")</f>
        <v/>
      </c>
      <c r="Q44" s="1" t="str">
        <f aca="false">IF(AND(Q$3&gt;=$E44,Q$3&lt;=$F44),1,"")</f>
        <v/>
      </c>
      <c r="R44" s="1" t="str">
        <f aca="false">IF(AND(R$3&gt;=$E44,R$3&lt;=$F44),1,"")</f>
        <v/>
      </c>
      <c r="S44" s="1" t="str">
        <f aca="false">IF(AND(S$3&gt;=$E44,S$3&lt;=$F44),1,"")</f>
        <v/>
      </c>
      <c r="T44" s="1" t="str">
        <f aca="false">IF(AND(T$3&gt;=$E44,T$3&lt;=$F44),1,"")</f>
        <v/>
      </c>
      <c r="U44" s="1" t="str">
        <f aca="false">IF(AND(U$3&gt;=$E44,U$3&lt;=$F44),1,"")</f>
        <v/>
      </c>
      <c r="V44" s="1" t="str">
        <f aca="false">IF(AND(V$3&gt;=$E44,V$3&lt;=$F44),1,"")</f>
        <v/>
      </c>
      <c r="W44" s="1" t="str">
        <f aca="false">IF(AND(W$3&gt;=$E44,W$3&lt;=$F44),1,"")</f>
        <v/>
      </c>
      <c r="X44" s="1" t="str">
        <f aca="false">IF(AND(X$3&gt;=$E44,X$3&lt;=$F44),1,"")</f>
        <v/>
      </c>
      <c r="Y44" s="1" t="str">
        <f aca="false">IF(AND(Y$3&gt;=$E44,Y$3&lt;=$F44),1,"")</f>
        <v/>
      </c>
      <c r="Z44" s="1" t="str">
        <f aca="false">IF(AND(Z$3&gt;=$E44,Z$3&lt;=$F44),1,"")</f>
        <v/>
      </c>
      <c r="AA44" s="1" t="str">
        <f aca="false">IF(AND(AA$3&gt;=$E44,AA$3&lt;=$F44),1,"")</f>
        <v/>
      </c>
      <c r="AB44" s="1" t="str">
        <f aca="false">IF(AND(AB$3&gt;=$E44,AB$3&lt;=$F44),1,"")</f>
        <v/>
      </c>
      <c r="AC44" s="1" t="str">
        <f aca="false">IF(AND(AC$3&gt;=$E44,AC$3&lt;=$F44),1,"")</f>
        <v/>
      </c>
      <c r="AD44" s="1" t="str">
        <f aca="false">IF(AND(AD$3&gt;=$E44,AD$3&lt;=$F44),1,"")</f>
        <v/>
      </c>
      <c r="AE44" s="1" t="str">
        <f aca="false">IF(AND(AE$3&gt;=$E44,AE$3&lt;=$F44),1,"")</f>
        <v/>
      </c>
      <c r="AF44" s="1" t="str">
        <f aca="false">IF(AND(AF$3&gt;=$E44,AF$3&lt;=$F44),1,"")</f>
        <v/>
      </c>
      <c r="AG44" s="1" t="str">
        <f aca="false">IF(AND(AG$3&gt;=$E44,AG$3&lt;=$F44),1,"")</f>
        <v/>
      </c>
      <c r="AH44" s="1" t="str">
        <f aca="false">IF(AND(AH$3&gt;=$E44,AH$3&lt;=$F44),1,"")</f>
        <v/>
      </c>
      <c r="AI44" s="1" t="str">
        <f aca="false">IF(AND(AI$3&gt;=$E44,AI$3&lt;=$F44),1,"")</f>
        <v/>
      </c>
      <c r="AJ44" s="1" t="str">
        <f aca="false">IF(AND(AJ$3&gt;=$E44,AJ$3&lt;=$F44),1,"")</f>
        <v/>
      </c>
      <c r="AK44" s="1" t="str">
        <f aca="false">IF(AND(AK$3&gt;=$E44,AK$3&lt;=$F44),1,"")</f>
        <v/>
      </c>
      <c r="AL44" s="1" t="str">
        <f aca="false">IF(AND(AL$3&gt;=$E44,AL$3&lt;=$F44),1,"")</f>
        <v/>
      </c>
      <c r="AM44" s="1" t="str">
        <f aca="false">IF(AND(AM$3&gt;=$E44,AM$3&lt;=$F44),1,"")</f>
        <v/>
      </c>
      <c r="AN44" s="1" t="str">
        <f aca="false">IF(AND(AN$3&gt;=$E44,AN$3&lt;=$F44),1,"")</f>
        <v/>
      </c>
      <c r="AO44" s="1" t="str">
        <f aca="false">IF(AND(AO$3&gt;=$E44,AO$3&lt;=$F44),1,"")</f>
        <v/>
      </c>
      <c r="AP44" s="1" t="str">
        <f aca="false">IF(AND(AP$3&gt;=$E44,AP$3&lt;=$F44),1,"")</f>
        <v/>
      </c>
      <c r="AQ44" s="1" t="str">
        <f aca="false">IF(AND(AQ$3&gt;=$E44,AQ$3&lt;=$F44),1,"")</f>
        <v/>
      </c>
      <c r="AR44" s="1" t="str">
        <f aca="false">IF(AND(AR$3&gt;=$E44,AR$3&lt;=$F44),1,"")</f>
        <v/>
      </c>
      <c r="AS44" s="1" t="str">
        <f aca="false">IF(AND(AS$3&gt;=$E44,AS$3&lt;=$F44),1,"")</f>
        <v/>
      </c>
      <c r="AT44" s="1" t="str">
        <f aca="false">IF(AND(AT$3&gt;=$E44,AT$3&lt;=$F44),1,"")</f>
        <v/>
      </c>
      <c r="AU44" s="1" t="str">
        <f aca="false">IF(AND(AU$3&gt;=$E44,AU$3&lt;=$F44),1,"")</f>
        <v/>
      </c>
      <c r="AV44" s="1" t="str">
        <f aca="false">IF(AND(AV$3&gt;=$E44,AV$3&lt;=$F44),1,"")</f>
        <v/>
      </c>
      <c r="AW44" s="1" t="str">
        <f aca="false">IF(AND(AW$3&gt;=$E44,AW$3&lt;=$F44),1,"")</f>
        <v/>
      </c>
      <c r="AX44" s="1" t="str">
        <f aca="false">IF(AND(AX$3&gt;=$E44,AX$3&lt;=$F44),1,"")</f>
        <v/>
      </c>
      <c r="AY44" s="1" t="str">
        <f aca="false">IF(AND(AY$3&gt;=$E44,AY$3&lt;=$F44),1,"")</f>
        <v/>
      </c>
      <c r="AZ44" s="1" t="str">
        <f aca="false">IF(AND(AZ$3&gt;=$E44,AZ$3&lt;=$F44),1,"")</f>
        <v/>
      </c>
      <c r="BA44" s="1" t="str">
        <f aca="false">IF(AND(BA$3&gt;=$E44,BA$3&lt;=$F44),1,"")</f>
        <v/>
      </c>
      <c r="BB44" s="1" t="n">
        <f aca="false">IF(AND(BB$3&gt;=$E44,BB$3&lt;=$F44),1,"")</f>
        <v>1</v>
      </c>
      <c r="BC44" s="1" t="n">
        <f aca="false">IF(AND(BC$3&gt;=$E44,BC$3&lt;=$F44),1,"")</f>
        <v>1</v>
      </c>
      <c r="BD44" s="1" t="n">
        <f aca="false">IF(AND(BD$3&gt;=$E44,BD$3&lt;=$F44),1,"")</f>
        <v>1</v>
      </c>
      <c r="BE44" s="1" t="n">
        <f aca="false">IF(AND(BE$3&gt;=$E44,BE$3&lt;=$F44),1,"")</f>
        <v>1</v>
      </c>
      <c r="BF44" s="1" t="n">
        <f aca="false">IF(AND(BF$3&gt;=$E44,BF$3&lt;=$F44),1,"")</f>
        <v>1</v>
      </c>
      <c r="BG44" s="1" t="n">
        <f aca="false">IF(AND(BG$3&gt;=$E44,BG$3&lt;=$F44),1,"")</f>
        <v>1</v>
      </c>
      <c r="BH44" s="1" t="n">
        <f aca="false">IF(AND(BH$3&gt;=$E44,BH$3&lt;=$F44),1,"")</f>
        <v>1</v>
      </c>
      <c r="BI44" s="1" t="n">
        <f aca="false">IF(AND(BI$3&gt;=$E44,BI$3&lt;=$F44),1,"")</f>
        <v>1</v>
      </c>
      <c r="BJ44" s="1" t="n">
        <f aca="false">IF(AND(BJ$3&gt;=$E44,BJ$3&lt;=$F44),1,"")</f>
        <v>1</v>
      </c>
      <c r="BK44" s="1" t="n">
        <f aca="false">IF(AND(BK$3&gt;=$E44,BK$3&lt;=$F44),1,"")</f>
        <v>1</v>
      </c>
      <c r="BL44" s="1" t="n">
        <f aca="false">IF(AND(BL$3&gt;=$E44,BL$3&lt;=$F44),1,"")</f>
        <v>1</v>
      </c>
      <c r="BM44" s="1" t="n">
        <f aca="false">IF(AND(BM$3&gt;=$E44,BM$3&lt;=$F44),1,"")</f>
        <v>1</v>
      </c>
      <c r="BN44" s="1" t="n">
        <f aca="false">IF(AND(BN$3&gt;=$E44,BN$3&lt;=$F44),1,"")</f>
        <v>1</v>
      </c>
      <c r="BO44" s="1" t="n">
        <f aca="false">IF(AND(BO$3&gt;=$E44,BO$3&lt;=$F44),1,"")</f>
        <v>1</v>
      </c>
      <c r="BP44" s="1" t="n">
        <f aca="false">IF(AND(BP$3&gt;=$E44,BP$3&lt;=$F44),1,"")</f>
        <v>1</v>
      </c>
      <c r="BQ44" s="1" t="n">
        <f aca="false">IF(AND(BQ$3&gt;=$E44,BQ$3&lt;=$F44),1,"")</f>
        <v>1</v>
      </c>
      <c r="BR44" s="1" t="n">
        <f aca="false">IF(AND(BR$3&gt;=$E44,BR$3&lt;=$F44),1,"")</f>
        <v>1</v>
      </c>
    </row>
    <row r="45" customFormat="false" ht="15" hidden="false" customHeight="true" outlineLevel="0" collapsed="false">
      <c r="A45" s="1" t="s">
        <v>431</v>
      </c>
      <c r="B45" s="1" t="n">
        <v>54</v>
      </c>
      <c r="C45" s="95" t="s">
        <v>395</v>
      </c>
      <c r="D45" s="1" t="n">
        <v>1</v>
      </c>
      <c r="E45" s="89" t="n">
        <v>46185.2916666667</v>
      </c>
      <c r="F45" s="89" t="n">
        <v>46273.2916666667</v>
      </c>
      <c r="G45" s="95" t="s">
        <v>161</v>
      </c>
      <c r="H45" s="1" t="str">
        <f aca="false">IF($A45="","",TEXT($F45,"MMM-YYYY"))</f>
        <v>Sep-2026</v>
      </c>
      <c r="I45" s="95" t="s">
        <v>147</v>
      </c>
      <c r="J45" s="96" t="n">
        <f aca="false">IF($A45="","",$F45+30)</f>
        <v>46303.2916666667</v>
      </c>
      <c r="K45" s="1" t="s">
        <v>148</v>
      </c>
      <c r="L45" s="1" t="str">
        <f aca="false">IF(AND(L$3&gt;=$E45,L$3&lt;=$F45),1,"")</f>
        <v/>
      </c>
      <c r="M45" s="1" t="str">
        <f aca="false">IF(AND(M$3&gt;=$E45,M$3&lt;=$F45),1,"")</f>
        <v/>
      </c>
      <c r="N45" s="1" t="str">
        <f aca="false">IF(AND(N$3&gt;=$E45,N$3&lt;=$F45),1,"")</f>
        <v/>
      </c>
      <c r="O45" s="1" t="str">
        <f aca="false">IF(AND(O$3&gt;=$E45,O$3&lt;=$F45),1,"")</f>
        <v/>
      </c>
      <c r="P45" s="1" t="str">
        <f aca="false">IF(AND(P$3&gt;=$E45,P$3&lt;=$F45),1,"")</f>
        <v/>
      </c>
      <c r="Q45" s="1" t="str">
        <f aca="false">IF(AND(Q$3&gt;=$E45,Q$3&lt;=$F45),1,"")</f>
        <v/>
      </c>
      <c r="R45" s="1" t="str">
        <f aca="false">IF(AND(R$3&gt;=$E45,R$3&lt;=$F45),1,"")</f>
        <v/>
      </c>
      <c r="S45" s="1" t="str">
        <f aca="false">IF(AND(S$3&gt;=$E45,S$3&lt;=$F45),1,"")</f>
        <v/>
      </c>
      <c r="T45" s="1" t="str">
        <f aca="false">IF(AND(T$3&gt;=$E45,T$3&lt;=$F45),1,"")</f>
        <v/>
      </c>
      <c r="U45" s="1" t="str">
        <f aca="false">IF(AND(U$3&gt;=$E45,U$3&lt;=$F45),1,"")</f>
        <v/>
      </c>
      <c r="V45" s="1" t="str">
        <f aca="false">IF(AND(V$3&gt;=$E45,V$3&lt;=$F45),1,"")</f>
        <v/>
      </c>
      <c r="W45" s="1" t="str">
        <f aca="false">IF(AND(W$3&gt;=$E45,W$3&lt;=$F45),1,"")</f>
        <v/>
      </c>
      <c r="X45" s="1" t="str">
        <f aca="false">IF(AND(X$3&gt;=$E45,X$3&lt;=$F45),1,"")</f>
        <v/>
      </c>
      <c r="Y45" s="1" t="str">
        <f aca="false">IF(AND(Y$3&gt;=$E45,Y$3&lt;=$F45),1,"")</f>
        <v/>
      </c>
      <c r="Z45" s="1" t="str">
        <f aca="false">IF(AND(Z$3&gt;=$E45,Z$3&lt;=$F45),1,"")</f>
        <v/>
      </c>
      <c r="AA45" s="1" t="str">
        <f aca="false">IF(AND(AA$3&gt;=$E45,AA$3&lt;=$F45),1,"")</f>
        <v/>
      </c>
      <c r="AB45" s="1" t="str">
        <f aca="false">IF(AND(AB$3&gt;=$E45,AB$3&lt;=$F45),1,"")</f>
        <v/>
      </c>
      <c r="AC45" s="1" t="str">
        <f aca="false">IF(AND(AC$3&gt;=$E45,AC$3&lt;=$F45),1,"")</f>
        <v/>
      </c>
      <c r="AD45" s="1" t="str">
        <f aca="false">IF(AND(AD$3&gt;=$E45,AD$3&lt;=$F45),1,"")</f>
        <v/>
      </c>
      <c r="AE45" s="1" t="str">
        <f aca="false">IF(AND(AE$3&gt;=$E45,AE$3&lt;=$F45),1,"")</f>
        <v/>
      </c>
      <c r="AF45" s="1" t="str">
        <f aca="false">IF(AND(AF$3&gt;=$E45,AF$3&lt;=$F45),1,"")</f>
        <v/>
      </c>
      <c r="AG45" s="1" t="str">
        <f aca="false">IF(AND(AG$3&gt;=$E45,AG$3&lt;=$F45),1,"")</f>
        <v/>
      </c>
      <c r="AH45" s="1" t="str">
        <f aca="false">IF(AND(AH$3&gt;=$E45,AH$3&lt;=$F45),1,"")</f>
        <v/>
      </c>
      <c r="AI45" s="1" t="str">
        <f aca="false">IF(AND(AI$3&gt;=$E45,AI$3&lt;=$F45),1,"")</f>
        <v/>
      </c>
      <c r="AJ45" s="1" t="str">
        <f aca="false">IF(AND(AJ$3&gt;=$E45,AJ$3&lt;=$F45),1,"")</f>
        <v/>
      </c>
      <c r="AK45" s="1" t="str">
        <f aca="false">IF(AND(AK$3&gt;=$E45,AK$3&lt;=$F45),1,"")</f>
        <v/>
      </c>
      <c r="AL45" s="1" t="str">
        <f aca="false">IF(AND(AL$3&gt;=$E45,AL$3&lt;=$F45),1,"")</f>
        <v/>
      </c>
      <c r="AM45" s="1" t="str">
        <f aca="false">IF(AND(AM$3&gt;=$E45,AM$3&lt;=$F45),1,"")</f>
        <v/>
      </c>
      <c r="AN45" s="1" t="str">
        <f aca="false">IF(AND(AN$3&gt;=$E45,AN$3&lt;=$F45),1,"")</f>
        <v/>
      </c>
      <c r="AO45" s="1" t="str">
        <f aca="false">IF(AND(AO$3&gt;=$E45,AO$3&lt;=$F45),1,"")</f>
        <v/>
      </c>
      <c r="AP45" s="1" t="str">
        <f aca="false">IF(AND(AP$3&gt;=$E45,AP$3&lt;=$F45),1,"")</f>
        <v/>
      </c>
      <c r="AQ45" s="1" t="str">
        <f aca="false">IF(AND(AQ$3&gt;=$E45,AQ$3&lt;=$F45),1,"")</f>
        <v/>
      </c>
      <c r="AR45" s="1" t="str">
        <f aca="false">IF(AND(AR$3&gt;=$E45,AR$3&lt;=$F45),1,"")</f>
        <v/>
      </c>
      <c r="AS45" s="1" t="str">
        <f aca="false">IF(AND(AS$3&gt;=$E45,AS$3&lt;=$F45),1,"")</f>
        <v/>
      </c>
      <c r="AT45" s="1" t="str">
        <f aca="false">IF(AND(AT$3&gt;=$E45,AT$3&lt;=$F45),1,"")</f>
        <v/>
      </c>
      <c r="AU45" s="1" t="str">
        <f aca="false">IF(AND(AU$3&gt;=$E45,AU$3&lt;=$F45),1,"")</f>
        <v/>
      </c>
      <c r="AV45" s="1" t="str">
        <f aca="false">IF(AND(AV$3&gt;=$E45,AV$3&lt;=$F45),1,"")</f>
        <v/>
      </c>
      <c r="AW45" s="1" t="str">
        <f aca="false">IF(AND(AW$3&gt;=$E45,AW$3&lt;=$F45),1,"")</f>
        <v/>
      </c>
      <c r="AX45" s="1" t="str">
        <f aca="false">IF(AND(AX$3&gt;=$E45,AX$3&lt;=$F45),1,"")</f>
        <v/>
      </c>
      <c r="AY45" s="1" t="str">
        <f aca="false">IF(AND(AY$3&gt;=$E45,AY$3&lt;=$F45),1,"")</f>
        <v/>
      </c>
      <c r="AZ45" s="1" t="str">
        <f aca="false">IF(AND(AZ$3&gt;=$E45,AZ$3&lt;=$F45),1,"")</f>
        <v/>
      </c>
      <c r="BA45" s="1" t="str">
        <f aca="false">IF(AND(BA$3&gt;=$E45,BA$3&lt;=$F45),1,"")</f>
        <v/>
      </c>
      <c r="BB45" s="1" t="str">
        <f aca="false">IF(AND(BB$3&gt;=$E45,BB$3&lt;=$F45),1,"")</f>
        <v/>
      </c>
      <c r="BC45" s="1" t="str">
        <f aca="false">IF(AND(BC$3&gt;=$E45,BC$3&lt;=$F45),1,"")</f>
        <v/>
      </c>
      <c r="BD45" s="1" t="str">
        <f aca="false">IF(AND(BD$3&gt;=$E45,BD$3&lt;=$F45),1,"")</f>
        <v/>
      </c>
      <c r="BE45" s="1" t="str">
        <f aca="false">IF(AND(BE$3&gt;=$E45,BE$3&lt;=$F45),1,"")</f>
        <v/>
      </c>
      <c r="BF45" s="1" t="str">
        <f aca="false">IF(AND(BF$3&gt;=$E45,BF$3&lt;=$F45),1,"")</f>
        <v/>
      </c>
      <c r="BG45" s="1" t="str">
        <f aca="false">IF(AND(BG$3&gt;=$E45,BG$3&lt;=$F45),1,"")</f>
        <v/>
      </c>
      <c r="BH45" s="1" t="str">
        <f aca="false">IF(AND(BH$3&gt;=$E45,BH$3&lt;=$F45),1,"")</f>
        <v/>
      </c>
      <c r="BI45" s="1" t="str">
        <f aca="false">IF(AND(BI$3&gt;=$E45,BI$3&lt;=$F45),1,"")</f>
        <v/>
      </c>
      <c r="BJ45" s="1" t="str">
        <f aca="false">IF(AND(BJ$3&gt;=$E45,BJ$3&lt;=$F45),1,"")</f>
        <v/>
      </c>
      <c r="BK45" s="1" t="str">
        <f aca="false">IF(AND(BK$3&gt;=$E45,BK$3&lt;=$F45),1,"")</f>
        <v/>
      </c>
      <c r="BL45" s="1" t="str">
        <f aca="false">IF(AND(BL$3&gt;=$E45,BL$3&lt;=$F45),1,"")</f>
        <v/>
      </c>
      <c r="BM45" s="1" t="str">
        <f aca="false">IF(AND(BM$3&gt;=$E45,BM$3&lt;=$F45),1,"")</f>
        <v/>
      </c>
      <c r="BN45" s="1" t="str">
        <f aca="false">IF(AND(BN$3&gt;=$E45,BN$3&lt;=$F45),1,"")</f>
        <v/>
      </c>
      <c r="BO45" s="1" t="str">
        <f aca="false">IF(AND(BO$3&gt;=$E45,BO$3&lt;=$F45),1,"")</f>
        <v/>
      </c>
      <c r="BP45" s="1" t="str">
        <f aca="false">IF(AND(BP$3&gt;=$E45,BP$3&lt;=$F45),1,"")</f>
        <v/>
      </c>
      <c r="BQ45" s="1" t="str">
        <f aca="false">IF(AND(BQ$3&gt;=$E45,BQ$3&lt;=$F45),1,"")</f>
        <v/>
      </c>
      <c r="BR45" s="1" t="str">
        <f aca="false">IF(AND(BR$3&gt;=$E45,BR$3&lt;=$F45),1,"")</f>
        <v/>
      </c>
    </row>
    <row r="46" customFormat="false" ht="15" hidden="false" customHeight="true" outlineLevel="0" collapsed="false">
      <c r="A46" s="1" t="s">
        <v>432</v>
      </c>
      <c r="B46" s="1" t="n">
        <v>46</v>
      </c>
      <c r="C46" s="95" t="s">
        <v>395</v>
      </c>
      <c r="D46" s="1" t="n">
        <v>1</v>
      </c>
      <c r="E46" s="89" t="n">
        <v>46140.2916666667</v>
      </c>
      <c r="F46" s="89" t="n">
        <v>46204.2916666667</v>
      </c>
      <c r="G46" s="95" t="s">
        <v>146</v>
      </c>
      <c r="H46" s="1" t="str">
        <f aca="false">IF($A46="","",TEXT($F46,"MMM-YYYY"))</f>
        <v>Jul-2026</v>
      </c>
      <c r="I46" s="95" t="s">
        <v>150</v>
      </c>
      <c r="J46" s="96" t="n">
        <f aca="false">IF($A46="","",$F46+30)</f>
        <v>46234.2916666667</v>
      </c>
      <c r="K46" s="1" t="s">
        <v>155</v>
      </c>
      <c r="L46" s="1" t="str">
        <f aca="false">IF(AND(L$3&gt;=$E46,L$3&lt;=$F46),1,"")</f>
        <v/>
      </c>
      <c r="M46" s="1" t="str">
        <f aca="false">IF(AND(M$3&gt;=$E46,M$3&lt;=$F46),1,"")</f>
        <v/>
      </c>
      <c r="N46" s="1" t="str">
        <f aca="false">IF(AND(N$3&gt;=$E46,N$3&lt;=$F46),1,"")</f>
        <v/>
      </c>
      <c r="O46" s="1" t="str">
        <f aca="false">IF(AND(O$3&gt;=$E46,O$3&lt;=$F46),1,"")</f>
        <v/>
      </c>
      <c r="P46" s="1" t="str">
        <f aca="false">IF(AND(P$3&gt;=$E46,P$3&lt;=$F46),1,"")</f>
        <v/>
      </c>
      <c r="Q46" s="1" t="str">
        <f aca="false">IF(AND(Q$3&gt;=$E46,Q$3&lt;=$F46),1,"")</f>
        <v/>
      </c>
      <c r="R46" s="1" t="str">
        <f aca="false">IF(AND(R$3&gt;=$E46,R$3&lt;=$F46),1,"")</f>
        <v/>
      </c>
      <c r="S46" s="1" t="str">
        <f aca="false">IF(AND(S$3&gt;=$E46,S$3&lt;=$F46),1,"")</f>
        <v/>
      </c>
      <c r="T46" s="1" t="str">
        <f aca="false">IF(AND(T$3&gt;=$E46,T$3&lt;=$F46),1,"")</f>
        <v/>
      </c>
      <c r="U46" s="1" t="str">
        <f aca="false">IF(AND(U$3&gt;=$E46,U$3&lt;=$F46),1,"")</f>
        <v/>
      </c>
      <c r="V46" s="1" t="str">
        <f aca="false">IF(AND(V$3&gt;=$E46,V$3&lt;=$F46),1,"")</f>
        <v/>
      </c>
      <c r="W46" s="1" t="str">
        <f aca="false">IF(AND(W$3&gt;=$E46,W$3&lt;=$F46),1,"")</f>
        <v/>
      </c>
      <c r="X46" s="1" t="str">
        <f aca="false">IF(AND(X$3&gt;=$E46,X$3&lt;=$F46),1,"")</f>
        <v/>
      </c>
      <c r="Y46" s="1" t="str">
        <f aca="false">IF(AND(Y$3&gt;=$E46,Y$3&lt;=$F46),1,"")</f>
        <v/>
      </c>
      <c r="Z46" s="1" t="str">
        <f aca="false">IF(AND(Z$3&gt;=$E46,Z$3&lt;=$F46),1,"")</f>
        <v/>
      </c>
      <c r="AA46" s="1" t="str">
        <f aca="false">IF(AND(AA$3&gt;=$E46,AA$3&lt;=$F46),1,"")</f>
        <v/>
      </c>
      <c r="AB46" s="1" t="str">
        <f aca="false">IF(AND(AB$3&gt;=$E46,AB$3&lt;=$F46),1,"")</f>
        <v/>
      </c>
      <c r="AC46" s="1" t="str">
        <f aca="false">IF(AND(AC$3&gt;=$E46,AC$3&lt;=$F46),1,"")</f>
        <v/>
      </c>
      <c r="AD46" s="1" t="str">
        <f aca="false">IF(AND(AD$3&gt;=$E46,AD$3&lt;=$F46),1,"")</f>
        <v/>
      </c>
      <c r="AE46" s="1" t="str">
        <f aca="false">IF(AND(AE$3&gt;=$E46,AE$3&lt;=$F46),1,"")</f>
        <v/>
      </c>
      <c r="AF46" s="1" t="str">
        <f aca="false">IF(AND(AF$3&gt;=$E46,AF$3&lt;=$F46),1,"")</f>
        <v/>
      </c>
      <c r="AG46" s="1" t="str">
        <f aca="false">IF(AND(AG$3&gt;=$E46,AG$3&lt;=$F46),1,"")</f>
        <v/>
      </c>
      <c r="AH46" s="1" t="str">
        <f aca="false">IF(AND(AH$3&gt;=$E46,AH$3&lt;=$F46),1,"")</f>
        <v/>
      </c>
      <c r="AI46" s="1" t="str">
        <f aca="false">IF(AND(AI$3&gt;=$E46,AI$3&lt;=$F46),1,"")</f>
        <v/>
      </c>
      <c r="AJ46" s="1" t="str">
        <f aca="false">IF(AND(AJ$3&gt;=$E46,AJ$3&lt;=$F46),1,"")</f>
        <v/>
      </c>
      <c r="AK46" s="1" t="str">
        <f aca="false">IF(AND(AK$3&gt;=$E46,AK$3&lt;=$F46),1,"")</f>
        <v/>
      </c>
      <c r="AL46" s="1" t="str">
        <f aca="false">IF(AND(AL$3&gt;=$E46,AL$3&lt;=$F46),1,"")</f>
        <v/>
      </c>
      <c r="AM46" s="1" t="n">
        <f aca="false">IF(AND(AM$3&gt;=$E46,AM$3&lt;=$F46),1,"")</f>
        <v>1</v>
      </c>
      <c r="AN46" s="1" t="n">
        <f aca="false">IF(AND(AN$3&gt;=$E46,AN$3&lt;=$F46),1,"")</f>
        <v>1</v>
      </c>
      <c r="AO46" s="1" t="n">
        <f aca="false">IF(AND(AO$3&gt;=$E46,AO$3&lt;=$F46),1,"")</f>
        <v>1</v>
      </c>
      <c r="AP46" s="1" t="n">
        <f aca="false">IF(AND(AP$3&gt;=$E46,AP$3&lt;=$F46),1,"")</f>
        <v>1</v>
      </c>
      <c r="AQ46" s="1" t="n">
        <f aca="false">IF(AND(AQ$3&gt;=$E46,AQ$3&lt;=$F46),1,"")</f>
        <v>1</v>
      </c>
      <c r="AR46" s="1" t="n">
        <f aca="false">IF(AND(AR$3&gt;=$E46,AR$3&lt;=$F46),1,"")</f>
        <v>1</v>
      </c>
      <c r="AS46" s="1" t="n">
        <f aca="false">IF(AND(AS$3&gt;=$E46,AS$3&lt;=$F46),1,"")</f>
        <v>1</v>
      </c>
      <c r="AT46" s="1" t="n">
        <f aca="false">IF(AND(AT$3&gt;=$E46,AT$3&lt;=$F46),1,"")</f>
        <v>1</v>
      </c>
      <c r="AU46" s="1" t="n">
        <f aca="false">IF(AND(AU$3&gt;=$E46,AU$3&lt;=$F46),1,"")</f>
        <v>1</v>
      </c>
      <c r="AV46" s="1" t="n">
        <f aca="false">IF(AND(AV$3&gt;=$E46,AV$3&lt;=$F46),1,"")</f>
        <v>1</v>
      </c>
      <c r="AW46" s="1" t="n">
        <f aca="false">IF(AND(AW$3&gt;=$E46,AW$3&lt;=$F46),1,"")</f>
        <v>1</v>
      </c>
      <c r="AX46" s="1" t="n">
        <f aca="false">IF(AND(AX$3&gt;=$E46,AX$3&lt;=$F46),1,"")</f>
        <v>1</v>
      </c>
      <c r="AY46" s="1" t="n">
        <f aca="false">IF(AND(AY$3&gt;=$E46,AY$3&lt;=$F46),1,"")</f>
        <v>1</v>
      </c>
      <c r="AZ46" s="1" t="n">
        <f aca="false">IF(AND(AZ$3&gt;=$E46,AZ$3&lt;=$F46),1,"")</f>
        <v>1</v>
      </c>
      <c r="BA46" s="1" t="n">
        <f aca="false">IF(AND(BA$3&gt;=$E46,BA$3&lt;=$F46),1,"")</f>
        <v>1</v>
      </c>
      <c r="BB46" s="1" t="n">
        <f aca="false">IF(AND(BB$3&gt;=$E46,BB$3&lt;=$F46),1,"")</f>
        <v>1</v>
      </c>
      <c r="BC46" s="1" t="n">
        <f aca="false">IF(AND(BC$3&gt;=$E46,BC$3&lt;=$F46),1,"")</f>
        <v>1</v>
      </c>
      <c r="BD46" s="1" t="n">
        <f aca="false">IF(AND(BD$3&gt;=$E46,BD$3&lt;=$F46),1,"")</f>
        <v>1</v>
      </c>
      <c r="BE46" s="1" t="n">
        <f aca="false">IF(AND(BE$3&gt;=$E46,BE$3&lt;=$F46),1,"")</f>
        <v>1</v>
      </c>
      <c r="BF46" s="1" t="n">
        <f aca="false">IF(AND(BF$3&gt;=$E46,BF$3&lt;=$F46),1,"")</f>
        <v>1</v>
      </c>
      <c r="BG46" s="1" t="n">
        <f aca="false">IF(AND(BG$3&gt;=$E46,BG$3&lt;=$F46),1,"")</f>
        <v>1</v>
      </c>
      <c r="BH46" s="1" t="n">
        <f aca="false">IF(AND(BH$3&gt;=$E46,BH$3&lt;=$F46),1,"")</f>
        <v>1</v>
      </c>
      <c r="BI46" s="1" t="n">
        <f aca="false">IF(AND(BI$3&gt;=$E46,BI$3&lt;=$F46),1,"")</f>
        <v>1</v>
      </c>
      <c r="BJ46" s="1" t="n">
        <f aca="false">IF(AND(BJ$3&gt;=$E46,BJ$3&lt;=$F46),1,"")</f>
        <v>1</v>
      </c>
      <c r="BK46" s="1" t="n">
        <f aca="false">IF(AND(BK$3&gt;=$E46,BK$3&lt;=$F46),1,"")</f>
        <v>1</v>
      </c>
      <c r="BL46" s="1" t="n">
        <f aca="false">IF(AND(BL$3&gt;=$E46,BL$3&lt;=$F46),1,"")</f>
        <v>1</v>
      </c>
      <c r="BM46" s="1" t="n">
        <f aca="false">IF(AND(BM$3&gt;=$E46,BM$3&lt;=$F46),1,"")</f>
        <v>1</v>
      </c>
      <c r="BN46" s="1" t="n">
        <f aca="false">IF(AND(BN$3&gt;=$E46,BN$3&lt;=$F46),1,"")</f>
        <v>1</v>
      </c>
      <c r="BO46" s="1" t="n">
        <f aca="false">IF(AND(BO$3&gt;=$E46,BO$3&lt;=$F46),1,"")</f>
        <v>1</v>
      </c>
      <c r="BP46" s="1" t="n">
        <f aca="false">IF(AND(BP$3&gt;=$E46,BP$3&lt;=$F46),1,"")</f>
        <v>1</v>
      </c>
      <c r="BQ46" s="1" t="n">
        <f aca="false">IF(AND(BQ$3&gt;=$E46,BQ$3&lt;=$F46),1,"")</f>
        <v>1</v>
      </c>
      <c r="BR46" s="1" t="n">
        <f aca="false">IF(AND(BR$3&gt;=$E46,BR$3&lt;=$F46),1,"")</f>
        <v>1</v>
      </c>
    </row>
    <row r="47" customFormat="false" ht="15" hidden="false" customHeight="true" outlineLevel="0" collapsed="false">
      <c r="A47" s="1" t="s">
        <v>433</v>
      </c>
      <c r="B47" s="1" t="n">
        <v>54</v>
      </c>
      <c r="C47" s="95" t="s">
        <v>395</v>
      </c>
      <c r="D47" s="1" t="n">
        <v>1</v>
      </c>
      <c r="E47" s="89" t="n">
        <v>46174.2916666667</v>
      </c>
      <c r="F47" s="89" t="n">
        <v>46232.2916666667</v>
      </c>
      <c r="G47" s="95" t="s">
        <v>161</v>
      </c>
      <c r="H47" s="1" t="str">
        <f aca="false">IF($A47="","",TEXT($F47,"MMM-YYYY"))</f>
        <v>Jul-2026</v>
      </c>
      <c r="I47" s="95" t="s">
        <v>147</v>
      </c>
      <c r="J47" s="96" t="n">
        <f aca="false">IF($A47="","",$F47+30)</f>
        <v>46262.2916666667</v>
      </c>
      <c r="K47" s="1" t="s">
        <v>155</v>
      </c>
      <c r="L47" s="1" t="str">
        <f aca="false">IF(AND(L$3&gt;=$E47,L$3&lt;=$F47),1,"")</f>
        <v/>
      </c>
      <c r="M47" s="1" t="str">
        <f aca="false">IF(AND(M$3&gt;=$E47,M$3&lt;=$F47),1,"")</f>
        <v/>
      </c>
      <c r="N47" s="1" t="str">
        <f aca="false">IF(AND(N$3&gt;=$E47,N$3&lt;=$F47),1,"")</f>
        <v/>
      </c>
      <c r="O47" s="1" t="str">
        <f aca="false">IF(AND(O$3&gt;=$E47,O$3&lt;=$F47),1,"")</f>
        <v/>
      </c>
      <c r="P47" s="1" t="str">
        <f aca="false">IF(AND(P$3&gt;=$E47,P$3&lt;=$F47),1,"")</f>
        <v/>
      </c>
      <c r="Q47" s="1" t="str">
        <f aca="false">IF(AND(Q$3&gt;=$E47,Q$3&lt;=$F47),1,"")</f>
        <v/>
      </c>
      <c r="R47" s="1" t="str">
        <f aca="false">IF(AND(R$3&gt;=$E47,R$3&lt;=$F47),1,"")</f>
        <v/>
      </c>
      <c r="S47" s="1" t="str">
        <f aca="false">IF(AND(S$3&gt;=$E47,S$3&lt;=$F47),1,"")</f>
        <v/>
      </c>
      <c r="T47" s="1" t="str">
        <f aca="false">IF(AND(T$3&gt;=$E47,T$3&lt;=$F47),1,"")</f>
        <v/>
      </c>
      <c r="U47" s="1" t="str">
        <f aca="false">IF(AND(U$3&gt;=$E47,U$3&lt;=$F47),1,"")</f>
        <v/>
      </c>
      <c r="V47" s="1" t="str">
        <f aca="false">IF(AND(V$3&gt;=$E47,V$3&lt;=$F47),1,"")</f>
        <v/>
      </c>
      <c r="W47" s="1" t="str">
        <f aca="false">IF(AND(W$3&gt;=$E47,W$3&lt;=$F47),1,"")</f>
        <v/>
      </c>
      <c r="X47" s="1" t="str">
        <f aca="false">IF(AND(X$3&gt;=$E47,X$3&lt;=$F47),1,"")</f>
        <v/>
      </c>
      <c r="Y47" s="1" t="str">
        <f aca="false">IF(AND(Y$3&gt;=$E47,Y$3&lt;=$F47),1,"")</f>
        <v/>
      </c>
      <c r="Z47" s="1" t="str">
        <f aca="false">IF(AND(Z$3&gt;=$E47,Z$3&lt;=$F47),1,"")</f>
        <v/>
      </c>
      <c r="AA47" s="1" t="str">
        <f aca="false">IF(AND(AA$3&gt;=$E47,AA$3&lt;=$F47),1,"")</f>
        <v/>
      </c>
      <c r="AB47" s="1" t="str">
        <f aca="false">IF(AND(AB$3&gt;=$E47,AB$3&lt;=$F47),1,"")</f>
        <v/>
      </c>
      <c r="AC47" s="1" t="str">
        <f aca="false">IF(AND(AC$3&gt;=$E47,AC$3&lt;=$F47),1,"")</f>
        <v/>
      </c>
      <c r="AD47" s="1" t="str">
        <f aca="false">IF(AND(AD$3&gt;=$E47,AD$3&lt;=$F47),1,"")</f>
        <v/>
      </c>
      <c r="AE47" s="1" t="str">
        <f aca="false">IF(AND(AE$3&gt;=$E47,AE$3&lt;=$F47),1,"")</f>
        <v/>
      </c>
      <c r="AF47" s="1" t="str">
        <f aca="false">IF(AND(AF$3&gt;=$E47,AF$3&lt;=$F47),1,"")</f>
        <v/>
      </c>
      <c r="AG47" s="1" t="str">
        <f aca="false">IF(AND(AG$3&gt;=$E47,AG$3&lt;=$F47),1,"")</f>
        <v/>
      </c>
      <c r="AH47" s="1" t="str">
        <f aca="false">IF(AND(AH$3&gt;=$E47,AH$3&lt;=$F47),1,"")</f>
        <v/>
      </c>
      <c r="AI47" s="1" t="str">
        <f aca="false">IF(AND(AI$3&gt;=$E47,AI$3&lt;=$F47),1,"")</f>
        <v/>
      </c>
      <c r="AJ47" s="1" t="str">
        <f aca="false">IF(AND(AJ$3&gt;=$E47,AJ$3&lt;=$F47),1,"")</f>
        <v/>
      </c>
      <c r="AK47" s="1" t="str">
        <f aca="false">IF(AND(AK$3&gt;=$E47,AK$3&lt;=$F47),1,"")</f>
        <v/>
      </c>
      <c r="AL47" s="1" t="str">
        <f aca="false">IF(AND(AL$3&gt;=$E47,AL$3&lt;=$F47),1,"")</f>
        <v/>
      </c>
      <c r="AM47" s="1" t="str">
        <f aca="false">IF(AND(AM$3&gt;=$E47,AM$3&lt;=$F47),1,"")</f>
        <v/>
      </c>
      <c r="AN47" s="1" t="str">
        <f aca="false">IF(AND(AN$3&gt;=$E47,AN$3&lt;=$F47),1,"")</f>
        <v/>
      </c>
      <c r="AO47" s="1" t="str">
        <f aca="false">IF(AND(AO$3&gt;=$E47,AO$3&lt;=$F47),1,"")</f>
        <v/>
      </c>
      <c r="AP47" s="1" t="str">
        <f aca="false">IF(AND(AP$3&gt;=$E47,AP$3&lt;=$F47),1,"")</f>
        <v/>
      </c>
      <c r="AQ47" s="1" t="str">
        <f aca="false">IF(AND(AQ$3&gt;=$E47,AQ$3&lt;=$F47),1,"")</f>
        <v/>
      </c>
      <c r="AR47" s="1" t="str">
        <f aca="false">IF(AND(AR$3&gt;=$E47,AR$3&lt;=$F47),1,"")</f>
        <v/>
      </c>
      <c r="AS47" s="1" t="str">
        <f aca="false">IF(AND(AS$3&gt;=$E47,AS$3&lt;=$F47),1,"")</f>
        <v/>
      </c>
      <c r="AT47" s="1" t="str">
        <f aca="false">IF(AND(AT$3&gt;=$E47,AT$3&lt;=$F47),1,"")</f>
        <v/>
      </c>
      <c r="AU47" s="1" t="str">
        <f aca="false">IF(AND(AU$3&gt;=$E47,AU$3&lt;=$F47),1,"")</f>
        <v/>
      </c>
      <c r="AV47" s="1" t="str">
        <f aca="false">IF(AND(AV$3&gt;=$E47,AV$3&lt;=$F47),1,"")</f>
        <v/>
      </c>
      <c r="AW47" s="1" t="str">
        <f aca="false">IF(AND(AW$3&gt;=$E47,AW$3&lt;=$F47),1,"")</f>
        <v/>
      </c>
      <c r="AX47" s="1" t="str">
        <f aca="false">IF(AND(AX$3&gt;=$E47,AX$3&lt;=$F47),1,"")</f>
        <v/>
      </c>
      <c r="AY47" s="1" t="str">
        <f aca="false">IF(AND(AY$3&gt;=$E47,AY$3&lt;=$F47),1,"")</f>
        <v/>
      </c>
      <c r="AZ47" s="1" t="str">
        <f aca="false">IF(AND(AZ$3&gt;=$E47,AZ$3&lt;=$F47),1,"")</f>
        <v/>
      </c>
      <c r="BA47" s="1" t="str">
        <f aca="false">IF(AND(BA$3&gt;=$E47,BA$3&lt;=$F47),1,"")</f>
        <v/>
      </c>
      <c r="BB47" s="1" t="str">
        <f aca="false">IF(AND(BB$3&gt;=$E47,BB$3&lt;=$F47),1,"")</f>
        <v/>
      </c>
      <c r="BC47" s="1" t="str">
        <f aca="false">IF(AND(BC$3&gt;=$E47,BC$3&lt;=$F47),1,"")</f>
        <v/>
      </c>
      <c r="BD47" s="1" t="str">
        <f aca="false">IF(AND(BD$3&gt;=$E47,BD$3&lt;=$F47),1,"")</f>
        <v/>
      </c>
      <c r="BE47" s="1" t="str">
        <f aca="false">IF(AND(BE$3&gt;=$E47,BE$3&lt;=$F47),1,"")</f>
        <v/>
      </c>
      <c r="BF47" s="1" t="str">
        <f aca="false">IF(AND(BF$3&gt;=$E47,BF$3&lt;=$F47),1,"")</f>
        <v/>
      </c>
      <c r="BG47" s="1" t="str">
        <f aca="false">IF(AND(BG$3&gt;=$E47,BG$3&lt;=$F47),1,"")</f>
        <v/>
      </c>
      <c r="BH47" s="1" t="str">
        <f aca="false">IF(AND(BH$3&gt;=$E47,BH$3&lt;=$F47),1,"")</f>
        <v/>
      </c>
      <c r="BI47" s="1" t="str">
        <f aca="false">IF(AND(BI$3&gt;=$E47,BI$3&lt;=$F47),1,"")</f>
        <v/>
      </c>
      <c r="BJ47" s="1" t="str">
        <f aca="false">IF(AND(BJ$3&gt;=$E47,BJ$3&lt;=$F47),1,"")</f>
        <v/>
      </c>
      <c r="BK47" s="1" t="str">
        <f aca="false">IF(AND(BK$3&gt;=$E47,BK$3&lt;=$F47),1,"")</f>
        <v/>
      </c>
      <c r="BL47" s="1" t="str">
        <f aca="false">IF(AND(BL$3&gt;=$E47,BL$3&lt;=$F47),1,"")</f>
        <v/>
      </c>
      <c r="BM47" s="1" t="str">
        <f aca="false">IF(AND(BM$3&gt;=$E47,BM$3&lt;=$F47),1,"")</f>
        <v/>
      </c>
      <c r="BN47" s="1" t="str">
        <f aca="false">IF(AND(BN$3&gt;=$E47,BN$3&lt;=$F47),1,"")</f>
        <v/>
      </c>
      <c r="BO47" s="1" t="str">
        <f aca="false">IF(AND(BO$3&gt;=$E47,BO$3&lt;=$F47),1,"")</f>
        <v/>
      </c>
      <c r="BP47" s="1" t="str">
        <f aca="false">IF(AND(BP$3&gt;=$E47,BP$3&lt;=$F47),1,"")</f>
        <v/>
      </c>
      <c r="BQ47" s="1" t="str">
        <f aca="false">IF(AND(BQ$3&gt;=$E47,BQ$3&lt;=$F47),1,"")</f>
        <v/>
      </c>
      <c r="BR47" s="1" t="str">
        <f aca="false">IF(AND(BR$3&gt;=$E47,BR$3&lt;=$F47),1,"")</f>
        <v/>
      </c>
    </row>
    <row r="48" customFormat="false" ht="15" hidden="false" customHeight="true" outlineLevel="0" collapsed="false">
      <c r="A48" s="1" t="s">
        <v>434</v>
      </c>
      <c r="B48" s="1" t="n">
        <v>34</v>
      </c>
      <c r="C48" s="95" t="s">
        <v>395</v>
      </c>
      <c r="D48" s="1" t="n">
        <v>1</v>
      </c>
      <c r="E48" s="89" t="n">
        <v>46188.2916666667</v>
      </c>
      <c r="F48" s="89" t="n">
        <v>46269.2916666667</v>
      </c>
      <c r="G48" s="95" t="s">
        <v>161</v>
      </c>
      <c r="H48" s="1" t="str">
        <f aca="false">IF($A48="","",TEXT($F48,"MMM-YYYY"))</f>
        <v>Sep-2026</v>
      </c>
      <c r="I48" s="95" t="s">
        <v>150</v>
      </c>
      <c r="J48" s="96" t="n">
        <f aca="false">IF($A48="","",$F48+30)</f>
        <v>46299.2916666667</v>
      </c>
      <c r="K48" s="1" t="s">
        <v>159</v>
      </c>
      <c r="L48" s="1" t="str">
        <f aca="false">IF(AND(L$3&gt;=$E48,L$3&lt;=$F48),1,"")</f>
        <v/>
      </c>
      <c r="M48" s="1" t="str">
        <f aca="false">IF(AND(M$3&gt;=$E48,M$3&lt;=$F48),1,"")</f>
        <v/>
      </c>
      <c r="N48" s="1" t="str">
        <f aca="false">IF(AND(N$3&gt;=$E48,N$3&lt;=$F48),1,"")</f>
        <v/>
      </c>
      <c r="O48" s="1" t="str">
        <f aca="false">IF(AND(O$3&gt;=$E48,O$3&lt;=$F48),1,"")</f>
        <v/>
      </c>
      <c r="P48" s="1" t="str">
        <f aca="false">IF(AND(P$3&gt;=$E48,P$3&lt;=$F48),1,"")</f>
        <v/>
      </c>
      <c r="Q48" s="1" t="str">
        <f aca="false">IF(AND(Q$3&gt;=$E48,Q$3&lt;=$F48),1,"")</f>
        <v/>
      </c>
      <c r="R48" s="1" t="str">
        <f aca="false">IF(AND(R$3&gt;=$E48,R$3&lt;=$F48),1,"")</f>
        <v/>
      </c>
      <c r="S48" s="1" t="str">
        <f aca="false">IF(AND(S$3&gt;=$E48,S$3&lt;=$F48),1,"")</f>
        <v/>
      </c>
      <c r="T48" s="1" t="str">
        <f aca="false">IF(AND(T$3&gt;=$E48,T$3&lt;=$F48),1,"")</f>
        <v/>
      </c>
      <c r="U48" s="1" t="str">
        <f aca="false">IF(AND(U$3&gt;=$E48,U$3&lt;=$F48),1,"")</f>
        <v/>
      </c>
      <c r="V48" s="1" t="str">
        <f aca="false">IF(AND(V$3&gt;=$E48,V$3&lt;=$F48),1,"")</f>
        <v/>
      </c>
      <c r="W48" s="1" t="str">
        <f aca="false">IF(AND(W$3&gt;=$E48,W$3&lt;=$F48),1,"")</f>
        <v/>
      </c>
      <c r="X48" s="1" t="str">
        <f aca="false">IF(AND(X$3&gt;=$E48,X$3&lt;=$F48),1,"")</f>
        <v/>
      </c>
      <c r="Y48" s="1" t="str">
        <f aca="false">IF(AND(Y$3&gt;=$E48,Y$3&lt;=$F48),1,"")</f>
        <v/>
      </c>
      <c r="Z48" s="1" t="str">
        <f aca="false">IF(AND(Z$3&gt;=$E48,Z$3&lt;=$F48),1,"")</f>
        <v/>
      </c>
      <c r="AA48" s="1" t="str">
        <f aca="false">IF(AND(AA$3&gt;=$E48,AA$3&lt;=$F48),1,"")</f>
        <v/>
      </c>
      <c r="AB48" s="1" t="str">
        <f aca="false">IF(AND(AB$3&gt;=$E48,AB$3&lt;=$F48),1,"")</f>
        <v/>
      </c>
      <c r="AC48" s="1" t="str">
        <f aca="false">IF(AND(AC$3&gt;=$E48,AC$3&lt;=$F48),1,"")</f>
        <v/>
      </c>
      <c r="AD48" s="1" t="str">
        <f aca="false">IF(AND(AD$3&gt;=$E48,AD$3&lt;=$F48),1,"")</f>
        <v/>
      </c>
      <c r="AE48" s="1" t="str">
        <f aca="false">IF(AND(AE$3&gt;=$E48,AE$3&lt;=$F48),1,"")</f>
        <v/>
      </c>
      <c r="AF48" s="1" t="str">
        <f aca="false">IF(AND(AF$3&gt;=$E48,AF$3&lt;=$F48),1,"")</f>
        <v/>
      </c>
      <c r="AG48" s="1" t="str">
        <f aca="false">IF(AND(AG$3&gt;=$E48,AG$3&lt;=$F48),1,"")</f>
        <v/>
      </c>
      <c r="AH48" s="1" t="str">
        <f aca="false">IF(AND(AH$3&gt;=$E48,AH$3&lt;=$F48),1,"")</f>
        <v/>
      </c>
      <c r="AI48" s="1" t="str">
        <f aca="false">IF(AND(AI$3&gt;=$E48,AI$3&lt;=$F48),1,"")</f>
        <v/>
      </c>
      <c r="AJ48" s="1" t="str">
        <f aca="false">IF(AND(AJ$3&gt;=$E48,AJ$3&lt;=$F48),1,"")</f>
        <v/>
      </c>
      <c r="AK48" s="1" t="str">
        <f aca="false">IF(AND(AK$3&gt;=$E48,AK$3&lt;=$F48),1,"")</f>
        <v/>
      </c>
      <c r="AL48" s="1" t="str">
        <f aca="false">IF(AND(AL$3&gt;=$E48,AL$3&lt;=$F48),1,"")</f>
        <v/>
      </c>
      <c r="AM48" s="1" t="str">
        <f aca="false">IF(AND(AM$3&gt;=$E48,AM$3&lt;=$F48),1,"")</f>
        <v/>
      </c>
      <c r="AN48" s="1" t="str">
        <f aca="false">IF(AND(AN$3&gt;=$E48,AN$3&lt;=$F48),1,"")</f>
        <v/>
      </c>
      <c r="AO48" s="1" t="str">
        <f aca="false">IF(AND(AO$3&gt;=$E48,AO$3&lt;=$F48),1,"")</f>
        <v/>
      </c>
      <c r="AP48" s="1" t="str">
        <f aca="false">IF(AND(AP$3&gt;=$E48,AP$3&lt;=$F48),1,"")</f>
        <v/>
      </c>
      <c r="AQ48" s="1" t="str">
        <f aca="false">IF(AND(AQ$3&gt;=$E48,AQ$3&lt;=$F48),1,"")</f>
        <v/>
      </c>
      <c r="AR48" s="1" t="str">
        <f aca="false">IF(AND(AR$3&gt;=$E48,AR$3&lt;=$F48),1,"")</f>
        <v/>
      </c>
      <c r="AS48" s="1" t="str">
        <f aca="false">IF(AND(AS$3&gt;=$E48,AS$3&lt;=$F48),1,"")</f>
        <v/>
      </c>
      <c r="AT48" s="1" t="str">
        <f aca="false">IF(AND(AT$3&gt;=$E48,AT$3&lt;=$F48),1,"")</f>
        <v/>
      </c>
      <c r="AU48" s="1" t="str">
        <f aca="false">IF(AND(AU$3&gt;=$E48,AU$3&lt;=$F48),1,"")</f>
        <v/>
      </c>
      <c r="AV48" s="1" t="str">
        <f aca="false">IF(AND(AV$3&gt;=$E48,AV$3&lt;=$F48),1,"")</f>
        <v/>
      </c>
      <c r="AW48" s="1" t="str">
        <f aca="false">IF(AND(AW$3&gt;=$E48,AW$3&lt;=$F48),1,"")</f>
        <v/>
      </c>
      <c r="AX48" s="1" t="str">
        <f aca="false">IF(AND(AX$3&gt;=$E48,AX$3&lt;=$F48),1,"")</f>
        <v/>
      </c>
      <c r="AY48" s="1" t="str">
        <f aca="false">IF(AND(AY$3&gt;=$E48,AY$3&lt;=$F48),1,"")</f>
        <v/>
      </c>
      <c r="AZ48" s="1" t="str">
        <f aca="false">IF(AND(AZ$3&gt;=$E48,AZ$3&lt;=$F48),1,"")</f>
        <v/>
      </c>
      <c r="BA48" s="1" t="str">
        <f aca="false">IF(AND(BA$3&gt;=$E48,BA$3&lt;=$F48),1,"")</f>
        <v/>
      </c>
      <c r="BB48" s="1" t="str">
        <f aca="false">IF(AND(BB$3&gt;=$E48,BB$3&lt;=$F48),1,"")</f>
        <v/>
      </c>
      <c r="BC48" s="1" t="str">
        <f aca="false">IF(AND(BC$3&gt;=$E48,BC$3&lt;=$F48),1,"")</f>
        <v/>
      </c>
      <c r="BD48" s="1" t="str">
        <f aca="false">IF(AND(BD$3&gt;=$E48,BD$3&lt;=$F48),1,"")</f>
        <v/>
      </c>
      <c r="BE48" s="1" t="str">
        <f aca="false">IF(AND(BE$3&gt;=$E48,BE$3&lt;=$F48),1,"")</f>
        <v/>
      </c>
      <c r="BF48" s="1" t="str">
        <f aca="false">IF(AND(BF$3&gt;=$E48,BF$3&lt;=$F48),1,"")</f>
        <v/>
      </c>
      <c r="BG48" s="1" t="str">
        <f aca="false">IF(AND(BG$3&gt;=$E48,BG$3&lt;=$F48),1,"")</f>
        <v/>
      </c>
      <c r="BH48" s="1" t="str">
        <f aca="false">IF(AND(BH$3&gt;=$E48,BH$3&lt;=$F48),1,"")</f>
        <v/>
      </c>
      <c r="BI48" s="1" t="str">
        <f aca="false">IF(AND(BI$3&gt;=$E48,BI$3&lt;=$F48),1,"")</f>
        <v/>
      </c>
      <c r="BJ48" s="1" t="str">
        <f aca="false">IF(AND(BJ$3&gt;=$E48,BJ$3&lt;=$F48),1,"")</f>
        <v/>
      </c>
      <c r="BK48" s="1" t="str">
        <f aca="false">IF(AND(BK$3&gt;=$E48,BK$3&lt;=$F48),1,"")</f>
        <v/>
      </c>
      <c r="BL48" s="1" t="str">
        <f aca="false">IF(AND(BL$3&gt;=$E48,BL$3&lt;=$F48),1,"")</f>
        <v/>
      </c>
      <c r="BM48" s="1" t="str">
        <f aca="false">IF(AND(BM$3&gt;=$E48,BM$3&lt;=$F48),1,"")</f>
        <v/>
      </c>
      <c r="BN48" s="1" t="str">
        <f aca="false">IF(AND(BN$3&gt;=$E48,BN$3&lt;=$F48),1,"")</f>
        <v/>
      </c>
      <c r="BO48" s="1" t="str">
        <f aca="false">IF(AND(BO$3&gt;=$E48,BO$3&lt;=$F48),1,"")</f>
        <v/>
      </c>
      <c r="BP48" s="1" t="str">
        <f aca="false">IF(AND(BP$3&gt;=$E48,BP$3&lt;=$F48),1,"")</f>
        <v/>
      </c>
      <c r="BQ48" s="1" t="str">
        <f aca="false">IF(AND(BQ$3&gt;=$E48,BQ$3&lt;=$F48),1,"")</f>
        <v/>
      </c>
      <c r="BR48" s="1" t="str">
        <f aca="false">IF(AND(BR$3&gt;=$E48,BR$3&lt;=$F48),1,"")</f>
        <v/>
      </c>
    </row>
    <row r="49" customFormat="false" ht="15" hidden="false" customHeight="true" outlineLevel="0" collapsed="false">
      <c r="A49" s="1" t="s">
        <v>435</v>
      </c>
      <c r="B49" s="1" t="n">
        <v>54</v>
      </c>
      <c r="C49" s="95" t="s">
        <v>398</v>
      </c>
      <c r="D49" s="1" t="n">
        <v>2</v>
      </c>
      <c r="E49" s="89" t="n">
        <v>46185.2916666667</v>
      </c>
      <c r="F49" s="89" t="n">
        <v>46240.2916666667</v>
      </c>
      <c r="G49" s="95" t="s">
        <v>154</v>
      </c>
      <c r="H49" s="1" t="str">
        <f aca="false">IF($A49="","",TEXT($F49,"MMM-YYYY"))</f>
        <v>Aug-2026</v>
      </c>
      <c r="I49" s="95" t="s">
        <v>147</v>
      </c>
      <c r="J49" s="96" t="n">
        <f aca="false">IF($A49="","",$F49+30)</f>
        <v>46270.2916666667</v>
      </c>
      <c r="K49" s="1" t="s">
        <v>148</v>
      </c>
      <c r="L49" s="1" t="str">
        <f aca="false">IF(AND(L$3&gt;=$E49,L$3&lt;=$F49),1,"")</f>
        <v/>
      </c>
      <c r="M49" s="1" t="str">
        <f aca="false">IF(AND(M$3&gt;=$E49,M$3&lt;=$F49),1,"")</f>
        <v/>
      </c>
      <c r="N49" s="1" t="str">
        <f aca="false">IF(AND(N$3&gt;=$E49,N$3&lt;=$F49),1,"")</f>
        <v/>
      </c>
      <c r="O49" s="1" t="str">
        <f aca="false">IF(AND(O$3&gt;=$E49,O$3&lt;=$F49),1,"")</f>
        <v/>
      </c>
      <c r="P49" s="1" t="str">
        <f aca="false">IF(AND(P$3&gt;=$E49,P$3&lt;=$F49),1,"")</f>
        <v/>
      </c>
      <c r="Q49" s="1" t="str">
        <f aca="false">IF(AND(Q$3&gt;=$E49,Q$3&lt;=$F49),1,"")</f>
        <v/>
      </c>
      <c r="R49" s="1" t="str">
        <f aca="false">IF(AND(R$3&gt;=$E49,R$3&lt;=$F49),1,"")</f>
        <v/>
      </c>
      <c r="S49" s="1" t="str">
        <f aca="false">IF(AND(S$3&gt;=$E49,S$3&lt;=$F49),1,"")</f>
        <v/>
      </c>
      <c r="T49" s="1" t="str">
        <f aca="false">IF(AND(T$3&gt;=$E49,T$3&lt;=$F49),1,"")</f>
        <v/>
      </c>
      <c r="U49" s="1" t="str">
        <f aca="false">IF(AND(U$3&gt;=$E49,U$3&lt;=$F49),1,"")</f>
        <v/>
      </c>
      <c r="V49" s="1" t="str">
        <f aca="false">IF(AND(V$3&gt;=$E49,V$3&lt;=$F49),1,"")</f>
        <v/>
      </c>
      <c r="W49" s="1" t="str">
        <f aca="false">IF(AND(W$3&gt;=$E49,W$3&lt;=$F49),1,"")</f>
        <v/>
      </c>
      <c r="X49" s="1" t="str">
        <f aca="false">IF(AND(X$3&gt;=$E49,X$3&lt;=$F49),1,"")</f>
        <v/>
      </c>
      <c r="Y49" s="1" t="str">
        <f aca="false">IF(AND(Y$3&gt;=$E49,Y$3&lt;=$F49),1,"")</f>
        <v/>
      </c>
      <c r="Z49" s="1" t="str">
        <f aca="false">IF(AND(Z$3&gt;=$E49,Z$3&lt;=$F49),1,"")</f>
        <v/>
      </c>
      <c r="AA49" s="1" t="str">
        <f aca="false">IF(AND(AA$3&gt;=$E49,AA$3&lt;=$F49),1,"")</f>
        <v/>
      </c>
      <c r="AB49" s="1" t="str">
        <f aca="false">IF(AND(AB$3&gt;=$E49,AB$3&lt;=$F49),1,"")</f>
        <v/>
      </c>
      <c r="AC49" s="1" t="str">
        <f aca="false">IF(AND(AC$3&gt;=$E49,AC$3&lt;=$F49),1,"")</f>
        <v/>
      </c>
      <c r="AD49" s="1" t="str">
        <f aca="false">IF(AND(AD$3&gt;=$E49,AD$3&lt;=$F49),1,"")</f>
        <v/>
      </c>
      <c r="AE49" s="1" t="str">
        <f aca="false">IF(AND(AE$3&gt;=$E49,AE$3&lt;=$F49),1,"")</f>
        <v/>
      </c>
      <c r="AF49" s="1" t="str">
        <f aca="false">IF(AND(AF$3&gt;=$E49,AF$3&lt;=$F49),1,"")</f>
        <v/>
      </c>
      <c r="AG49" s="1" t="str">
        <f aca="false">IF(AND(AG$3&gt;=$E49,AG$3&lt;=$F49),1,"")</f>
        <v/>
      </c>
      <c r="AH49" s="1" t="str">
        <f aca="false">IF(AND(AH$3&gt;=$E49,AH$3&lt;=$F49),1,"")</f>
        <v/>
      </c>
      <c r="AI49" s="1" t="str">
        <f aca="false">IF(AND(AI$3&gt;=$E49,AI$3&lt;=$F49),1,"")</f>
        <v/>
      </c>
      <c r="AJ49" s="1" t="str">
        <f aca="false">IF(AND(AJ$3&gt;=$E49,AJ$3&lt;=$F49),1,"")</f>
        <v/>
      </c>
      <c r="AK49" s="1" t="str">
        <f aca="false">IF(AND(AK$3&gt;=$E49,AK$3&lt;=$F49),1,"")</f>
        <v/>
      </c>
      <c r="AL49" s="1" t="str">
        <f aca="false">IF(AND(AL$3&gt;=$E49,AL$3&lt;=$F49),1,"")</f>
        <v/>
      </c>
      <c r="AM49" s="1" t="str">
        <f aca="false">IF(AND(AM$3&gt;=$E49,AM$3&lt;=$F49),1,"")</f>
        <v/>
      </c>
      <c r="AN49" s="1" t="str">
        <f aca="false">IF(AND(AN$3&gt;=$E49,AN$3&lt;=$F49),1,"")</f>
        <v/>
      </c>
      <c r="AO49" s="1" t="str">
        <f aca="false">IF(AND(AO$3&gt;=$E49,AO$3&lt;=$F49),1,"")</f>
        <v/>
      </c>
      <c r="AP49" s="1" t="str">
        <f aca="false">IF(AND(AP$3&gt;=$E49,AP$3&lt;=$F49),1,"")</f>
        <v/>
      </c>
      <c r="AQ49" s="1" t="str">
        <f aca="false">IF(AND(AQ$3&gt;=$E49,AQ$3&lt;=$F49),1,"")</f>
        <v/>
      </c>
      <c r="AR49" s="1" t="str">
        <f aca="false">IF(AND(AR$3&gt;=$E49,AR$3&lt;=$F49),1,"")</f>
        <v/>
      </c>
      <c r="AS49" s="1" t="str">
        <f aca="false">IF(AND(AS$3&gt;=$E49,AS$3&lt;=$F49),1,"")</f>
        <v/>
      </c>
      <c r="AT49" s="1" t="str">
        <f aca="false">IF(AND(AT$3&gt;=$E49,AT$3&lt;=$F49),1,"")</f>
        <v/>
      </c>
      <c r="AU49" s="1" t="str">
        <f aca="false">IF(AND(AU$3&gt;=$E49,AU$3&lt;=$F49),1,"")</f>
        <v/>
      </c>
      <c r="AV49" s="1" t="str">
        <f aca="false">IF(AND(AV$3&gt;=$E49,AV$3&lt;=$F49),1,"")</f>
        <v/>
      </c>
      <c r="AW49" s="1" t="str">
        <f aca="false">IF(AND(AW$3&gt;=$E49,AW$3&lt;=$F49),1,"")</f>
        <v/>
      </c>
      <c r="AX49" s="1" t="str">
        <f aca="false">IF(AND(AX$3&gt;=$E49,AX$3&lt;=$F49),1,"")</f>
        <v/>
      </c>
      <c r="AY49" s="1" t="str">
        <f aca="false">IF(AND(AY$3&gt;=$E49,AY$3&lt;=$F49),1,"")</f>
        <v/>
      </c>
      <c r="AZ49" s="1" t="str">
        <f aca="false">IF(AND(AZ$3&gt;=$E49,AZ$3&lt;=$F49),1,"")</f>
        <v/>
      </c>
      <c r="BA49" s="1" t="str">
        <f aca="false">IF(AND(BA$3&gt;=$E49,BA$3&lt;=$F49),1,"")</f>
        <v/>
      </c>
      <c r="BB49" s="1" t="str">
        <f aca="false">IF(AND(BB$3&gt;=$E49,BB$3&lt;=$F49),1,"")</f>
        <v/>
      </c>
      <c r="BC49" s="1" t="str">
        <f aca="false">IF(AND(BC$3&gt;=$E49,BC$3&lt;=$F49),1,"")</f>
        <v/>
      </c>
      <c r="BD49" s="1" t="str">
        <f aca="false">IF(AND(BD$3&gt;=$E49,BD$3&lt;=$F49),1,"")</f>
        <v/>
      </c>
      <c r="BE49" s="1" t="str">
        <f aca="false">IF(AND(BE$3&gt;=$E49,BE$3&lt;=$F49),1,"")</f>
        <v/>
      </c>
      <c r="BF49" s="1" t="str">
        <f aca="false">IF(AND(BF$3&gt;=$E49,BF$3&lt;=$F49),1,"")</f>
        <v/>
      </c>
      <c r="BG49" s="1" t="str">
        <f aca="false">IF(AND(BG$3&gt;=$E49,BG$3&lt;=$F49),1,"")</f>
        <v/>
      </c>
      <c r="BH49" s="1" t="str">
        <f aca="false">IF(AND(BH$3&gt;=$E49,BH$3&lt;=$F49),1,"")</f>
        <v/>
      </c>
      <c r="BI49" s="1" t="str">
        <f aca="false">IF(AND(BI$3&gt;=$E49,BI$3&lt;=$F49),1,"")</f>
        <v/>
      </c>
      <c r="BJ49" s="1" t="str">
        <f aca="false">IF(AND(BJ$3&gt;=$E49,BJ$3&lt;=$F49),1,"")</f>
        <v/>
      </c>
      <c r="BK49" s="1" t="str">
        <f aca="false">IF(AND(BK$3&gt;=$E49,BK$3&lt;=$F49),1,"")</f>
        <v/>
      </c>
      <c r="BL49" s="1" t="str">
        <f aca="false">IF(AND(BL$3&gt;=$E49,BL$3&lt;=$F49),1,"")</f>
        <v/>
      </c>
      <c r="BM49" s="1" t="str">
        <f aca="false">IF(AND(BM$3&gt;=$E49,BM$3&lt;=$F49),1,"")</f>
        <v/>
      </c>
      <c r="BN49" s="1" t="str">
        <f aca="false">IF(AND(BN$3&gt;=$E49,BN$3&lt;=$F49),1,"")</f>
        <v/>
      </c>
      <c r="BO49" s="1" t="str">
        <f aca="false">IF(AND(BO$3&gt;=$E49,BO$3&lt;=$F49),1,"")</f>
        <v/>
      </c>
      <c r="BP49" s="1" t="str">
        <f aca="false">IF(AND(BP$3&gt;=$E49,BP$3&lt;=$F49),1,"")</f>
        <v/>
      </c>
      <c r="BQ49" s="1" t="str">
        <f aca="false">IF(AND(BQ$3&gt;=$E49,BQ$3&lt;=$F49),1,"")</f>
        <v/>
      </c>
      <c r="BR49" s="1" t="str">
        <f aca="false">IF(AND(BR$3&gt;=$E49,BR$3&lt;=$F49),1,"")</f>
        <v/>
      </c>
    </row>
    <row r="50" customFormat="false" ht="15" hidden="false" customHeight="true" outlineLevel="0" collapsed="false">
      <c r="A50" s="1" t="s">
        <v>436</v>
      </c>
      <c r="B50" s="1" t="n">
        <v>50</v>
      </c>
      <c r="C50" s="95" t="s">
        <v>386</v>
      </c>
      <c r="D50" s="1" t="n">
        <v>3</v>
      </c>
      <c r="E50" s="89" t="n">
        <v>46146.2916666667</v>
      </c>
      <c r="F50" s="89" t="n">
        <v>46221.2916666667</v>
      </c>
      <c r="G50" s="95" t="s">
        <v>146</v>
      </c>
      <c r="H50" s="1" t="str">
        <f aca="false">IF($A50="","",TEXT($F50,"MMM-YYYY"))</f>
        <v>Jul-2026</v>
      </c>
      <c r="I50" s="95" t="s">
        <v>150</v>
      </c>
      <c r="J50" s="96" t="n">
        <f aca="false">IF($A50="","",$F50+30)</f>
        <v>46251.2916666667</v>
      </c>
      <c r="K50" s="1" t="s">
        <v>392</v>
      </c>
      <c r="L50" s="1" t="str">
        <f aca="false">IF(AND(L$3&gt;=$E50,L$3&lt;=$F50),1,"")</f>
        <v/>
      </c>
      <c r="M50" s="1" t="str">
        <f aca="false">IF(AND(M$3&gt;=$E50,M$3&lt;=$F50),1,"")</f>
        <v/>
      </c>
      <c r="N50" s="1" t="str">
        <f aca="false">IF(AND(N$3&gt;=$E50,N$3&lt;=$F50),1,"")</f>
        <v/>
      </c>
      <c r="O50" s="1" t="str">
        <f aca="false">IF(AND(O$3&gt;=$E50,O$3&lt;=$F50),1,"")</f>
        <v/>
      </c>
      <c r="P50" s="1" t="str">
        <f aca="false">IF(AND(P$3&gt;=$E50,P$3&lt;=$F50),1,"")</f>
        <v/>
      </c>
      <c r="Q50" s="1" t="str">
        <f aca="false">IF(AND(Q$3&gt;=$E50,Q$3&lt;=$F50),1,"")</f>
        <v/>
      </c>
      <c r="R50" s="1" t="str">
        <f aca="false">IF(AND(R$3&gt;=$E50,R$3&lt;=$F50),1,"")</f>
        <v/>
      </c>
      <c r="S50" s="1" t="str">
        <f aca="false">IF(AND(S$3&gt;=$E50,S$3&lt;=$F50),1,"")</f>
        <v/>
      </c>
      <c r="T50" s="1" t="str">
        <f aca="false">IF(AND(T$3&gt;=$E50,T$3&lt;=$F50),1,"")</f>
        <v/>
      </c>
      <c r="U50" s="1" t="str">
        <f aca="false">IF(AND(U$3&gt;=$E50,U$3&lt;=$F50),1,"")</f>
        <v/>
      </c>
      <c r="V50" s="1" t="str">
        <f aca="false">IF(AND(V$3&gt;=$E50,V$3&lt;=$F50),1,"")</f>
        <v/>
      </c>
      <c r="W50" s="1" t="str">
        <f aca="false">IF(AND(W$3&gt;=$E50,W$3&lt;=$F50),1,"")</f>
        <v/>
      </c>
      <c r="X50" s="1" t="str">
        <f aca="false">IF(AND(X$3&gt;=$E50,X$3&lt;=$F50),1,"")</f>
        <v/>
      </c>
      <c r="Y50" s="1" t="str">
        <f aca="false">IF(AND(Y$3&gt;=$E50,Y$3&lt;=$F50),1,"")</f>
        <v/>
      </c>
      <c r="Z50" s="1" t="str">
        <f aca="false">IF(AND(Z$3&gt;=$E50,Z$3&lt;=$F50),1,"")</f>
        <v/>
      </c>
      <c r="AA50" s="1" t="str">
        <f aca="false">IF(AND(AA$3&gt;=$E50,AA$3&lt;=$F50),1,"")</f>
        <v/>
      </c>
      <c r="AB50" s="1" t="str">
        <f aca="false">IF(AND(AB$3&gt;=$E50,AB$3&lt;=$F50),1,"")</f>
        <v/>
      </c>
      <c r="AC50" s="1" t="str">
        <f aca="false">IF(AND(AC$3&gt;=$E50,AC$3&lt;=$F50),1,"")</f>
        <v/>
      </c>
      <c r="AD50" s="1" t="str">
        <f aca="false">IF(AND(AD$3&gt;=$E50,AD$3&lt;=$F50),1,"")</f>
        <v/>
      </c>
      <c r="AE50" s="1" t="str">
        <f aca="false">IF(AND(AE$3&gt;=$E50,AE$3&lt;=$F50),1,"")</f>
        <v/>
      </c>
      <c r="AF50" s="1" t="str">
        <f aca="false">IF(AND(AF$3&gt;=$E50,AF$3&lt;=$F50),1,"")</f>
        <v/>
      </c>
      <c r="AG50" s="1" t="str">
        <f aca="false">IF(AND(AG$3&gt;=$E50,AG$3&lt;=$F50),1,"")</f>
        <v/>
      </c>
      <c r="AH50" s="1" t="str">
        <f aca="false">IF(AND(AH$3&gt;=$E50,AH$3&lt;=$F50),1,"")</f>
        <v/>
      </c>
      <c r="AI50" s="1" t="str">
        <f aca="false">IF(AND(AI$3&gt;=$E50,AI$3&lt;=$F50),1,"")</f>
        <v/>
      </c>
      <c r="AJ50" s="1" t="str">
        <f aca="false">IF(AND(AJ$3&gt;=$E50,AJ$3&lt;=$F50),1,"")</f>
        <v/>
      </c>
      <c r="AK50" s="1" t="str">
        <f aca="false">IF(AND(AK$3&gt;=$E50,AK$3&lt;=$F50),1,"")</f>
        <v/>
      </c>
      <c r="AL50" s="1" t="str">
        <f aca="false">IF(AND(AL$3&gt;=$E50,AL$3&lt;=$F50),1,"")</f>
        <v/>
      </c>
      <c r="AM50" s="1" t="str">
        <f aca="false">IF(AND(AM$3&gt;=$E50,AM$3&lt;=$F50),1,"")</f>
        <v/>
      </c>
      <c r="AN50" s="1" t="str">
        <f aca="false">IF(AND(AN$3&gt;=$E50,AN$3&lt;=$F50),1,"")</f>
        <v/>
      </c>
      <c r="AO50" s="1" t="str">
        <f aca="false">IF(AND(AO$3&gt;=$E50,AO$3&lt;=$F50),1,"")</f>
        <v/>
      </c>
      <c r="AP50" s="1" t="str">
        <f aca="false">IF(AND(AP$3&gt;=$E50,AP$3&lt;=$F50),1,"")</f>
        <v/>
      </c>
      <c r="AQ50" s="1" t="str">
        <f aca="false">IF(AND(AQ$3&gt;=$E50,AQ$3&lt;=$F50),1,"")</f>
        <v/>
      </c>
      <c r="AR50" s="1" t="str">
        <f aca="false">IF(AND(AR$3&gt;=$E50,AR$3&lt;=$F50),1,"")</f>
        <v/>
      </c>
      <c r="AS50" s="1" t="n">
        <f aca="false">IF(AND(AS$3&gt;=$E50,AS$3&lt;=$F50),1,"")</f>
        <v>1</v>
      </c>
      <c r="AT50" s="1" t="n">
        <f aca="false">IF(AND(AT$3&gt;=$E50,AT$3&lt;=$F50),1,"")</f>
        <v>1</v>
      </c>
      <c r="AU50" s="1" t="n">
        <f aca="false">IF(AND(AU$3&gt;=$E50,AU$3&lt;=$F50),1,"")</f>
        <v>1</v>
      </c>
      <c r="AV50" s="1" t="n">
        <f aca="false">IF(AND(AV$3&gt;=$E50,AV$3&lt;=$F50),1,"")</f>
        <v>1</v>
      </c>
      <c r="AW50" s="1" t="n">
        <f aca="false">IF(AND(AW$3&gt;=$E50,AW$3&lt;=$F50),1,"")</f>
        <v>1</v>
      </c>
      <c r="AX50" s="1" t="n">
        <f aca="false">IF(AND(AX$3&gt;=$E50,AX$3&lt;=$F50),1,"")</f>
        <v>1</v>
      </c>
      <c r="AY50" s="1" t="n">
        <f aca="false">IF(AND(AY$3&gt;=$E50,AY$3&lt;=$F50),1,"")</f>
        <v>1</v>
      </c>
      <c r="AZ50" s="1" t="n">
        <f aca="false">IF(AND(AZ$3&gt;=$E50,AZ$3&lt;=$F50),1,"")</f>
        <v>1</v>
      </c>
      <c r="BA50" s="1" t="n">
        <f aca="false">IF(AND(BA$3&gt;=$E50,BA$3&lt;=$F50),1,"")</f>
        <v>1</v>
      </c>
      <c r="BB50" s="1" t="n">
        <f aca="false">IF(AND(BB$3&gt;=$E50,BB$3&lt;=$F50),1,"")</f>
        <v>1</v>
      </c>
      <c r="BC50" s="1" t="n">
        <f aca="false">IF(AND(BC$3&gt;=$E50,BC$3&lt;=$F50),1,"")</f>
        <v>1</v>
      </c>
      <c r="BD50" s="1" t="n">
        <f aca="false">IF(AND(BD$3&gt;=$E50,BD$3&lt;=$F50),1,"")</f>
        <v>1</v>
      </c>
      <c r="BE50" s="1" t="n">
        <f aca="false">IF(AND(BE$3&gt;=$E50,BE$3&lt;=$F50),1,"")</f>
        <v>1</v>
      </c>
      <c r="BF50" s="1" t="n">
        <f aca="false">IF(AND(BF$3&gt;=$E50,BF$3&lt;=$F50),1,"")</f>
        <v>1</v>
      </c>
      <c r="BG50" s="1" t="n">
        <f aca="false">IF(AND(BG$3&gt;=$E50,BG$3&lt;=$F50),1,"")</f>
        <v>1</v>
      </c>
      <c r="BH50" s="1" t="n">
        <f aca="false">IF(AND(BH$3&gt;=$E50,BH$3&lt;=$F50),1,"")</f>
        <v>1</v>
      </c>
      <c r="BI50" s="1" t="n">
        <f aca="false">IF(AND(BI$3&gt;=$E50,BI$3&lt;=$F50),1,"")</f>
        <v>1</v>
      </c>
      <c r="BJ50" s="1" t="n">
        <f aca="false">IF(AND(BJ$3&gt;=$E50,BJ$3&lt;=$F50),1,"")</f>
        <v>1</v>
      </c>
      <c r="BK50" s="1" t="n">
        <f aca="false">IF(AND(BK$3&gt;=$E50,BK$3&lt;=$F50),1,"")</f>
        <v>1</v>
      </c>
      <c r="BL50" s="1" t="n">
        <f aca="false">IF(AND(BL$3&gt;=$E50,BL$3&lt;=$F50),1,"")</f>
        <v>1</v>
      </c>
      <c r="BM50" s="1" t="n">
        <f aca="false">IF(AND(BM$3&gt;=$E50,BM$3&lt;=$F50),1,"")</f>
        <v>1</v>
      </c>
      <c r="BN50" s="1" t="n">
        <f aca="false">IF(AND(BN$3&gt;=$E50,BN$3&lt;=$F50),1,"")</f>
        <v>1</v>
      </c>
      <c r="BO50" s="1" t="n">
        <f aca="false">IF(AND(BO$3&gt;=$E50,BO$3&lt;=$F50),1,"")</f>
        <v>1</v>
      </c>
      <c r="BP50" s="1" t="n">
        <f aca="false">IF(AND(BP$3&gt;=$E50,BP$3&lt;=$F50),1,"")</f>
        <v>1</v>
      </c>
      <c r="BQ50" s="1" t="n">
        <f aca="false">IF(AND(BQ$3&gt;=$E50,BQ$3&lt;=$F50),1,"")</f>
        <v>1</v>
      </c>
      <c r="BR50" s="1" t="n">
        <f aca="false">IF(AND(BR$3&gt;=$E50,BR$3&lt;=$F50),1,"")</f>
        <v>1</v>
      </c>
    </row>
    <row r="51" customFormat="false" ht="15" hidden="false" customHeight="true" outlineLevel="0" collapsed="false">
      <c r="A51" s="1" t="s">
        <v>437</v>
      </c>
      <c r="B51" s="1" t="n">
        <v>15</v>
      </c>
      <c r="C51" s="95" t="s">
        <v>390</v>
      </c>
      <c r="D51" s="1" t="n">
        <v>1</v>
      </c>
      <c r="E51" s="89" t="n">
        <v>46205.2916666667</v>
      </c>
      <c r="F51" s="89" t="n">
        <v>46231.2916666667</v>
      </c>
      <c r="G51" s="95" t="s">
        <v>146</v>
      </c>
      <c r="H51" s="1" t="str">
        <f aca="false">IF($A51="","",TEXT($F51,"MMM-YYYY"))</f>
        <v>Jul-2026</v>
      </c>
      <c r="I51" s="95" t="s">
        <v>147</v>
      </c>
      <c r="J51" s="96" t="n">
        <f aca="false">IF($A51="","",$F51+30)</f>
        <v>46261.2916666667</v>
      </c>
      <c r="K51" s="1" t="s">
        <v>148</v>
      </c>
      <c r="L51" s="1" t="str">
        <f aca="false">IF(AND(L$3&gt;=$E51,L$3&lt;=$F51),1,"")</f>
        <v/>
      </c>
      <c r="M51" s="1" t="str">
        <f aca="false">IF(AND(M$3&gt;=$E51,M$3&lt;=$F51),1,"")</f>
        <v/>
      </c>
      <c r="N51" s="1" t="str">
        <f aca="false">IF(AND(N$3&gt;=$E51,N$3&lt;=$F51),1,"")</f>
        <v/>
      </c>
      <c r="O51" s="1" t="str">
        <f aca="false">IF(AND(O$3&gt;=$E51,O$3&lt;=$F51),1,"")</f>
        <v/>
      </c>
      <c r="P51" s="1" t="str">
        <f aca="false">IF(AND(P$3&gt;=$E51,P$3&lt;=$F51),1,"")</f>
        <v/>
      </c>
      <c r="Q51" s="1" t="str">
        <f aca="false">IF(AND(Q$3&gt;=$E51,Q$3&lt;=$F51),1,"")</f>
        <v/>
      </c>
      <c r="R51" s="1" t="str">
        <f aca="false">IF(AND(R$3&gt;=$E51,R$3&lt;=$F51),1,"")</f>
        <v/>
      </c>
      <c r="S51" s="1" t="str">
        <f aca="false">IF(AND(S$3&gt;=$E51,S$3&lt;=$F51),1,"")</f>
        <v/>
      </c>
      <c r="T51" s="1" t="str">
        <f aca="false">IF(AND(T$3&gt;=$E51,T$3&lt;=$F51),1,"")</f>
        <v/>
      </c>
      <c r="U51" s="1" t="str">
        <f aca="false">IF(AND(U$3&gt;=$E51,U$3&lt;=$F51),1,"")</f>
        <v/>
      </c>
      <c r="V51" s="1" t="str">
        <f aca="false">IF(AND(V$3&gt;=$E51,V$3&lt;=$F51),1,"")</f>
        <v/>
      </c>
      <c r="W51" s="1" t="str">
        <f aca="false">IF(AND(W$3&gt;=$E51,W$3&lt;=$F51),1,"")</f>
        <v/>
      </c>
      <c r="X51" s="1" t="str">
        <f aca="false">IF(AND(X$3&gt;=$E51,X$3&lt;=$F51),1,"")</f>
        <v/>
      </c>
      <c r="Y51" s="1" t="str">
        <f aca="false">IF(AND(Y$3&gt;=$E51,Y$3&lt;=$F51),1,"")</f>
        <v/>
      </c>
      <c r="Z51" s="1" t="str">
        <f aca="false">IF(AND(Z$3&gt;=$E51,Z$3&lt;=$F51),1,"")</f>
        <v/>
      </c>
      <c r="AA51" s="1" t="str">
        <f aca="false">IF(AND(AA$3&gt;=$E51,AA$3&lt;=$F51),1,"")</f>
        <v/>
      </c>
      <c r="AB51" s="1" t="str">
        <f aca="false">IF(AND(AB$3&gt;=$E51,AB$3&lt;=$F51),1,"")</f>
        <v/>
      </c>
      <c r="AC51" s="1" t="str">
        <f aca="false">IF(AND(AC$3&gt;=$E51,AC$3&lt;=$F51),1,"")</f>
        <v/>
      </c>
      <c r="AD51" s="1" t="str">
        <f aca="false">IF(AND(AD$3&gt;=$E51,AD$3&lt;=$F51),1,"")</f>
        <v/>
      </c>
      <c r="AE51" s="1" t="str">
        <f aca="false">IF(AND(AE$3&gt;=$E51,AE$3&lt;=$F51),1,"")</f>
        <v/>
      </c>
      <c r="AF51" s="1" t="str">
        <f aca="false">IF(AND(AF$3&gt;=$E51,AF$3&lt;=$F51),1,"")</f>
        <v/>
      </c>
      <c r="AG51" s="1" t="str">
        <f aca="false">IF(AND(AG$3&gt;=$E51,AG$3&lt;=$F51),1,"")</f>
        <v/>
      </c>
      <c r="AH51" s="1" t="str">
        <f aca="false">IF(AND(AH$3&gt;=$E51,AH$3&lt;=$F51),1,"")</f>
        <v/>
      </c>
      <c r="AI51" s="1" t="str">
        <f aca="false">IF(AND(AI$3&gt;=$E51,AI$3&lt;=$F51),1,"")</f>
        <v/>
      </c>
      <c r="AJ51" s="1" t="str">
        <f aca="false">IF(AND(AJ$3&gt;=$E51,AJ$3&lt;=$F51),1,"")</f>
        <v/>
      </c>
      <c r="AK51" s="1" t="str">
        <f aca="false">IF(AND(AK$3&gt;=$E51,AK$3&lt;=$F51),1,"")</f>
        <v/>
      </c>
      <c r="AL51" s="1" t="str">
        <f aca="false">IF(AND(AL$3&gt;=$E51,AL$3&lt;=$F51),1,"")</f>
        <v/>
      </c>
      <c r="AM51" s="1" t="str">
        <f aca="false">IF(AND(AM$3&gt;=$E51,AM$3&lt;=$F51),1,"")</f>
        <v/>
      </c>
      <c r="AN51" s="1" t="str">
        <f aca="false">IF(AND(AN$3&gt;=$E51,AN$3&lt;=$F51),1,"")</f>
        <v/>
      </c>
      <c r="AO51" s="1" t="str">
        <f aca="false">IF(AND(AO$3&gt;=$E51,AO$3&lt;=$F51),1,"")</f>
        <v/>
      </c>
      <c r="AP51" s="1" t="str">
        <f aca="false">IF(AND(AP$3&gt;=$E51,AP$3&lt;=$F51),1,"")</f>
        <v/>
      </c>
      <c r="AQ51" s="1" t="str">
        <f aca="false">IF(AND(AQ$3&gt;=$E51,AQ$3&lt;=$F51),1,"")</f>
        <v/>
      </c>
      <c r="AR51" s="1" t="str">
        <f aca="false">IF(AND(AR$3&gt;=$E51,AR$3&lt;=$F51),1,"")</f>
        <v/>
      </c>
      <c r="AS51" s="1" t="str">
        <f aca="false">IF(AND(AS$3&gt;=$E51,AS$3&lt;=$F51),1,"")</f>
        <v/>
      </c>
      <c r="AT51" s="1" t="str">
        <f aca="false">IF(AND(AT$3&gt;=$E51,AT$3&lt;=$F51),1,"")</f>
        <v/>
      </c>
      <c r="AU51" s="1" t="str">
        <f aca="false">IF(AND(AU$3&gt;=$E51,AU$3&lt;=$F51),1,"")</f>
        <v/>
      </c>
      <c r="AV51" s="1" t="str">
        <f aca="false">IF(AND(AV$3&gt;=$E51,AV$3&lt;=$F51),1,"")</f>
        <v/>
      </c>
      <c r="AW51" s="1" t="str">
        <f aca="false">IF(AND(AW$3&gt;=$E51,AW$3&lt;=$F51),1,"")</f>
        <v/>
      </c>
      <c r="AX51" s="1" t="str">
        <f aca="false">IF(AND(AX$3&gt;=$E51,AX$3&lt;=$F51),1,"")</f>
        <v/>
      </c>
      <c r="AY51" s="1" t="str">
        <f aca="false">IF(AND(AY$3&gt;=$E51,AY$3&lt;=$F51),1,"")</f>
        <v/>
      </c>
      <c r="AZ51" s="1" t="str">
        <f aca="false">IF(AND(AZ$3&gt;=$E51,AZ$3&lt;=$F51),1,"")</f>
        <v/>
      </c>
      <c r="BA51" s="1" t="str">
        <f aca="false">IF(AND(BA$3&gt;=$E51,BA$3&lt;=$F51),1,"")</f>
        <v/>
      </c>
      <c r="BB51" s="1" t="str">
        <f aca="false">IF(AND(BB$3&gt;=$E51,BB$3&lt;=$F51),1,"")</f>
        <v/>
      </c>
      <c r="BC51" s="1" t="str">
        <f aca="false">IF(AND(BC$3&gt;=$E51,BC$3&lt;=$F51),1,"")</f>
        <v/>
      </c>
      <c r="BD51" s="1" t="str">
        <f aca="false">IF(AND(BD$3&gt;=$E51,BD$3&lt;=$F51),1,"")</f>
        <v/>
      </c>
      <c r="BE51" s="1" t="str">
        <f aca="false">IF(AND(BE$3&gt;=$E51,BE$3&lt;=$F51),1,"")</f>
        <v/>
      </c>
      <c r="BF51" s="1" t="str">
        <f aca="false">IF(AND(BF$3&gt;=$E51,BF$3&lt;=$F51),1,"")</f>
        <v/>
      </c>
      <c r="BG51" s="1" t="str">
        <f aca="false">IF(AND(BG$3&gt;=$E51,BG$3&lt;=$F51),1,"")</f>
        <v/>
      </c>
      <c r="BH51" s="1" t="str">
        <f aca="false">IF(AND(BH$3&gt;=$E51,BH$3&lt;=$F51),1,"")</f>
        <v/>
      </c>
      <c r="BI51" s="1" t="str">
        <f aca="false">IF(AND(BI$3&gt;=$E51,BI$3&lt;=$F51),1,"")</f>
        <v/>
      </c>
      <c r="BJ51" s="1" t="str">
        <f aca="false">IF(AND(BJ$3&gt;=$E51,BJ$3&lt;=$F51),1,"")</f>
        <v/>
      </c>
      <c r="BK51" s="1" t="str">
        <f aca="false">IF(AND(BK$3&gt;=$E51,BK$3&lt;=$F51),1,"")</f>
        <v/>
      </c>
      <c r="BL51" s="1" t="str">
        <f aca="false">IF(AND(BL$3&gt;=$E51,BL$3&lt;=$F51),1,"")</f>
        <v/>
      </c>
      <c r="BM51" s="1" t="str">
        <f aca="false">IF(AND(BM$3&gt;=$E51,BM$3&lt;=$F51),1,"")</f>
        <v/>
      </c>
      <c r="BN51" s="1" t="str">
        <f aca="false">IF(AND(BN$3&gt;=$E51,BN$3&lt;=$F51),1,"")</f>
        <v/>
      </c>
      <c r="BO51" s="1" t="str">
        <f aca="false">IF(AND(BO$3&gt;=$E51,BO$3&lt;=$F51),1,"")</f>
        <v/>
      </c>
      <c r="BP51" s="1" t="str">
        <f aca="false">IF(AND(BP$3&gt;=$E51,BP$3&lt;=$F51),1,"")</f>
        <v/>
      </c>
      <c r="BQ51" s="1" t="str">
        <f aca="false">IF(AND(BQ$3&gt;=$E51,BQ$3&lt;=$F51),1,"")</f>
        <v/>
      </c>
      <c r="BR51" s="1" t="str">
        <f aca="false">IF(AND(BR$3&gt;=$E51,BR$3&lt;=$F51),1,"")</f>
        <v/>
      </c>
    </row>
    <row r="52" customFormat="false" ht="15" hidden="false" customHeight="true" outlineLevel="0" collapsed="false">
      <c r="A52" s="1" t="s">
        <v>438</v>
      </c>
      <c r="B52" s="1" t="n">
        <v>17</v>
      </c>
      <c r="C52" s="95" t="s">
        <v>398</v>
      </c>
      <c r="D52" s="1" t="n">
        <v>2</v>
      </c>
      <c r="E52" s="89" t="n">
        <v>46179.2916666667</v>
      </c>
      <c r="F52" s="89" t="n">
        <v>46264.2916666667</v>
      </c>
      <c r="G52" s="95" t="s">
        <v>161</v>
      </c>
      <c r="H52" s="1" t="str">
        <f aca="false">IF($A52="","",TEXT($F52,"MMM-YYYY"))</f>
        <v>Aug-2026</v>
      </c>
      <c r="I52" s="95" t="s">
        <v>150</v>
      </c>
      <c r="J52" s="96" t="n">
        <f aca="false">IF($A52="","",$F52+30)</f>
        <v>46294.2916666667</v>
      </c>
      <c r="K52" s="1" t="s">
        <v>159</v>
      </c>
      <c r="L52" s="1" t="str">
        <f aca="false">IF(AND(L$3&gt;=$E52,L$3&lt;=$F52),1,"")</f>
        <v/>
      </c>
      <c r="M52" s="1" t="str">
        <f aca="false">IF(AND(M$3&gt;=$E52,M$3&lt;=$F52),1,"")</f>
        <v/>
      </c>
      <c r="N52" s="1" t="str">
        <f aca="false">IF(AND(N$3&gt;=$E52,N$3&lt;=$F52),1,"")</f>
        <v/>
      </c>
      <c r="O52" s="1" t="str">
        <f aca="false">IF(AND(O$3&gt;=$E52,O$3&lt;=$F52),1,"")</f>
        <v/>
      </c>
      <c r="P52" s="1" t="str">
        <f aca="false">IF(AND(P$3&gt;=$E52,P$3&lt;=$F52),1,"")</f>
        <v/>
      </c>
      <c r="Q52" s="1" t="str">
        <f aca="false">IF(AND(Q$3&gt;=$E52,Q$3&lt;=$F52),1,"")</f>
        <v/>
      </c>
      <c r="R52" s="1" t="str">
        <f aca="false">IF(AND(R$3&gt;=$E52,R$3&lt;=$F52),1,"")</f>
        <v/>
      </c>
      <c r="S52" s="1" t="str">
        <f aca="false">IF(AND(S$3&gt;=$E52,S$3&lt;=$F52),1,"")</f>
        <v/>
      </c>
      <c r="T52" s="1" t="str">
        <f aca="false">IF(AND(T$3&gt;=$E52,T$3&lt;=$F52),1,"")</f>
        <v/>
      </c>
      <c r="U52" s="1" t="str">
        <f aca="false">IF(AND(U$3&gt;=$E52,U$3&lt;=$F52),1,"")</f>
        <v/>
      </c>
      <c r="V52" s="1" t="str">
        <f aca="false">IF(AND(V$3&gt;=$E52,V$3&lt;=$F52),1,"")</f>
        <v/>
      </c>
      <c r="W52" s="1" t="str">
        <f aca="false">IF(AND(W$3&gt;=$E52,W$3&lt;=$F52),1,"")</f>
        <v/>
      </c>
      <c r="X52" s="1" t="str">
        <f aca="false">IF(AND(X$3&gt;=$E52,X$3&lt;=$F52),1,"")</f>
        <v/>
      </c>
      <c r="Y52" s="1" t="str">
        <f aca="false">IF(AND(Y$3&gt;=$E52,Y$3&lt;=$F52),1,"")</f>
        <v/>
      </c>
      <c r="Z52" s="1" t="str">
        <f aca="false">IF(AND(Z$3&gt;=$E52,Z$3&lt;=$F52),1,"")</f>
        <v/>
      </c>
      <c r="AA52" s="1" t="str">
        <f aca="false">IF(AND(AA$3&gt;=$E52,AA$3&lt;=$F52),1,"")</f>
        <v/>
      </c>
      <c r="AB52" s="1" t="str">
        <f aca="false">IF(AND(AB$3&gt;=$E52,AB$3&lt;=$F52),1,"")</f>
        <v/>
      </c>
      <c r="AC52" s="1" t="str">
        <f aca="false">IF(AND(AC$3&gt;=$E52,AC$3&lt;=$F52),1,"")</f>
        <v/>
      </c>
      <c r="AD52" s="1" t="str">
        <f aca="false">IF(AND(AD$3&gt;=$E52,AD$3&lt;=$F52),1,"")</f>
        <v/>
      </c>
      <c r="AE52" s="1" t="str">
        <f aca="false">IF(AND(AE$3&gt;=$E52,AE$3&lt;=$F52),1,"")</f>
        <v/>
      </c>
      <c r="AF52" s="1" t="str">
        <f aca="false">IF(AND(AF$3&gt;=$E52,AF$3&lt;=$F52),1,"")</f>
        <v/>
      </c>
      <c r="AG52" s="1" t="str">
        <f aca="false">IF(AND(AG$3&gt;=$E52,AG$3&lt;=$F52),1,"")</f>
        <v/>
      </c>
      <c r="AH52" s="1" t="str">
        <f aca="false">IF(AND(AH$3&gt;=$E52,AH$3&lt;=$F52),1,"")</f>
        <v/>
      </c>
      <c r="AI52" s="1" t="str">
        <f aca="false">IF(AND(AI$3&gt;=$E52,AI$3&lt;=$F52),1,"")</f>
        <v/>
      </c>
      <c r="AJ52" s="1" t="str">
        <f aca="false">IF(AND(AJ$3&gt;=$E52,AJ$3&lt;=$F52),1,"")</f>
        <v/>
      </c>
      <c r="AK52" s="1" t="str">
        <f aca="false">IF(AND(AK$3&gt;=$E52,AK$3&lt;=$F52),1,"")</f>
        <v/>
      </c>
      <c r="AL52" s="1" t="str">
        <f aca="false">IF(AND(AL$3&gt;=$E52,AL$3&lt;=$F52),1,"")</f>
        <v/>
      </c>
      <c r="AM52" s="1" t="str">
        <f aca="false">IF(AND(AM$3&gt;=$E52,AM$3&lt;=$F52),1,"")</f>
        <v/>
      </c>
      <c r="AN52" s="1" t="str">
        <f aca="false">IF(AND(AN$3&gt;=$E52,AN$3&lt;=$F52),1,"")</f>
        <v/>
      </c>
      <c r="AO52" s="1" t="str">
        <f aca="false">IF(AND(AO$3&gt;=$E52,AO$3&lt;=$F52),1,"")</f>
        <v/>
      </c>
      <c r="AP52" s="1" t="str">
        <f aca="false">IF(AND(AP$3&gt;=$E52,AP$3&lt;=$F52),1,"")</f>
        <v/>
      </c>
      <c r="AQ52" s="1" t="str">
        <f aca="false">IF(AND(AQ$3&gt;=$E52,AQ$3&lt;=$F52),1,"")</f>
        <v/>
      </c>
      <c r="AR52" s="1" t="str">
        <f aca="false">IF(AND(AR$3&gt;=$E52,AR$3&lt;=$F52),1,"")</f>
        <v/>
      </c>
      <c r="AS52" s="1" t="str">
        <f aca="false">IF(AND(AS$3&gt;=$E52,AS$3&lt;=$F52),1,"")</f>
        <v/>
      </c>
      <c r="AT52" s="1" t="str">
        <f aca="false">IF(AND(AT$3&gt;=$E52,AT$3&lt;=$F52),1,"")</f>
        <v/>
      </c>
      <c r="AU52" s="1" t="str">
        <f aca="false">IF(AND(AU$3&gt;=$E52,AU$3&lt;=$F52),1,"")</f>
        <v/>
      </c>
      <c r="AV52" s="1" t="str">
        <f aca="false">IF(AND(AV$3&gt;=$E52,AV$3&lt;=$F52),1,"")</f>
        <v/>
      </c>
      <c r="AW52" s="1" t="str">
        <f aca="false">IF(AND(AW$3&gt;=$E52,AW$3&lt;=$F52),1,"")</f>
        <v/>
      </c>
      <c r="AX52" s="1" t="str">
        <f aca="false">IF(AND(AX$3&gt;=$E52,AX$3&lt;=$F52),1,"")</f>
        <v/>
      </c>
      <c r="AY52" s="1" t="str">
        <f aca="false">IF(AND(AY$3&gt;=$E52,AY$3&lt;=$F52),1,"")</f>
        <v/>
      </c>
      <c r="AZ52" s="1" t="str">
        <f aca="false">IF(AND(AZ$3&gt;=$E52,AZ$3&lt;=$F52),1,"")</f>
        <v/>
      </c>
      <c r="BA52" s="1" t="str">
        <f aca="false">IF(AND(BA$3&gt;=$E52,BA$3&lt;=$F52),1,"")</f>
        <v/>
      </c>
      <c r="BB52" s="1" t="str">
        <f aca="false">IF(AND(BB$3&gt;=$E52,BB$3&lt;=$F52),1,"")</f>
        <v/>
      </c>
      <c r="BC52" s="1" t="str">
        <f aca="false">IF(AND(BC$3&gt;=$E52,BC$3&lt;=$F52),1,"")</f>
        <v/>
      </c>
      <c r="BD52" s="1" t="str">
        <f aca="false">IF(AND(BD$3&gt;=$E52,BD$3&lt;=$F52),1,"")</f>
        <v/>
      </c>
      <c r="BE52" s="1" t="str">
        <f aca="false">IF(AND(BE$3&gt;=$E52,BE$3&lt;=$F52),1,"")</f>
        <v/>
      </c>
      <c r="BF52" s="1" t="str">
        <f aca="false">IF(AND(BF$3&gt;=$E52,BF$3&lt;=$F52),1,"")</f>
        <v/>
      </c>
      <c r="BG52" s="1" t="str">
        <f aca="false">IF(AND(BG$3&gt;=$E52,BG$3&lt;=$F52),1,"")</f>
        <v/>
      </c>
      <c r="BH52" s="1" t="str">
        <f aca="false">IF(AND(BH$3&gt;=$E52,BH$3&lt;=$F52),1,"")</f>
        <v/>
      </c>
      <c r="BI52" s="1" t="str">
        <f aca="false">IF(AND(BI$3&gt;=$E52,BI$3&lt;=$F52),1,"")</f>
        <v/>
      </c>
      <c r="BJ52" s="1" t="str">
        <f aca="false">IF(AND(BJ$3&gt;=$E52,BJ$3&lt;=$F52),1,"")</f>
        <v/>
      </c>
      <c r="BK52" s="1" t="str">
        <f aca="false">IF(AND(BK$3&gt;=$E52,BK$3&lt;=$F52),1,"")</f>
        <v/>
      </c>
      <c r="BL52" s="1" t="str">
        <f aca="false">IF(AND(BL$3&gt;=$E52,BL$3&lt;=$F52),1,"")</f>
        <v/>
      </c>
      <c r="BM52" s="1" t="str">
        <f aca="false">IF(AND(BM$3&gt;=$E52,BM$3&lt;=$F52),1,"")</f>
        <v/>
      </c>
      <c r="BN52" s="1" t="str">
        <f aca="false">IF(AND(BN$3&gt;=$E52,BN$3&lt;=$F52),1,"")</f>
        <v/>
      </c>
      <c r="BO52" s="1" t="str">
        <f aca="false">IF(AND(BO$3&gt;=$E52,BO$3&lt;=$F52),1,"")</f>
        <v/>
      </c>
      <c r="BP52" s="1" t="str">
        <f aca="false">IF(AND(BP$3&gt;=$E52,BP$3&lt;=$F52),1,"")</f>
        <v/>
      </c>
      <c r="BQ52" s="1" t="str">
        <f aca="false">IF(AND(BQ$3&gt;=$E52,BQ$3&lt;=$F52),1,"")</f>
        <v/>
      </c>
      <c r="BR52" s="1" t="str">
        <f aca="false">IF(AND(BR$3&gt;=$E52,BR$3&lt;=$F52),1,"")</f>
        <v/>
      </c>
    </row>
    <row r="53" customFormat="false" ht="15" hidden="false" customHeight="true" outlineLevel="0" collapsed="false">
      <c r="A53" s="1" t="s">
        <v>439</v>
      </c>
      <c r="B53" s="1" t="n">
        <v>17</v>
      </c>
      <c r="C53" s="95" t="s">
        <v>390</v>
      </c>
      <c r="D53" s="1" t="n">
        <v>1</v>
      </c>
      <c r="E53" s="89" t="n">
        <v>46219.2916666667</v>
      </c>
      <c r="F53" s="89" t="n">
        <v>46244.2916666667</v>
      </c>
      <c r="G53" s="95" t="s">
        <v>146</v>
      </c>
      <c r="H53" s="1" t="str">
        <f aca="false">IF($A53="","",TEXT($F53,"MMM-YYYY"))</f>
        <v>Aug-2026</v>
      </c>
      <c r="I53" s="95" t="s">
        <v>147</v>
      </c>
      <c r="J53" s="96" t="n">
        <f aca="false">IF($A53="","",$F53+30)</f>
        <v>46274.2916666667</v>
      </c>
      <c r="K53" s="1" t="s">
        <v>155</v>
      </c>
      <c r="L53" s="1" t="str">
        <f aca="false">IF(AND(L$3&gt;=$E53,L$3&lt;=$F53),1,"")</f>
        <v/>
      </c>
      <c r="M53" s="1" t="str">
        <f aca="false">IF(AND(M$3&gt;=$E53,M$3&lt;=$F53),1,"")</f>
        <v/>
      </c>
      <c r="N53" s="1" t="str">
        <f aca="false">IF(AND(N$3&gt;=$E53,N$3&lt;=$F53),1,"")</f>
        <v/>
      </c>
      <c r="O53" s="1" t="str">
        <f aca="false">IF(AND(O$3&gt;=$E53,O$3&lt;=$F53),1,"")</f>
        <v/>
      </c>
      <c r="P53" s="1" t="str">
        <f aca="false">IF(AND(P$3&gt;=$E53,P$3&lt;=$F53),1,"")</f>
        <v/>
      </c>
      <c r="Q53" s="1" t="str">
        <f aca="false">IF(AND(Q$3&gt;=$E53,Q$3&lt;=$F53),1,"")</f>
        <v/>
      </c>
      <c r="R53" s="1" t="str">
        <f aca="false">IF(AND(R$3&gt;=$E53,R$3&lt;=$F53),1,"")</f>
        <v/>
      </c>
      <c r="S53" s="1" t="str">
        <f aca="false">IF(AND(S$3&gt;=$E53,S$3&lt;=$F53),1,"")</f>
        <v/>
      </c>
      <c r="T53" s="1" t="str">
        <f aca="false">IF(AND(T$3&gt;=$E53,T$3&lt;=$F53),1,"")</f>
        <v/>
      </c>
      <c r="U53" s="1" t="str">
        <f aca="false">IF(AND(U$3&gt;=$E53,U$3&lt;=$F53),1,"")</f>
        <v/>
      </c>
      <c r="V53" s="1" t="str">
        <f aca="false">IF(AND(V$3&gt;=$E53,V$3&lt;=$F53),1,"")</f>
        <v/>
      </c>
      <c r="W53" s="1" t="str">
        <f aca="false">IF(AND(W$3&gt;=$E53,W$3&lt;=$F53),1,"")</f>
        <v/>
      </c>
      <c r="X53" s="1" t="str">
        <f aca="false">IF(AND(X$3&gt;=$E53,X$3&lt;=$F53),1,"")</f>
        <v/>
      </c>
      <c r="Y53" s="1" t="str">
        <f aca="false">IF(AND(Y$3&gt;=$E53,Y$3&lt;=$F53),1,"")</f>
        <v/>
      </c>
      <c r="Z53" s="1" t="str">
        <f aca="false">IF(AND(Z$3&gt;=$E53,Z$3&lt;=$F53),1,"")</f>
        <v/>
      </c>
      <c r="AA53" s="1" t="str">
        <f aca="false">IF(AND(AA$3&gt;=$E53,AA$3&lt;=$F53),1,"")</f>
        <v/>
      </c>
      <c r="AB53" s="1" t="str">
        <f aca="false">IF(AND(AB$3&gt;=$E53,AB$3&lt;=$F53),1,"")</f>
        <v/>
      </c>
      <c r="AC53" s="1" t="str">
        <f aca="false">IF(AND(AC$3&gt;=$E53,AC$3&lt;=$F53),1,"")</f>
        <v/>
      </c>
      <c r="AD53" s="1" t="str">
        <f aca="false">IF(AND(AD$3&gt;=$E53,AD$3&lt;=$F53),1,"")</f>
        <v/>
      </c>
      <c r="AE53" s="1" t="str">
        <f aca="false">IF(AND(AE$3&gt;=$E53,AE$3&lt;=$F53),1,"")</f>
        <v/>
      </c>
      <c r="AF53" s="1" t="str">
        <f aca="false">IF(AND(AF$3&gt;=$E53,AF$3&lt;=$F53),1,"")</f>
        <v/>
      </c>
      <c r="AG53" s="1" t="str">
        <f aca="false">IF(AND(AG$3&gt;=$E53,AG$3&lt;=$F53),1,"")</f>
        <v/>
      </c>
      <c r="AH53" s="1" t="str">
        <f aca="false">IF(AND(AH$3&gt;=$E53,AH$3&lt;=$F53),1,"")</f>
        <v/>
      </c>
      <c r="AI53" s="1" t="str">
        <f aca="false">IF(AND(AI$3&gt;=$E53,AI$3&lt;=$F53),1,"")</f>
        <v/>
      </c>
      <c r="AJ53" s="1" t="str">
        <f aca="false">IF(AND(AJ$3&gt;=$E53,AJ$3&lt;=$F53),1,"")</f>
        <v/>
      </c>
      <c r="AK53" s="1" t="str">
        <f aca="false">IF(AND(AK$3&gt;=$E53,AK$3&lt;=$F53),1,"")</f>
        <v/>
      </c>
      <c r="AL53" s="1" t="str">
        <f aca="false">IF(AND(AL$3&gt;=$E53,AL$3&lt;=$F53),1,"")</f>
        <v/>
      </c>
      <c r="AM53" s="1" t="str">
        <f aca="false">IF(AND(AM$3&gt;=$E53,AM$3&lt;=$F53),1,"")</f>
        <v/>
      </c>
      <c r="AN53" s="1" t="str">
        <f aca="false">IF(AND(AN$3&gt;=$E53,AN$3&lt;=$F53),1,"")</f>
        <v/>
      </c>
      <c r="AO53" s="1" t="str">
        <f aca="false">IF(AND(AO$3&gt;=$E53,AO$3&lt;=$F53),1,"")</f>
        <v/>
      </c>
      <c r="AP53" s="1" t="str">
        <f aca="false">IF(AND(AP$3&gt;=$E53,AP$3&lt;=$F53),1,"")</f>
        <v/>
      </c>
      <c r="AQ53" s="1" t="str">
        <f aca="false">IF(AND(AQ$3&gt;=$E53,AQ$3&lt;=$F53),1,"")</f>
        <v/>
      </c>
      <c r="AR53" s="1" t="str">
        <f aca="false">IF(AND(AR$3&gt;=$E53,AR$3&lt;=$F53),1,"")</f>
        <v/>
      </c>
      <c r="AS53" s="1" t="str">
        <f aca="false">IF(AND(AS$3&gt;=$E53,AS$3&lt;=$F53),1,"")</f>
        <v/>
      </c>
      <c r="AT53" s="1" t="str">
        <f aca="false">IF(AND(AT$3&gt;=$E53,AT$3&lt;=$F53),1,"")</f>
        <v/>
      </c>
      <c r="AU53" s="1" t="str">
        <f aca="false">IF(AND(AU$3&gt;=$E53,AU$3&lt;=$F53),1,"")</f>
        <v/>
      </c>
      <c r="AV53" s="1" t="str">
        <f aca="false">IF(AND(AV$3&gt;=$E53,AV$3&lt;=$F53),1,"")</f>
        <v/>
      </c>
      <c r="AW53" s="1" t="str">
        <f aca="false">IF(AND(AW$3&gt;=$E53,AW$3&lt;=$F53),1,"")</f>
        <v/>
      </c>
      <c r="AX53" s="1" t="str">
        <f aca="false">IF(AND(AX$3&gt;=$E53,AX$3&lt;=$F53),1,"")</f>
        <v/>
      </c>
      <c r="AY53" s="1" t="str">
        <f aca="false">IF(AND(AY$3&gt;=$E53,AY$3&lt;=$F53),1,"")</f>
        <v/>
      </c>
      <c r="AZ53" s="1" t="str">
        <f aca="false">IF(AND(AZ$3&gt;=$E53,AZ$3&lt;=$F53),1,"")</f>
        <v/>
      </c>
      <c r="BA53" s="1" t="str">
        <f aca="false">IF(AND(BA$3&gt;=$E53,BA$3&lt;=$F53),1,"")</f>
        <v/>
      </c>
      <c r="BB53" s="1" t="str">
        <f aca="false">IF(AND(BB$3&gt;=$E53,BB$3&lt;=$F53),1,"")</f>
        <v/>
      </c>
      <c r="BC53" s="1" t="str">
        <f aca="false">IF(AND(BC$3&gt;=$E53,BC$3&lt;=$F53),1,"")</f>
        <v/>
      </c>
      <c r="BD53" s="1" t="str">
        <f aca="false">IF(AND(BD$3&gt;=$E53,BD$3&lt;=$F53),1,"")</f>
        <v/>
      </c>
      <c r="BE53" s="1" t="str">
        <f aca="false">IF(AND(BE$3&gt;=$E53,BE$3&lt;=$F53),1,"")</f>
        <v/>
      </c>
      <c r="BF53" s="1" t="str">
        <f aca="false">IF(AND(BF$3&gt;=$E53,BF$3&lt;=$F53),1,"")</f>
        <v/>
      </c>
      <c r="BG53" s="1" t="str">
        <f aca="false">IF(AND(BG$3&gt;=$E53,BG$3&lt;=$F53),1,"")</f>
        <v/>
      </c>
      <c r="BH53" s="1" t="str">
        <f aca="false">IF(AND(BH$3&gt;=$E53,BH$3&lt;=$F53),1,"")</f>
        <v/>
      </c>
      <c r="BI53" s="1" t="str">
        <f aca="false">IF(AND(BI$3&gt;=$E53,BI$3&lt;=$F53),1,"")</f>
        <v/>
      </c>
      <c r="BJ53" s="1" t="str">
        <f aca="false">IF(AND(BJ$3&gt;=$E53,BJ$3&lt;=$F53),1,"")</f>
        <v/>
      </c>
      <c r="BK53" s="1" t="str">
        <f aca="false">IF(AND(BK$3&gt;=$E53,BK$3&lt;=$F53),1,"")</f>
        <v/>
      </c>
      <c r="BL53" s="1" t="str">
        <f aca="false">IF(AND(BL$3&gt;=$E53,BL$3&lt;=$F53),1,"")</f>
        <v/>
      </c>
      <c r="BM53" s="1" t="str">
        <f aca="false">IF(AND(BM$3&gt;=$E53,BM$3&lt;=$F53),1,"")</f>
        <v/>
      </c>
      <c r="BN53" s="1" t="str">
        <f aca="false">IF(AND(BN$3&gt;=$E53,BN$3&lt;=$F53),1,"")</f>
        <v/>
      </c>
      <c r="BO53" s="1" t="str">
        <f aca="false">IF(AND(BO$3&gt;=$E53,BO$3&lt;=$F53),1,"")</f>
        <v/>
      </c>
      <c r="BP53" s="1" t="str">
        <f aca="false">IF(AND(BP$3&gt;=$E53,BP$3&lt;=$F53),1,"")</f>
        <v/>
      </c>
      <c r="BQ53" s="1" t="str">
        <f aca="false">IF(AND(BQ$3&gt;=$E53,BQ$3&lt;=$F53),1,"")</f>
        <v/>
      </c>
      <c r="BR53" s="1" t="str">
        <f aca="false">IF(AND(BR$3&gt;=$E53,BR$3&lt;=$F53),1,"")</f>
        <v/>
      </c>
    </row>
    <row r="54" customFormat="false" ht="15" hidden="false" customHeight="true" outlineLevel="0" collapsed="false">
      <c r="C54" s="95"/>
      <c r="G54" s="95"/>
      <c r="I54" s="95"/>
    </row>
    <row r="55" customFormat="false" ht="15" hidden="false" customHeight="true" outlineLevel="0" collapsed="false">
      <c r="C55" s="95"/>
      <c r="G55" s="95"/>
      <c r="I55" s="95"/>
    </row>
    <row r="56" customFormat="false" ht="15" hidden="false" customHeight="true" outlineLevel="0" collapsed="false">
      <c r="C56" s="95"/>
      <c r="G56" s="95"/>
      <c r="I56" s="95"/>
    </row>
    <row r="57" customFormat="false" ht="15" hidden="false" customHeight="true" outlineLevel="0" collapsed="false">
      <c r="C57" s="95"/>
      <c r="G57" s="95"/>
      <c r="I57" s="95"/>
    </row>
    <row r="58" customFormat="false" ht="15" hidden="false" customHeight="true" outlineLevel="0" collapsed="false">
      <c r="C58" s="95"/>
      <c r="G58" s="95"/>
      <c r="I58" s="95"/>
    </row>
    <row r="59" customFormat="false" ht="15" hidden="false" customHeight="true" outlineLevel="0" collapsed="false">
      <c r="C59" s="95"/>
      <c r="G59" s="95"/>
      <c r="I59" s="95"/>
    </row>
    <row r="60" customFormat="false" ht="15" hidden="false" customHeight="true" outlineLevel="0" collapsed="false">
      <c r="C60" s="95"/>
      <c r="G60" s="95"/>
      <c r="I60" s="95"/>
    </row>
    <row r="61" customFormat="false" ht="15" hidden="false" customHeight="true" outlineLevel="0" collapsed="false">
      <c r="C61" s="95"/>
      <c r="G61" s="95"/>
      <c r="I61" s="95"/>
    </row>
    <row r="62" customFormat="false" ht="15" hidden="false" customHeight="true" outlineLevel="0" collapsed="false">
      <c r="C62" s="95"/>
      <c r="G62" s="95"/>
      <c r="I62" s="95"/>
    </row>
    <row r="63" customFormat="false" ht="15" hidden="false" customHeight="true" outlineLevel="0" collapsed="false">
      <c r="C63" s="95"/>
      <c r="G63" s="95"/>
      <c r="I63" s="95"/>
    </row>
    <row r="64" customFormat="false" ht="15" hidden="false" customHeight="true" outlineLevel="0" collapsed="false">
      <c r="C64" s="95"/>
      <c r="G64" s="95"/>
      <c r="I64" s="95"/>
    </row>
    <row r="65" customFormat="false" ht="15" hidden="false" customHeight="true" outlineLevel="0" collapsed="false">
      <c r="C65" s="95"/>
      <c r="G65" s="95"/>
      <c r="I65" s="95"/>
    </row>
    <row r="66" customFormat="false" ht="15" hidden="false" customHeight="true" outlineLevel="0" collapsed="false">
      <c r="C66" s="95"/>
      <c r="G66" s="95"/>
      <c r="I66" s="95"/>
    </row>
    <row r="67" customFormat="false" ht="15" hidden="false" customHeight="true" outlineLevel="0" collapsed="false">
      <c r="C67" s="95"/>
      <c r="G67" s="95"/>
      <c r="I67" s="95"/>
    </row>
    <row r="68" customFormat="false" ht="15" hidden="false" customHeight="true" outlineLevel="0" collapsed="false">
      <c r="C68" s="95"/>
      <c r="G68" s="95"/>
      <c r="I68" s="95"/>
    </row>
    <row r="69" customFormat="false" ht="15" hidden="false" customHeight="true" outlineLevel="0" collapsed="false">
      <c r="C69" s="95"/>
      <c r="G69" s="95"/>
      <c r="I69" s="95"/>
    </row>
    <row r="70" customFormat="false" ht="15" hidden="false" customHeight="true" outlineLevel="0" collapsed="false">
      <c r="C70" s="95"/>
      <c r="G70" s="95"/>
      <c r="I70" s="95"/>
    </row>
    <row r="71" customFormat="false" ht="15" hidden="false" customHeight="true" outlineLevel="0" collapsed="false">
      <c r="C71" s="95"/>
      <c r="G71" s="95"/>
      <c r="I71" s="95"/>
    </row>
    <row r="72" customFormat="false" ht="15" hidden="false" customHeight="true" outlineLevel="0" collapsed="false">
      <c r="C72" s="95"/>
      <c r="G72" s="95"/>
      <c r="I72" s="95"/>
    </row>
    <row r="73" customFormat="false" ht="15" hidden="false" customHeight="true" outlineLevel="0" collapsed="false">
      <c r="C73" s="95"/>
      <c r="G73" s="95"/>
      <c r="I73" s="95"/>
    </row>
    <row r="74" customFormat="false" ht="15" hidden="false" customHeight="true" outlineLevel="0" collapsed="false">
      <c r="C74" s="95"/>
      <c r="G74" s="95"/>
      <c r="I74" s="95"/>
    </row>
    <row r="75" customFormat="false" ht="15" hidden="false" customHeight="true" outlineLevel="0" collapsed="false">
      <c r="C75" s="95"/>
      <c r="G75" s="95"/>
      <c r="I75" s="95"/>
    </row>
    <row r="76" customFormat="false" ht="15" hidden="false" customHeight="true" outlineLevel="0" collapsed="false">
      <c r="C76" s="95"/>
      <c r="G76" s="95"/>
      <c r="I76" s="95"/>
    </row>
    <row r="77" customFormat="false" ht="15" hidden="false" customHeight="true" outlineLevel="0" collapsed="false">
      <c r="C77" s="95"/>
      <c r="G77" s="95"/>
      <c r="I77" s="95"/>
    </row>
    <row r="78" customFormat="false" ht="15" hidden="false" customHeight="true" outlineLevel="0" collapsed="false">
      <c r="C78" s="95"/>
      <c r="G78" s="95"/>
      <c r="I78" s="95"/>
    </row>
    <row r="79" customFormat="false" ht="15" hidden="false" customHeight="true" outlineLevel="0" collapsed="false">
      <c r="C79" s="95"/>
      <c r="G79" s="95"/>
      <c r="I79" s="95"/>
    </row>
    <row r="80" customFormat="false" ht="15" hidden="false" customHeight="true" outlineLevel="0" collapsed="false">
      <c r="C80" s="95"/>
      <c r="G80" s="95"/>
      <c r="I80" s="95"/>
    </row>
    <row r="81" customFormat="false" ht="15" hidden="false" customHeight="true" outlineLevel="0" collapsed="false">
      <c r="C81" s="95"/>
      <c r="G81" s="95"/>
      <c r="I81" s="95"/>
    </row>
    <row r="82" customFormat="false" ht="15" hidden="false" customHeight="true" outlineLevel="0" collapsed="false">
      <c r="C82" s="95"/>
      <c r="G82" s="95"/>
      <c r="I82" s="95"/>
    </row>
    <row r="83" customFormat="false" ht="15" hidden="false" customHeight="true" outlineLevel="0" collapsed="false">
      <c r="C83" s="95"/>
      <c r="G83" s="95"/>
      <c r="I83" s="95"/>
    </row>
    <row r="84" customFormat="false" ht="15" hidden="false" customHeight="true" outlineLevel="0" collapsed="false">
      <c r="C84" s="95"/>
      <c r="G84" s="95"/>
      <c r="I84" s="95"/>
    </row>
    <row r="85" customFormat="false" ht="15" hidden="false" customHeight="true" outlineLevel="0" collapsed="false">
      <c r="C85" s="95"/>
      <c r="G85" s="95"/>
      <c r="I85" s="95"/>
    </row>
    <row r="86" customFormat="false" ht="15" hidden="false" customHeight="true" outlineLevel="0" collapsed="false">
      <c r="C86" s="95"/>
      <c r="G86" s="95"/>
      <c r="I86" s="95"/>
    </row>
    <row r="87" customFormat="false" ht="15" hidden="false" customHeight="true" outlineLevel="0" collapsed="false">
      <c r="C87" s="95"/>
      <c r="G87" s="95"/>
      <c r="I87" s="95"/>
    </row>
    <row r="88" customFormat="false" ht="15" hidden="false" customHeight="true" outlineLevel="0" collapsed="false">
      <c r="C88" s="95"/>
      <c r="G88" s="95"/>
      <c r="I88" s="95"/>
    </row>
    <row r="89" customFormat="false" ht="15" hidden="false" customHeight="true" outlineLevel="0" collapsed="false">
      <c r="C89" s="95"/>
      <c r="G89" s="95"/>
      <c r="I89" s="95"/>
    </row>
    <row r="90" customFormat="false" ht="15" hidden="false" customHeight="true" outlineLevel="0" collapsed="false">
      <c r="C90" s="95"/>
      <c r="G90" s="95"/>
      <c r="I90" s="95"/>
    </row>
    <row r="91" customFormat="false" ht="15" hidden="false" customHeight="true" outlineLevel="0" collapsed="false">
      <c r="C91" s="95"/>
      <c r="G91" s="95"/>
      <c r="I91" s="95"/>
    </row>
    <row r="92" customFormat="false" ht="15" hidden="false" customHeight="true" outlineLevel="0" collapsed="false">
      <c r="C92" s="95"/>
      <c r="G92" s="95"/>
      <c r="I92" s="95"/>
    </row>
    <row r="93" customFormat="false" ht="15" hidden="false" customHeight="true" outlineLevel="0" collapsed="false">
      <c r="C93" s="95"/>
      <c r="G93" s="95"/>
      <c r="I93" s="95"/>
    </row>
    <row r="94" customFormat="false" ht="15" hidden="false" customHeight="true" outlineLevel="0" collapsed="false">
      <c r="C94" s="95"/>
      <c r="G94" s="95"/>
      <c r="I94" s="95"/>
    </row>
    <row r="95" customFormat="false" ht="15" hidden="false" customHeight="true" outlineLevel="0" collapsed="false">
      <c r="C95" s="95"/>
      <c r="G95" s="95"/>
      <c r="I95" s="95"/>
    </row>
    <row r="96" customFormat="false" ht="15" hidden="false" customHeight="true" outlineLevel="0" collapsed="false">
      <c r="C96" s="95"/>
      <c r="G96" s="95"/>
      <c r="I96" s="95"/>
    </row>
    <row r="97" customFormat="false" ht="15" hidden="false" customHeight="true" outlineLevel="0" collapsed="false">
      <c r="C97" s="95"/>
      <c r="G97" s="95"/>
      <c r="I97" s="95"/>
    </row>
    <row r="98" customFormat="false" ht="15" hidden="false" customHeight="true" outlineLevel="0" collapsed="false">
      <c r="C98" s="95"/>
      <c r="G98" s="95"/>
      <c r="I98" s="95"/>
    </row>
    <row r="99" customFormat="false" ht="15" hidden="false" customHeight="true" outlineLevel="0" collapsed="false">
      <c r="C99" s="95"/>
      <c r="G99" s="95"/>
      <c r="I99" s="95"/>
    </row>
    <row r="100" customFormat="false" ht="15" hidden="false" customHeight="true" outlineLevel="0" collapsed="false">
      <c r="C100" s="95"/>
      <c r="G100" s="95"/>
      <c r="I100" s="95"/>
    </row>
    <row r="101" customFormat="false" ht="15" hidden="false" customHeight="true" outlineLevel="0" collapsed="false">
      <c r="C101" s="95"/>
      <c r="G101" s="95"/>
      <c r="I101" s="95"/>
    </row>
    <row r="102" customFormat="false" ht="15" hidden="false" customHeight="true" outlineLevel="0" collapsed="false">
      <c r="C102" s="95"/>
      <c r="G102" s="95"/>
      <c r="I102" s="95"/>
    </row>
    <row r="103" customFormat="false" ht="15" hidden="false" customHeight="true" outlineLevel="0" collapsed="false">
      <c r="C103" s="95"/>
      <c r="G103" s="95"/>
      <c r="I103" s="95"/>
    </row>
    <row r="104" customFormat="false" ht="15" hidden="false" customHeight="true" outlineLevel="0" collapsed="false">
      <c r="C104" s="95"/>
      <c r="G104" s="95"/>
      <c r="I104" s="95"/>
    </row>
    <row r="105" customFormat="false" ht="15" hidden="false" customHeight="true" outlineLevel="0" collapsed="false">
      <c r="C105" s="95"/>
      <c r="G105" s="95"/>
      <c r="I105" s="95"/>
    </row>
    <row r="106" customFormat="false" ht="15" hidden="false" customHeight="true" outlineLevel="0" collapsed="false">
      <c r="C106" s="95"/>
      <c r="G106" s="95"/>
      <c r="I106" s="95"/>
    </row>
    <row r="107" customFormat="false" ht="15" hidden="false" customHeight="true" outlineLevel="0" collapsed="false">
      <c r="C107" s="95"/>
      <c r="G107" s="95"/>
      <c r="I107" s="95"/>
    </row>
    <row r="108" customFormat="false" ht="15" hidden="false" customHeight="true" outlineLevel="0" collapsed="false">
      <c r="C108" s="95"/>
      <c r="G108" s="95"/>
      <c r="I108" s="95"/>
    </row>
    <row r="109" customFormat="false" ht="15" hidden="false" customHeight="true" outlineLevel="0" collapsed="false">
      <c r="C109" s="95"/>
      <c r="G109" s="95"/>
      <c r="I109" s="95"/>
    </row>
    <row r="110" customFormat="false" ht="15" hidden="false" customHeight="true" outlineLevel="0" collapsed="false">
      <c r="C110" s="95"/>
      <c r="G110" s="95"/>
      <c r="I110" s="95"/>
    </row>
    <row r="111" customFormat="false" ht="15" hidden="false" customHeight="true" outlineLevel="0" collapsed="false">
      <c r="C111" s="95"/>
      <c r="G111" s="95"/>
      <c r="I111" s="95"/>
    </row>
    <row r="112" customFormat="false" ht="15" hidden="false" customHeight="true" outlineLevel="0" collapsed="false">
      <c r="C112" s="95"/>
      <c r="G112" s="95"/>
      <c r="I112" s="95"/>
    </row>
    <row r="113" customFormat="false" ht="15" hidden="false" customHeight="true" outlineLevel="0" collapsed="false">
      <c r="C113" s="95"/>
      <c r="G113" s="95"/>
      <c r="I113" s="95"/>
    </row>
    <row r="114" customFormat="false" ht="15" hidden="false" customHeight="true" outlineLevel="0" collapsed="false">
      <c r="C114" s="95"/>
      <c r="G114" s="95"/>
      <c r="I114" s="95"/>
    </row>
    <row r="115" customFormat="false" ht="15" hidden="false" customHeight="true" outlineLevel="0" collapsed="false">
      <c r="C115" s="95"/>
      <c r="G115" s="95"/>
      <c r="I115" s="95"/>
    </row>
    <row r="116" customFormat="false" ht="15" hidden="false" customHeight="true" outlineLevel="0" collapsed="false">
      <c r="C116" s="95"/>
      <c r="G116" s="95"/>
      <c r="I116" s="95"/>
    </row>
    <row r="117" customFormat="false" ht="15" hidden="false" customHeight="true" outlineLevel="0" collapsed="false">
      <c r="C117" s="95"/>
      <c r="G117" s="95"/>
      <c r="I117" s="95"/>
    </row>
    <row r="118" customFormat="false" ht="15" hidden="false" customHeight="true" outlineLevel="0" collapsed="false">
      <c r="C118" s="95"/>
      <c r="G118" s="95"/>
      <c r="I118" s="95"/>
    </row>
    <row r="119" customFormat="false" ht="15" hidden="false" customHeight="true" outlineLevel="0" collapsed="false">
      <c r="C119" s="95"/>
      <c r="G119" s="95"/>
      <c r="I119" s="95"/>
    </row>
    <row r="120" customFormat="false" ht="15" hidden="false" customHeight="true" outlineLevel="0" collapsed="false">
      <c r="C120" s="95"/>
      <c r="G120" s="95"/>
      <c r="I120" s="95"/>
    </row>
    <row r="121" customFormat="false" ht="15" hidden="false" customHeight="true" outlineLevel="0" collapsed="false">
      <c r="C121" s="95"/>
      <c r="G121" s="95"/>
      <c r="I121" s="95"/>
    </row>
    <row r="122" customFormat="false" ht="15" hidden="false" customHeight="true" outlineLevel="0" collapsed="false">
      <c r="C122" s="95"/>
      <c r="G122" s="95"/>
      <c r="I122" s="95"/>
    </row>
    <row r="123" customFormat="false" ht="15" hidden="false" customHeight="true" outlineLevel="0" collapsed="false">
      <c r="C123" s="95"/>
      <c r="G123" s="95"/>
      <c r="I123" s="95"/>
    </row>
    <row r="124" customFormat="false" ht="15" hidden="false" customHeight="true" outlineLevel="0" collapsed="false">
      <c r="C124" s="95"/>
      <c r="G124" s="95"/>
      <c r="I124" s="95"/>
    </row>
    <row r="125" customFormat="false" ht="15" hidden="false" customHeight="true" outlineLevel="0" collapsed="false">
      <c r="C125" s="95"/>
      <c r="G125" s="95"/>
      <c r="I125" s="95"/>
    </row>
    <row r="126" customFormat="false" ht="15" hidden="false" customHeight="true" outlineLevel="0" collapsed="false">
      <c r="C126" s="95"/>
      <c r="G126" s="95"/>
      <c r="I126" s="95"/>
    </row>
    <row r="127" customFormat="false" ht="15" hidden="false" customHeight="true" outlineLevel="0" collapsed="false">
      <c r="C127" s="95"/>
      <c r="G127" s="95"/>
      <c r="I127" s="95"/>
    </row>
    <row r="128" customFormat="false" ht="15" hidden="false" customHeight="true" outlineLevel="0" collapsed="false">
      <c r="C128" s="95"/>
      <c r="G128" s="95"/>
      <c r="I128" s="95"/>
    </row>
    <row r="129" customFormat="false" ht="15" hidden="false" customHeight="true" outlineLevel="0" collapsed="false">
      <c r="C129" s="95"/>
      <c r="G129" s="95"/>
      <c r="I129" s="95"/>
    </row>
    <row r="130" customFormat="false" ht="15" hidden="false" customHeight="true" outlineLevel="0" collapsed="false">
      <c r="C130" s="95"/>
      <c r="G130" s="95"/>
      <c r="I130" s="95"/>
    </row>
    <row r="131" customFormat="false" ht="15" hidden="false" customHeight="true" outlineLevel="0" collapsed="false">
      <c r="C131" s="95"/>
      <c r="G131" s="95"/>
      <c r="I131" s="95"/>
    </row>
    <row r="132" customFormat="false" ht="15" hidden="false" customHeight="true" outlineLevel="0" collapsed="false">
      <c r="C132" s="95"/>
      <c r="G132" s="95"/>
      <c r="I132" s="95"/>
    </row>
    <row r="133" customFormat="false" ht="15" hidden="false" customHeight="true" outlineLevel="0" collapsed="false">
      <c r="C133" s="95"/>
      <c r="G133" s="95"/>
      <c r="I133" s="95"/>
    </row>
    <row r="134" customFormat="false" ht="15" hidden="false" customHeight="true" outlineLevel="0" collapsed="false">
      <c r="C134" s="95"/>
      <c r="G134" s="95"/>
      <c r="I134" s="95"/>
    </row>
    <row r="135" customFormat="false" ht="15" hidden="false" customHeight="true" outlineLevel="0" collapsed="false">
      <c r="C135" s="95"/>
      <c r="G135" s="95"/>
      <c r="I135" s="95"/>
    </row>
    <row r="136" customFormat="false" ht="15" hidden="false" customHeight="true" outlineLevel="0" collapsed="false">
      <c r="C136" s="95"/>
      <c r="G136" s="95"/>
      <c r="I136" s="95"/>
    </row>
    <row r="137" customFormat="false" ht="15" hidden="false" customHeight="true" outlineLevel="0" collapsed="false">
      <c r="C137" s="95"/>
      <c r="G137" s="95"/>
      <c r="I137" s="95"/>
    </row>
    <row r="138" customFormat="false" ht="15" hidden="false" customHeight="true" outlineLevel="0" collapsed="false">
      <c r="C138" s="95"/>
      <c r="G138" s="95"/>
      <c r="I138" s="95"/>
    </row>
    <row r="139" customFormat="false" ht="15" hidden="false" customHeight="true" outlineLevel="0" collapsed="false">
      <c r="C139" s="95"/>
      <c r="G139" s="95"/>
      <c r="I139" s="95"/>
    </row>
    <row r="140" customFormat="false" ht="15" hidden="false" customHeight="true" outlineLevel="0" collapsed="false">
      <c r="C140" s="95"/>
      <c r="G140" s="95"/>
      <c r="I140" s="95"/>
    </row>
    <row r="141" customFormat="false" ht="15" hidden="false" customHeight="true" outlineLevel="0" collapsed="false">
      <c r="C141" s="95"/>
      <c r="G141" s="95"/>
      <c r="I141" s="95"/>
    </row>
    <row r="142" customFormat="false" ht="15" hidden="false" customHeight="true" outlineLevel="0" collapsed="false">
      <c r="C142" s="95"/>
      <c r="G142" s="95"/>
      <c r="I142" s="95"/>
    </row>
    <row r="143" customFormat="false" ht="15" hidden="false" customHeight="true" outlineLevel="0" collapsed="false">
      <c r="C143" s="95"/>
      <c r="G143" s="95"/>
      <c r="I143" s="95"/>
    </row>
    <row r="144" customFormat="false" ht="15" hidden="false" customHeight="true" outlineLevel="0" collapsed="false">
      <c r="C144" s="95"/>
      <c r="G144" s="95"/>
      <c r="I144" s="95"/>
    </row>
    <row r="145" customFormat="false" ht="15" hidden="false" customHeight="true" outlineLevel="0" collapsed="false">
      <c r="C145" s="95"/>
      <c r="G145" s="95"/>
      <c r="I145" s="95"/>
    </row>
    <row r="146" customFormat="false" ht="15" hidden="false" customHeight="true" outlineLevel="0" collapsed="false">
      <c r="C146" s="95"/>
      <c r="G146" s="95"/>
      <c r="I146" s="95"/>
    </row>
    <row r="147" customFormat="false" ht="15" hidden="false" customHeight="true" outlineLevel="0" collapsed="false">
      <c r="C147" s="95"/>
      <c r="G147" s="95"/>
      <c r="I147" s="95"/>
    </row>
    <row r="148" customFormat="false" ht="15" hidden="false" customHeight="true" outlineLevel="0" collapsed="false">
      <c r="C148" s="95"/>
      <c r="G148" s="95"/>
      <c r="I148" s="95"/>
    </row>
    <row r="149" customFormat="false" ht="15" hidden="false" customHeight="true" outlineLevel="0" collapsed="false">
      <c r="C149" s="95"/>
      <c r="G149" s="95"/>
      <c r="I149" s="95"/>
    </row>
    <row r="150" customFormat="false" ht="15" hidden="false" customHeight="true" outlineLevel="0" collapsed="false">
      <c r="C150" s="95"/>
      <c r="G150" s="95"/>
      <c r="I150" s="95"/>
    </row>
    <row r="151" customFormat="false" ht="15" hidden="false" customHeight="true" outlineLevel="0" collapsed="false">
      <c r="C151" s="95"/>
      <c r="G151" s="95"/>
      <c r="I151" s="95"/>
    </row>
    <row r="152" customFormat="false" ht="15" hidden="false" customHeight="true" outlineLevel="0" collapsed="false">
      <c r="C152" s="95"/>
      <c r="G152" s="95"/>
      <c r="I152" s="95"/>
    </row>
    <row r="153" customFormat="false" ht="15" hidden="false" customHeight="true" outlineLevel="0" collapsed="false">
      <c r="C153" s="95"/>
      <c r="G153" s="95"/>
      <c r="I153" s="95"/>
    </row>
    <row r="154" customFormat="false" ht="15" hidden="false" customHeight="true" outlineLevel="0" collapsed="false">
      <c r="C154" s="95"/>
      <c r="G154" s="95"/>
      <c r="I154" s="95"/>
    </row>
    <row r="155" customFormat="false" ht="15" hidden="false" customHeight="true" outlineLevel="0" collapsed="false">
      <c r="C155" s="95"/>
      <c r="G155" s="95"/>
      <c r="I155" s="95"/>
    </row>
    <row r="156" customFormat="false" ht="15" hidden="false" customHeight="true" outlineLevel="0" collapsed="false">
      <c r="C156" s="95"/>
      <c r="G156" s="95"/>
      <c r="I156" s="95"/>
    </row>
    <row r="157" customFormat="false" ht="15" hidden="false" customHeight="true" outlineLevel="0" collapsed="false">
      <c r="C157" s="95"/>
      <c r="G157" s="95"/>
      <c r="I157" s="95"/>
    </row>
    <row r="158" customFormat="false" ht="15" hidden="false" customHeight="true" outlineLevel="0" collapsed="false">
      <c r="C158" s="95"/>
      <c r="G158" s="95"/>
      <c r="I158" s="95"/>
    </row>
    <row r="159" customFormat="false" ht="15" hidden="false" customHeight="true" outlineLevel="0" collapsed="false">
      <c r="C159" s="95"/>
      <c r="G159" s="95"/>
      <c r="I159" s="95"/>
    </row>
    <row r="160" customFormat="false" ht="15" hidden="false" customHeight="true" outlineLevel="0" collapsed="false">
      <c r="C160" s="95"/>
      <c r="G160" s="95"/>
      <c r="I160" s="95"/>
    </row>
    <row r="161" customFormat="false" ht="15" hidden="false" customHeight="true" outlineLevel="0" collapsed="false">
      <c r="C161" s="95"/>
      <c r="G161" s="95"/>
      <c r="I161" s="95"/>
    </row>
    <row r="162" customFormat="false" ht="15" hidden="false" customHeight="true" outlineLevel="0" collapsed="false">
      <c r="C162" s="95"/>
      <c r="G162" s="95"/>
      <c r="I162" s="95"/>
    </row>
    <row r="163" customFormat="false" ht="15" hidden="false" customHeight="true" outlineLevel="0" collapsed="false">
      <c r="C163" s="95"/>
      <c r="G163" s="95"/>
      <c r="I163" s="95"/>
    </row>
    <row r="164" customFormat="false" ht="15" hidden="false" customHeight="true" outlineLevel="0" collapsed="false">
      <c r="C164" s="95"/>
      <c r="G164" s="95"/>
      <c r="I164" s="95"/>
    </row>
    <row r="165" customFormat="false" ht="15" hidden="false" customHeight="true" outlineLevel="0" collapsed="false">
      <c r="C165" s="95"/>
      <c r="G165" s="95"/>
      <c r="I165" s="95"/>
    </row>
    <row r="166" customFormat="false" ht="15" hidden="false" customHeight="true" outlineLevel="0" collapsed="false">
      <c r="C166" s="95"/>
      <c r="G166" s="95"/>
      <c r="I166" s="95"/>
    </row>
    <row r="167" customFormat="false" ht="15" hidden="false" customHeight="true" outlineLevel="0" collapsed="false">
      <c r="C167" s="95"/>
      <c r="G167" s="95"/>
      <c r="I167" s="95"/>
    </row>
    <row r="168" customFormat="false" ht="15" hidden="false" customHeight="true" outlineLevel="0" collapsed="false">
      <c r="C168" s="95"/>
      <c r="G168" s="95"/>
      <c r="I168" s="95"/>
    </row>
    <row r="169" customFormat="false" ht="15" hidden="false" customHeight="true" outlineLevel="0" collapsed="false">
      <c r="C169" s="95"/>
      <c r="G169" s="95"/>
      <c r="I169" s="95"/>
    </row>
    <row r="170" customFormat="false" ht="15" hidden="false" customHeight="true" outlineLevel="0" collapsed="false">
      <c r="C170" s="95"/>
      <c r="G170" s="95"/>
      <c r="I170" s="95"/>
    </row>
    <row r="171" customFormat="false" ht="15" hidden="false" customHeight="true" outlineLevel="0" collapsed="false">
      <c r="C171" s="95"/>
      <c r="G171" s="95"/>
      <c r="I171" s="95"/>
    </row>
    <row r="172" customFormat="false" ht="15" hidden="false" customHeight="true" outlineLevel="0" collapsed="false">
      <c r="C172" s="95"/>
      <c r="G172" s="95"/>
      <c r="I172" s="95"/>
    </row>
    <row r="173" customFormat="false" ht="15" hidden="false" customHeight="true" outlineLevel="0" collapsed="false">
      <c r="C173" s="95"/>
      <c r="G173" s="95"/>
      <c r="I173" s="95"/>
    </row>
    <row r="174" customFormat="false" ht="15" hidden="false" customHeight="true" outlineLevel="0" collapsed="false">
      <c r="C174" s="95"/>
      <c r="G174" s="95"/>
      <c r="I174" s="95"/>
    </row>
    <row r="175" customFormat="false" ht="15" hidden="false" customHeight="true" outlineLevel="0" collapsed="false">
      <c r="C175" s="95"/>
      <c r="G175" s="95"/>
      <c r="I175" s="95"/>
    </row>
    <row r="176" customFormat="false" ht="15" hidden="false" customHeight="true" outlineLevel="0" collapsed="false">
      <c r="C176" s="95"/>
      <c r="G176" s="95"/>
      <c r="I176" s="95"/>
    </row>
    <row r="177" customFormat="false" ht="15" hidden="false" customHeight="true" outlineLevel="0" collapsed="false">
      <c r="C177" s="95"/>
      <c r="G177" s="95"/>
      <c r="I177" s="95"/>
    </row>
    <row r="178" customFormat="false" ht="15" hidden="false" customHeight="true" outlineLevel="0" collapsed="false">
      <c r="C178" s="95"/>
      <c r="G178" s="95"/>
      <c r="I178" s="95"/>
    </row>
    <row r="179" customFormat="false" ht="15" hidden="false" customHeight="true" outlineLevel="0" collapsed="false">
      <c r="C179" s="95"/>
      <c r="G179" s="95"/>
      <c r="I179" s="95"/>
    </row>
    <row r="180" customFormat="false" ht="15" hidden="false" customHeight="true" outlineLevel="0" collapsed="false">
      <c r="C180" s="95"/>
      <c r="G180" s="95"/>
      <c r="I180" s="95"/>
    </row>
    <row r="181" customFormat="false" ht="15" hidden="false" customHeight="true" outlineLevel="0" collapsed="false">
      <c r="C181" s="95"/>
      <c r="G181" s="95"/>
      <c r="I181" s="95"/>
    </row>
    <row r="182" customFormat="false" ht="15" hidden="false" customHeight="true" outlineLevel="0" collapsed="false">
      <c r="C182" s="95"/>
      <c r="G182" s="95"/>
      <c r="I182" s="95"/>
    </row>
    <row r="183" customFormat="false" ht="15" hidden="false" customHeight="true" outlineLevel="0" collapsed="false">
      <c r="C183" s="95"/>
      <c r="G183" s="95"/>
      <c r="I183" s="95"/>
    </row>
    <row r="184" customFormat="false" ht="15" hidden="false" customHeight="true" outlineLevel="0" collapsed="false">
      <c r="C184" s="95"/>
      <c r="G184" s="95"/>
      <c r="I184" s="95"/>
    </row>
    <row r="185" customFormat="false" ht="15" hidden="false" customHeight="true" outlineLevel="0" collapsed="false">
      <c r="C185" s="95"/>
      <c r="G185" s="95"/>
      <c r="I185" s="95"/>
    </row>
    <row r="186" customFormat="false" ht="15" hidden="false" customHeight="true" outlineLevel="0" collapsed="false">
      <c r="C186" s="95"/>
      <c r="G186" s="95"/>
      <c r="I186" s="95"/>
    </row>
    <row r="187" customFormat="false" ht="15" hidden="false" customHeight="true" outlineLevel="0" collapsed="false">
      <c r="C187" s="95"/>
      <c r="G187" s="95"/>
      <c r="I187" s="95"/>
    </row>
    <row r="188" customFormat="false" ht="15" hidden="false" customHeight="true" outlineLevel="0" collapsed="false">
      <c r="C188" s="95"/>
      <c r="G188" s="95"/>
      <c r="I188" s="95"/>
    </row>
    <row r="189" customFormat="false" ht="15" hidden="false" customHeight="true" outlineLevel="0" collapsed="false">
      <c r="C189" s="95"/>
      <c r="G189" s="95"/>
      <c r="I189" s="95"/>
    </row>
    <row r="190" customFormat="false" ht="15" hidden="false" customHeight="true" outlineLevel="0" collapsed="false">
      <c r="C190" s="95"/>
      <c r="G190" s="95"/>
      <c r="I190" s="95"/>
    </row>
    <row r="191" customFormat="false" ht="15" hidden="false" customHeight="true" outlineLevel="0" collapsed="false">
      <c r="C191" s="95"/>
      <c r="G191" s="95"/>
      <c r="I191" s="95"/>
    </row>
    <row r="192" customFormat="false" ht="15" hidden="false" customHeight="true" outlineLevel="0" collapsed="false">
      <c r="C192" s="95"/>
      <c r="G192" s="95"/>
      <c r="I192" s="95"/>
    </row>
    <row r="193" customFormat="false" ht="15" hidden="false" customHeight="true" outlineLevel="0" collapsed="false">
      <c r="C193" s="95"/>
      <c r="G193" s="95"/>
      <c r="I193" s="95"/>
    </row>
    <row r="194" customFormat="false" ht="15" hidden="false" customHeight="true" outlineLevel="0" collapsed="false">
      <c r="C194" s="95"/>
      <c r="G194" s="95"/>
      <c r="I194" s="95"/>
    </row>
    <row r="195" customFormat="false" ht="15" hidden="false" customHeight="true" outlineLevel="0" collapsed="false">
      <c r="C195" s="95"/>
      <c r="G195" s="95"/>
      <c r="I195" s="95"/>
    </row>
    <row r="196" customFormat="false" ht="15" hidden="false" customHeight="true" outlineLevel="0" collapsed="false">
      <c r="C196" s="95"/>
      <c r="G196" s="95"/>
      <c r="I196" s="95"/>
    </row>
    <row r="197" customFormat="false" ht="15" hidden="false" customHeight="true" outlineLevel="0" collapsed="false">
      <c r="C197" s="95"/>
      <c r="G197" s="95"/>
      <c r="I197" s="95"/>
    </row>
    <row r="198" customFormat="false" ht="15" hidden="false" customHeight="true" outlineLevel="0" collapsed="false">
      <c r="C198" s="95"/>
      <c r="G198" s="95"/>
      <c r="I198" s="95"/>
    </row>
    <row r="199" customFormat="false" ht="15" hidden="false" customHeight="true" outlineLevel="0" collapsed="false">
      <c r="C199" s="95"/>
      <c r="G199" s="95"/>
      <c r="I199" s="95"/>
    </row>
    <row r="200" customFormat="false" ht="15" hidden="false" customHeight="true" outlineLevel="0" collapsed="false">
      <c r="C200" s="95"/>
      <c r="G200" s="95"/>
      <c r="I200" s="95"/>
    </row>
    <row r="201" customFormat="false" ht="15" hidden="false" customHeight="true" outlineLevel="0" collapsed="false">
      <c r="C201" s="95"/>
      <c r="G201" s="95"/>
      <c r="I201" s="95"/>
    </row>
    <row r="202" customFormat="false" ht="15" hidden="false" customHeight="true" outlineLevel="0" collapsed="false">
      <c r="C202" s="95"/>
      <c r="G202" s="95"/>
      <c r="I202" s="95"/>
    </row>
    <row r="203" customFormat="false" ht="15" hidden="false" customHeight="true" outlineLevel="0" collapsed="false">
      <c r="C203" s="95"/>
      <c r="G203" s="95"/>
      <c r="I203" s="95"/>
    </row>
    <row r="204" customFormat="false" ht="15" hidden="false" customHeight="true" outlineLevel="0" collapsed="false">
      <c r="C204" s="95"/>
      <c r="G204" s="95"/>
      <c r="I204" s="95"/>
    </row>
    <row r="205" customFormat="false" ht="15" hidden="false" customHeight="true" outlineLevel="0" collapsed="false">
      <c r="C205" s="95"/>
      <c r="G205" s="95"/>
      <c r="I205" s="95"/>
    </row>
    <row r="206" customFormat="false" ht="15" hidden="false" customHeight="true" outlineLevel="0" collapsed="false">
      <c r="C206" s="95"/>
      <c r="G206" s="95"/>
      <c r="I206" s="95"/>
    </row>
    <row r="207" customFormat="false" ht="15" hidden="false" customHeight="true" outlineLevel="0" collapsed="false">
      <c r="C207" s="95"/>
      <c r="G207" s="95"/>
      <c r="I207" s="95"/>
    </row>
    <row r="208" customFormat="false" ht="15" hidden="false" customHeight="true" outlineLevel="0" collapsed="false">
      <c r="C208" s="95"/>
      <c r="G208" s="95"/>
      <c r="I208" s="95"/>
    </row>
    <row r="209" customFormat="false" ht="15" hidden="false" customHeight="true" outlineLevel="0" collapsed="false">
      <c r="C209" s="95"/>
      <c r="G209" s="95"/>
      <c r="I209" s="95"/>
    </row>
    <row r="210" customFormat="false" ht="15" hidden="false" customHeight="true" outlineLevel="0" collapsed="false">
      <c r="C210" s="95"/>
      <c r="G210" s="95"/>
      <c r="I210" s="95"/>
    </row>
    <row r="211" customFormat="false" ht="15" hidden="false" customHeight="true" outlineLevel="0" collapsed="false">
      <c r="C211" s="95"/>
      <c r="G211" s="95"/>
      <c r="I211" s="95"/>
    </row>
    <row r="212" customFormat="false" ht="15" hidden="false" customHeight="true" outlineLevel="0" collapsed="false">
      <c r="C212" s="95"/>
      <c r="G212" s="95"/>
      <c r="I212" s="95"/>
    </row>
    <row r="213" customFormat="false" ht="15" hidden="false" customHeight="true" outlineLevel="0" collapsed="false">
      <c r="C213" s="95"/>
      <c r="G213" s="95"/>
      <c r="I213" s="95"/>
    </row>
    <row r="214" customFormat="false" ht="15" hidden="false" customHeight="true" outlineLevel="0" collapsed="false">
      <c r="C214" s="95"/>
      <c r="G214" s="95"/>
      <c r="I214" s="95"/>
    </row>
    <row r="215" customFormat="false" ht="15" hidden="false" customHeight="true" outlineLevel="0" collapsed="false">
      <c r="C215" s="95"/>
      <c r="G215" s="95"/>
      <c r="I215" s="95"/>
    </row>
    <row r="216" customFormat="false" ht="15" hidden="false" customHeight="true" outlineLevel="0" collapsed="false">
      <c r="C216" s="95"/>
      <c r="G216" s="95"/>
      <c r="I216" s="95"/>
    </row>
    <row r="217" customFormat="false" ht="15" hidden="false" customHeight="true" outlineLevel="0" collapsed="false">
      <c r="C217" s="95"/>
      <c r="G217" s="95"/>
      <c r="I217" s="95"/>
    </row>
    <row r="218" customFormat="false" ht="15" hidden="false" customHeight="true" outlineLevel="0" collapsed="false">
      <c r="C218" s="95"/>
      <c r="G218" s="95"/>
      <c r="I218" s="95"/>
    </row>
    <row r="219" customFormat="false" ht="15" hidden="false" customHeight="true" outlineLevel="0" collapsed="false">
      <c r="C219" s="95"/>
      <c r="G219" s="95"/>
      <c r="I219" s="95"/>
    </row>
    <row r="220" customFormat="false" ht="15" hidden="false" customHeight="true" outlineLevel="0" collapsed="false">
      <c r="C220" s="95"/>
      <c r="G220" s="95"/>
      <c r="I220" s="95"/>
    </row>
    <row r="221" customFormat="false" ht="15" hidden="false" customHeight="true" outlineLevel="0" collapsed="false">
      <c r="C221" s="95"/>
      <c r="G221" s="95"/>
      <c r="I221" s="95"/>
    </row>
    <row r="222" customFormat="false" ht="15" hidden="false" customHeight="true" outlineLevel="0" collapsed="false">
      <c r="C222" s="95"/>
      <c r="G222" s="95"/>
      <c r="I222" s="95"/>
    </row>
    <row r="223" customFormat="false" ht="15" hidden="false" customHeight="true" outlineLevel="0" collapsed="false">
      <c r="C223" s="95"/>
      <c r="G223" s="95"/>
      <c r="I223" s="95"/>
    </row>
    <row r="224" customFormat="false" ht="15" hidden="false" customHeight="true" outlineLevel="0" collapsed="false">
      <c r="C224" s="95"/>
      <c r="G224" s="95"/>
      <c r="I224" s="95"/>
    </row>
    <row r="225" customFormat="false" ht="15" hidden="false" customHeight="true" outlineLevel="0" collapsed="false">
      <c r="C225" s="95"/>
      <c r="G225" s="95"/>
      <c r="I225" s="95"/>
    </row>
    <row r="226" customFormat="false" ht="15" hidden="false" customHeight="true" outlineLevel="0" collapsed="false">
      <c r="C226" s="95"/>
      <c r="G226" s="95"/>
      <c r="I226" s="95"/>
    </row>
    <row r="227" customFormat="false" ht="15" hidden="false" customHeight="true" outlineLevel="0" collapsed="false">
      <c r="C227" s="95"/>
      <c r="G227" s="95"/>
      <c r="I227" s="95"/>
    </row>
    <row r="228" customFormat="false" ht="15" hidden="false" customHeight="true" outlineLevel="0" collapsed="false">
      <c r="C228" s="95"/>
      <c r="G228" s="95"/>
      <c r="I228" s="95"/>
    </row>
    <row r="229" customFormat="false" ht="15" hidden="false" customHeight="true" outlineLevel="0" collapsed="false">
      <c r="C229" s="95"/>
      <c r="G229" s="95"/>
      <c r="I229" s="95"/>
    </row>
    <row r="230" customFormat="false" ht="15" hidden="false" customHeight="true" outlineLevel="0" collapsed="false">
      <c r="C230" s="95"/>
      <c r="G230" s="95"/>
      <c r="I230" s="95"/>
    </row>
    <row r="231" customFormat="false" ht="15" hidden="false" customHeight="true" outlineLevel="0" collapsed="false">
      <c r="C231" s="95"/>
      <c r="G231" s="95"/>
      <c r="I231" s="95"/>
    </row>
    <row r="232" customFormat="false" ht="15" hidden="false" customHeight="true" outlineLevel="0" collapsed="false">
      <c r="C232" s="95"/>
      <c r="G232" s="95"/>
      <c r="I232" s="95"/>
    </row>
    <row r="233" customFormat="false" ht="15" hidden="false" customHeight="true" outlineLevel="0" collapsed="false">
      <c r="C233" s="95"/>
      <c r="G233" s="95"/>
      <c r="I233" s="95"/>
    </row>
    <row r="234" customFormat="false" ht="15" hidden="false" customHeight="true" outlineLevel="0" collapsed="false">
      <c r="C234" s="95"/>
      <c r="G234" s="95"/>
      <c r="I234" s="95"/>
    </row>
    <row r="235" customFormat="false" ht="15" hidden="false" customHeight="true" outlineLevel="0" collapsed="false">
      <c r="C235" s="95"/>
      <c r="G235" s="95"/>
      <c r="I235" s="95"/>
    </row>
    <row r="236" customFormat="false" ht="15" hidden="false" customHeight="true" outlineLevel="0" collapsed="false">
      <c r="C236" s="95"/>
      <c r="G236" s="95"/>
      <c r="I236" s="95"/>
    </row>
    <row r="237" customFormat="false" ht="15" hidden="false" customHeight="true" outlineLevel="0" collapsed="false">
      <c r="C237" s="95"/>
      <c r="G237" s="95"/>
      <c r="I237" s="95"/>
    </row>
    <row r="238" customFormat="false" ht="15" hidden="false" customHeight="true" outlineLevel="0" collapsed="false">
      <c r="C238" s="95"/>
      <c r="G238" s="95"/>
      <c r="I238" s="95"/>
    </row>
    <row r="239" customFormat="false" ht="15" hidden="false" customHeight="true" outlineLevel="0" collapsed="false">
      <c r="C239" s="95"/>
      <c r="G239" s="95"/>
      <c r="I239" s="95"/>
    </row>
    <row r="240" customFormat="false" ht="15" hidden="false" customHeight="true" outlineLevel="0" collapsed="false">
      <c r="C240" s="95"/>
      <c r="G240" s="95"/>
      <c r="I240" s="95"/>
    </row>
    <row r="241" customFormat="false" ht="15" hidden="false" customHeight="true" outlineLevel="0" collapsed="false">
      <c r="C241" s="95"/>
      <c r="G241" s="95"/>
      <c r="I241" s="95"/>
    </row>
    <row r="242" customFormat="false" ht="15" hidden="false" customHeight="true" outlineLevel="0" collapsed="false">
      <c r="C242" s="95"/>
      <c r="G242" s="95"/>
      <c r="I242" s="95"/>
    </row>
    <row r="243" customFormat="false" ht="15" hidden="false" customHeight="true" outlineLevel="0" collapsed="false">
      <c r="C243" s="95"/>
      <c r="G243" s="95"/>
      <c r="I243" s="95"/>
    </row>
    <row r="244" customFormat="false" ht="15" hidden="false" customHeight="true" outlineLevel="0" collapsed="false">
      <c r="C244" s="95"/>
      <c r="G244" s="95"/>
      <c r="I244" s="95"/>
    </row>
    <row r="245" customFormat="false" ht="15" hidden="false" customHeight="true" outlineLevel="0" collapsed="false">
      <c r="C245" s="95"/>
      <c r="G245" s="95"/>
      <c r="I245" s="95"/>
    </row>
    <row r="246" customFormat="false" ht="15" hidden="false" customHeight="true" outlineLevel="0" collapsed="false">
      <c r="C246" s="95"/>
      <c r="G246" s="95"/>
      <c r="I246" s="95"/>
    </row>
    <row r="247" customFormat="false" ht="15" hidden="false" customHeight="true" outlineLevel="0" collapsed="false">
      <c r="C247" s="95"/>
      <c r="G247" s="95"/>
      <c r="I247" s="95"/>
    </row>
    <row r="248" customFormat="false" ht="15" hidden="false" customHeight="true" outlineLevel="0" collapsed="false">
      <c r="C248" s="95"/>
      <c r="G248" s="95"/>
      <c r="I248" s="95"/>
    </row>
    <row r="249" customFormat="false" ht="15" hidden="false" customHeight="true" outlineLevel="0" collapsed="false">
      <c r="C249" s="95"/>
      <c r="G249" s="95"/>
      <c r="I249" s="95"/>
    </row>
    <row r="250" customFormat="false" ht="15" hidden="false" customHeight="true" outlineLevel="0" collapsed="false">
      <c r="C250" s="95"/>
      <c r="G250" s="95"/>
      <c r="I250" s="95"/>
    </row>
    <row r="251" customFormat="false" ht="15" hidden="false" customHeight="true" outlineLevel="0" collapsed="false">
      <c r="C251" s="95"/>
      <c r="G251" s="95"/>
      <c r="I251" s="95"/>
    </row>
    <row r="252" customFormat="false" ht="15" hidden="false" customHeight="true" outlineLevel="0" collapsed="false">
      <c r="C252" s="95"/>
      <c r="G252" s="95"/>
      <c r="I252" s="95"/>
    </row>
    <row r="253" customFormat="false" ht="15" hidden="false" customHeight="true" outlineLevel="0" collapsed="false">
      <c r="C253" s="95"/>
      <c r="G253" s="95"/>
      <c r="I253" s="95"/>
    </row>
    <row r="254" customFormat="false" ht="15" hidden="false" customHeight="true" outlineLevel="0" collapsed="false">
      <c r="C254" s="95"/>
      <c r="G254" s="95"/>
      <c r="I254" s="95"/>
    </row>
    <row r="255" customFormat="false" ht="15" hidden="false" customHeight="true" outlineLevel="0" collapsed="false">
      <c r="C255" s="95"/>
      <c r="G255" s="95"/>
      <c r="I255" s="95"/>
    </row>
    <row r="256" customFormat="false" ht="15" hidden="false" customHeight="true" outlineLevel="0" collapsed="false">
      <c r="C256" s="95"/>
      <c r="G256" s="95"/>
      <c r="I256" s="95"/>
    </row>
    <row r="257" customFormat="false" ht="15" hidden="false" customHeight="true" outlineLevel="0" collapsed="false">
      <c r="C257" s="95"/>
      <c r="G257" s="95"/>
      <c r="I257" s="95"/>
    </row>
    <row r="258" customFormat="false" ht="15" hidden="false" customHeight="true" outlineLevel="0" collapsed="false">
      <c r="C258" s="95"/>
      <c r="G258" s="95"/>
      <c r="I258" s="95"/>
    </row>
    <row r="259" customFormat="false" ht="15" hidden="false" customHeight="true" outlineLevel="0" collapsed="false">
      <c r="C259" s="95"/>
      <c r="G259" s="95"/>
      <c r="I259" s="95"/>
    </row>
    <row r="260" customFormat="false" ht="15" hidden="false" customHeight="true" outlineLevel="0" collapsed="false">
      <c r="C260" s="95"/>
      <c r="G260" s="95"/>
      <c r="I260" s="95"/>
    </row>
    <row r="261" customFormat="false" ht="15" hidden="false" customHeight="true" outlineLevel="0" collapsed="false">
      <c r="C261" s="95"/>
      <c r="G261" s="95"/>
      <c r="I261" s="95"/>
    </row>
    <row r="262" customFormat="false" ht="15" hidden="false" customHeight="true" outlineLevel="0" collapsed="false">
      <c r="C262" s="95"/>
      <c r="G262" s="95"/>
      <c r="I262" s="95"/>
    </row>
    <row r="263" customFormat="false" ht="15" hidden="false" customHeight="true" outlineLevel="0" collapsed="false">
      <c r="C263" s="95"/>
      <c r="G263" s="95"/>
      <c r="I263" s="95"/>
    </row>
    <row r="264" customFormat="false" ht="15" hidden="false" customHeight="true" outlineLevel="0" collapsed="false">
      <c r="C264" s="95"/>
      <c r="G264" s="95"/>
      <c r="I264" s="95"/>
    </row>
    <row r="265" customFormat="false" ht="15" hidden="false" customHeight="true" outlineLevel="0" collapsed="false">
      <c r="C265" s="95"/>
      <c r="G265" s="95"/>
      <c r="I265" s="95"/>
    </row>
    <row r="266" customFormat="false" ht="15" hidden="false" customHeight="true" outlineLevel="0" collapsed="false">
      <c r="C266" s="95"/>
      <c r="G266" s="95"/>
      <c r="I266" s="95"/>
    </row>
    <row r="267" customFormat="false" ht="15" hidden="false" customHeight="true" outlineLevel="0" collapsed="false">
      <c r="C267" s="95"/>
      <c r="G267" s="95"/>
      <c r="I267" s="95"/>
    </row>
    <row r="268" customFormat="false" ht="15" hidden="false" customHeight="true" outlineLevel="0" collapsed="false">
      <c r="C268" s="95"/>
      <c r="G268" s="95"/>
      <c r="I268" s="95"/>
    </row>
    <row r="269" customFormat="false" ht="15" hidden="false" customHeight="true" outlineLevel="0" collapsed="false">
      <c r="C269" s="95"/>
      <c r="G269" s="95"/>
      <c r="I269" s="95"/>
    </row>
    <row r="270" customFormat="false" ht="15" hidden="false" customHeight="true" outlineLevel="0" collapsed="false">
      <c r="C270" s="95"/>
      <c r="G270" s="95"/>
      <c r="I270" s="95"/>
    </row>
    <row r="271" customFormat="false" ht="15" hidden="false" customHeight="true" outlineLevel="0" collapsed="false">
      <c r="C271" s="95"/>
      <c r="G271" s="95"/>
      <c r="I271" s="95"/>
    </row>
    <row r="272" customFormat="false" ht="15" hidden="false" customHeight="true" outlineLevel="0" collapsed="false">
      <c r="C272" s="95"/>
      <c r="G272" s="95"/>
      <c r="I272" s="95"/>
    </row>
    <row r="273" customFormat="false" ht="15" hidden="false" customHeight="true" outlineLevel="0" collapsed="false">
      <c r="C273" s="95"/>
      <c r="G273" s="95"/>
      <c r="I273" s="95"/>
    </row>
    <row r="274" customFormat="false" ht="15" hidden="false" customHeight="true" outlineLevel="0" collapsed="false">
      <c r="C274" s="95"/>
      <c r="G274" s="95"/>
      <c r="I274" s="95"/>
    </row>
    <row r="275" customFormat="false" ht="15" hidden="false" customHeight="true" outlineLevel="0" collapsed="false">
      <c r="C275" s="95"/>
      <c r="G275" s="95"/>
      <c r="I275" s="95"/>
    </row>
    <row r="276" customFormat="false" ht="15" hidden="false" customHeight="true" outlineLevel="0" collapsed="false">
      <c r="C276" s="95"/>
      <c r="G276" s="95"/>
      <c r="I276" s="95"/>
    </row>
    <row r="277" customFormat="false" ht="15" hidden="false" customHeight="true" outlineLevel="0" collapsed="false">
      <c r="C277" s="95"/>
      <c r="G277" s="95"/>
      <c r="I277" s="95"/>
    </row>
    <row r="278" customFormat="false" ht="15" hidden="false" customHeight="true" outlineLevel="0" collapsed="false">
      <c r="C278" s="95"/>
      <c r="G278" s="95"/>
      <c r="I278" s="95"/>
    </row>
    <row r="279" customFormat="false" ht="15" hidden="false" customHeight="true" outlineLevel="0" collapsed="false">
      <c r="C279" s="95"/>
      <c r="G279" s="95"/>
      <c r="I279" s="95"/>
    </row>
    <row r="280" customFormat="false" ht="15" hidden="false" customHeight="true" outlineLevel="0" collapsed="false">
      <c r="C280" s="95"/>
      <c r="G280" s="95"/>
      <c r="I280" s="95"/>
    </row>
    <row r="281" customFormat="false" ht="15" hidden="false" customHeight="true" outlineLevel="0" collapsed="false">
      <c r="C281" s="95"/>
      <c r="G281" s="95"/>
      <c r="I281" s="95"/>
    </row>
    <row r="282" customFormat="false" ht="15" hidden="false" customHeight="true" outlineLevel="0" collapsed="false">
      <c r="C282" s="95"/>
      <c r="G282" s="95"/>
      <c r="I282" s="95"/>
    </row>
    <row r="283" customFormat="false" ht="15" hidden="false" customHeight="true" outlineLevel="0" collapsed="false">
      <c r="C283" s="95"/>
      <c r="G283" s="95"/>
      <c r="I283" s="95"/>
    </row>
    <row r="284" customFormat="false" ht="15" hidden="false" customHeight="true" outlineLevel="0" collapsed="false">
      <c r="C284" s="95"/>
      <c r="G284" s="95"/>
      <c r="I284" s="95"/>
    </row>
    <row r="285" customFormat="false" ht="15" hidden="false" customHeight="true" outlineLevel="0" collapsed="false">
      <c r="C285" s="95"/>
      <c r="G285" s="95"/>
      <c r="I285" s="95"/>
    </row>
    <row r="286" customFormat="false" ht="15" hidden="false" customHeight="true" outlineLevel="0" collapsed="false">
      <c r="C286" s="95"/>
      <c r="G286" s="95"/>
      <c r="I286" s="95"/>
    </row>
    <row r="287" customFormat="false" ht="15" hidden="false" customHeight="true" outlineLevel="0" collapsed="false">
      <c r="C287" s="95"/>
      <c r="G287" s="95"/>
      <c r="I287" s="95"/>
    </row>
    <row r="288" customFormat="false" ht="15" hidden="false" customHeight="true" outlineLevel="0" collapsed="false">
      <c r="C288" s="95"/>
      <c r="G288" s="95"/>
      <c r="I288" s="95"/>
    </row>
    <row r="289" customFormat="false" ht="15" hidden="false" customHeight="true" outlineLevel="0" collapsed="false">
      <c r="C289" s="95"/>
      <c r="G289" s="95"/>
      <c r="I289" s="95"/>
    </row>
    <row r="290" customFormat="false" ht="15" hidden="false" customHeight="true" outlineLevel="0" collapsed="false">
      <c r="C290" s="95"/>
      <c r="G290" s="95"/>
      <c r="I290" s="95"/>
    </row>
    <row r="291" customFormat="false" ht="15" hidden="false" customHeight="true" outlineLevel="0" collapsed="false">
      <c r="C291" s="95"/>
      <c r="G291" s="95"/>
      <c r="I291" s="95"/>
    </row>
    <row r="292" customFormat="false" ht="15" hidden="false" customHeight="true" outlineLevel="0" collapsed="false">
      <c r="C292" s="95"/>
      <c r="G292" s="95"/>
      <c r="I292" s="95"/>
    </row>
    <row r="293" customFormat="false" ht="15" hidden="false" customHeight="true" outlineLevel="0" collapsed="false">
      <c r="C293" s="95"/>
      <c r="G293" s="95"/>
      <c r="I293" s="95"/>
    </row>
    <row r="294" customFormat="false" ht="15" hidden="false" customHeight="true" outlineLevel="0" collapsed="false">
      <c r="C294" s="95"/>
      <c r="G294" s="95"/>
      <c r="I294" s="95"/>
    </row>
    <row r="295" customFormat="false" ht="15" hidden="false" customHeight="true" outlineLevel="0" collapsed="false">
      <c r="C295" s="95"/>
      <c r="G295" s="95"/>
      <c r="I295" s="95"/>
    </row>
    <row r="296" customFormat="false" ht="15" hidden="false" customHeight="true" outlineLevel="0" collapsed="false">
      <c r="C296" s="95"/>
      <c r="G296" s="95"/>
      <c r="I296" s="95"/>
    </row>
    <row r="297" customFormat="false" ht="15" hidden="false" customHeight="true" outlineLevel="0" collapsed="false">
      <c r="C297" s="95"/>
      <c r="G297" s="95"/>
      <c r="I297" s="95"/>
    </row>
    <row r="298" customFormat="false" ht="15" hidden="false" customHeight="true" outlineLevel="0" collapsed="false">
      <c r="C298" s="95"/>
      <c r="G298" s="95"/>
      <c r="I298" s="95"/>
    </row>
    <row r="299" customFormat="false" ht="15" hidden="false" customHeight="true" outlineLevel="0" collapsed="false">
      <c r="C299" s="95"/>
      <c r="G299" s="95"/>
      <c r="I299" s="95"/>
    </row>
    <row r="300" customFormat="false" ht="15" hidden="false" customHeight="true" outlineLevel="0" collapsed="false">
      <c r="C300" s="95"/>
      <c r="G300" s="95"/>
      <c r="I300" s="95"/>
    </row>
    <row r="301" customFormat="false" ht="15" hidden="false" customHeight="true" outlineLevel="0" collapsed="false">
      <c r="C301" s="95"/>
      <c r="G301" s="95"/>
      <c r="I301" s="95"/>
    </row>
    <row r="302" customFormat="false" ht="15" hidden="false" customHeight="true" outlineLevel="0" collapsed="false">
      <c r="C302" s="95"/>
      <c r="G302" s="95"/>
      <c r="I302" s="95"/>
    </row>
    <row r="303" customFormat="false" ht="15" hidden="false" customHeight="true" outlineLevel="0" collapsed="false">
      <c r="C303" s="95"/>
      <c r="G303" s="95"/>
      <c r="I303" s="95"/>
    </row>
    <row r="304" customFormat="false" ht="15" hidden="false" customHeight="true" outlineLevel="0" collapsed="false">
      <c r="C304" s="95"/>
      <c r="G304" s="95"/>
      <c r="I304" s="95"/>
    </row>
    <row r="305" customFormat="false" ht="15" hidden="false" customHeight="true" outlineLevel="0" collapsed="false">
      <c r="C305" s="95"/>
      <c r="G305" s="95"/>
      <c r="I305" s="95"/>
    </row>
    <row r="306" customFormat="false" ht="15" hidden="false" customHeight="true" outlineLevel="0" collapsed="false">
      <c r="C306" s="95"/>
      <c r="G306" s="95"/>
      <c r="I306" s="95"/>
    </row>
    <row r="307" customFormat="false" ht="15" hidden="false" customHeight="true" outlineLevel="0" collapsed="false">
      <c r="C307" s="95"/>
      <c r="G307" s="95"/>
      <c r="I307" s="95"/>
    </row>
    <row r="308" customFormat="false" ht="15" hidden="false" customHeight="true" outlineLevel="0" collapsed="false">
      <c r="C308" s="95"/>
      <c r="G308" s="95"/>
      <c r="I308" s="95"/>
    </row>
    <row r="309" customFormat="false" ht="15" hidden="false" customHeight="true" outlineLevel="0" collapsed="false">
      <c r="C309" s="95"/>
      <c r="G309" s="95"/>
      <c r="I309" s="95"/>
    </row>
    <row r="310" customFormat="false" ht="15" hidden="false" customHeight="true" outlineLevel="0" collapsed="false">
      <c r="C310" s="95"/>
      <c r="G310" s="95"/>
      <c r="I310" s="95"/>
    </row>
    <row r="311" customFormat="false" ht="15" hidden="false" customHeight="true" outlineLevel="0" collapsed="false">
      <c r="C311" s="95"/>
      <c r="G311" s="95"/>
      <c r="I311" s="95"/>
    </row>
    <row r="312" customFormat="false" ht="15" hidden="false" customHeight="true" outlineLevel="0" collapsed="false">
      <c r="C312" s="95"/>
      <c r="G312" s="95"/>
      <c r="I312" s="95"/>
    </row>
    <row r="313" customFormat="false" ht="15" hidden="false" customHeight="true" outlineLevel="0" collapsed="false">
      <c r="C313" s="95"/>
      <c r="G313" s="95"/>
      <c r="I313" s="95"/>
    </row>
    <row r="314" customFormat="false" ht="15" hidden="false" customHeight="true" outlineLevel="0" collapsed="false">
      <c r="C314" s="95"/>
      <c r="G314" s="95"/>
      <c r="I314" s="95"/>
    </row>
    <row r="315" customFormat="false" ht="15" hidden="false" customHeight="true" outlineLevel="0" collapsed="false">
      <c r="C315" s="95"/>
      <c r="G315" s="95"/>
      <c r="I315" s="95"/>
    </row>
    <row r="316" customFormat="false" ht="15" hidden="false" customHeight="true" outlineLevel="0" collapsed="false">
      <c r="C316" s="95"/>
      <c r="G316" s="95"/>
      <c r="I316" s="95"/>
    </row>
    <row r="317" customFormat="false" ht="15" hidden="false" customHeight="true" outlineLevel="0" collapsed="false">
      <c r="C317" s="95"/>
      <c r="G317" s="95"/>
      <c r="I317" s="95"/>
    </row>
    <row r="318" customFormat="false" ht="15" hidden="false" customHeight="true" outlineLevel="0" collapsed="false">
      <c r="C318" s="95"/>
      <c r="G318" s="95"/>
      <c r="I318" s="95"/>
    </row>
    <row r="319" customFormat="false" ht="15" hidden="false" customHeight="true" outlineLevel="0" collapsed="false">
      <c r="C319" s="95"/>
      <c r="G319" s="95"/>
      <c r="I319" s="95"/>
    </row>
    <row r="320" customFormat="false" ht="15" hidden="false" customHeight="true" outlineLevel="0" collapsed="false">
      <c r="C320" s="95"/>
      <c r="G320" s="95"/>
      <c r="I320" s="95"/>
    </row>
    <row r="321" customFormat="false" ht="15" hidden="false" customHeight="true" outlineLevel="0" collapsed="false">
      <c r="C321" s="95"/>
      <c r="G321" s="95"/>
      <c r="I321" s="95"/>
    </row>
    <row r="322" customFormat="false" ht="15" hidden="false" customHeight="true" outlineLevel="0" collapsed="false">
      <c r="C322" s="95"/>
      <c r="G322" s="95"/>
      <c r="I322" s="95"/>
    </row>
    <row r="323" customFormat="false" ht="15" hidden="false" customHeight="true" outlineLevel="0" collapsed="false">
      <c r="C323" s="95"/>
      <c r="G323" s="95"/>
      <c r="I323" s="95"/>
    </row>
    <row r="324" customFormat="false" ht="15" hidden="false" customHeight="true" outlineLevel="0" collapsed="false">
      <c r="C324" s="95"/>
      <c r="G324" s="95"/>
      <c r="I324" s="95"/>
    </row>
    <row r="325" customFormat="false" ht="15" hidden="false" customHeight="true" outlineLevel="0" collapsed="false">
      <c r="C325" s="95"/>
      <c r="G325" s="95"/>
      <c r="I325" s="95"/>
    </row>
    <row r="326" customFormat="false" ht="15" hidden="false" customHeight="true" outlineLevel="0" collapsed="false">
      <c r="C326" s="95"/>
      <c r="G326" s="95"/>
      <c r="I326" s="95"/>
    </row>
    <row r="327" customFormat="false" ht="15" hidden="false" customHeight="true" outlineLevel="0" collapsed="false">
      <c r="C327" s="95"/>
      <c r="G327" s="95"/>
      <c r="I327" s="95"/>
    </row>
    <row r="328" customFormat="false" ht="15" hidden="false" customHeight="true" outlineLevel="0" collapsed="false">
      <c r="C328" s="95"/>
      <c r="G328" s="95"/>
      <c r="I328" s="95"/>
    </row>
    <row r="329" customFormat="false" ht="15" hidden="false" customHeight="true" outlineLevel="0" collapsed="false">
      <c r="C329" s="95"/>
      <c r="G329" s="95"/>
      <c r="I329" s="95"/>
    </row>
    <row r="330" customFormat="false" ht="15" hidden="false" customHeight="true" outlineLevel="0" collapsed="false">
      <c r="C330" s="95"/>
      <c r="G330" s="95"/>
      <c r="I330" s="95"/>
    </row>
    <row r="331" customFormat="false" ht="15" hidden="false" customHeight="true" outlineLevel="0" collapsed="false">
      <c r="C331" s="95"/>
      <c r="G331" s="95"/>
      <c r="I331" s="95"/>
    </row>
    <row r="332" customFormat="false" ht="15" hidden="false" customHeight="true" outlineLevel="0" collapsed="false">
      <c r="C332" s="95"/>
      <c r="G332" s="95"/>
      <c r="I332" s="95"/>
    </row>
    <row r="333" customFormat="false" ht="15" hidden="false" customHeight="true" outlineLevel="0" collapsed="false">
      <c r="C333" s="95"/>
      <c r="G333" s="95"/>
      <c r="I333" s="95"/>
    </row>
    <row r="334" customFormat="false" ht="15" hidden="false" customHeight="true" outlineLevel="0" collapsed="false">
      <c r="C334" s="95"/>
      <c r="G334" s="95"/>
      <c r="I334" s="95"/>
    </row>
    <row r="335" customFormat="false" ht="15" hidden="false" customHeight="true" outlineLevel="0" collapsed="false">
      <c r="C335" s="95"/>
      <c r="G335" s="95"/>
      <c r="I335" s="95"/>
    </row>
    <row r="336" customFormat="false" ht="15" hidden="false" customHeight="true" outlineLevel="0" collapsed="false">
      <c r="C336" s="95"/>
      <c r="G336" s="95"/>
      <c r="I336" s="95"/>
    </row>
    <row r="337" customFormat="false" ht="15" hidden="false" customHeight="true" outlineLevel="0" collapsed="false">
      <c r="C337" s="95"/>
      <c r="G337" s="95"/>
      <c r="I337" s="95"/>
    </row>
    <row r="338" customFormat="false" ht="15" hidden="false" customHeight="true" outlineLevel="0" collapsed="false">
      <c r="C338" s="95"/>
      <c r="G338" s="95"/>
      <c r="I338" s="95"/>
    </row>
    <row r="339" customFormat="false" ht="15" hidden="false" customHeight="true" outlineLevel="0" collapsed="false">
      <c r="C339" s="95"/>
      <c r="G339" s="95"/>
      <c r="I339" s="95"/>
    </row>
    <row r="340" customFormat="false" ht="15" hidden="false" customHeight="true" outlineLevel="0" collapsed="false">
      <c r="C340" s="95"/>
      <c r="G340" s="95"/>
      <c r="I340" s="95"/>
    </row>
    <row r="341" customFormat="false" ht="15" hidden="false" customHeight="true" outlineLevel="0" collapsed="false">
      <c r="C341" s="95"/>
      <c r="G341" s="95"/>
      <c r="I341" s="95"/>
    </row>
    <row r="342" customFormat="false" ht="15" hidden="false" customHeight="true" outlineLevel="0" collapsed="false">
      <c r="C342" s="95"/>
      <c r="G342" s="95"/>
      <c r="I342" s="95"/>
    </row>
    <row r="343" customFormat="false" ht="15" hidden="false" customHeight="true" outlineLevel="0" collapsed="false">
      <c r="C343" s="95"/>
      <c r="G343" s="95"/>
      <c r="I343" s="95"/>
    </row>
    <row r="344" customFormat="false" ht="15" hidden="false" customHeight="true" outlineLevel="0" collapsed="false">
      <c r="C344" s="95"/>
      <c r="G344" s="95"/>
      <c r="I344" s="95"/>
    </row>
    <row r="345" customFormat="false" ht="15" hidden="false" customHeight="true" outlineLevel="0" collapsed="false">
      <c r="C345" s="95"/>
      <c r="G345" s="95"/>
      <c r="I345" s="95"/>
    </row>
    <row r="346" customFormat="false" ht="15" hidden="false" customHeight="true" outlineLevel="0" collapsed="false">
      <c r="C346" s="95"/>
      <c r="G346" s="95"/>
      <c r="I346" s="95"/>
    </row>
    <row r="347" customFormat="false" ht="15" hidden="false" customHeight="true" outlineLevel="0" collapsed="false">
      <c r="C347" s="95"/>
      <c r="G347" s="95"/>
      <c r="I347" s="95"/>
    </row>
    <row r="348" customFormat="false" ht="15" hidden="false" customHeight="true" outlineLevel="0" collapsed="false">
      <c r="C348" s="95"/>
      <c r="G348" s="95"/>
      <c r="I348" s="95"/>
    </row>
    <row r="349" customFormat="false" ht="15" hidden="false" customHeight="true" outlineLevel="0" collapsed="false">
      <c r="C349" s="95"/>
      <c r="G349" s="95"/>
      <c r="I349" s="95"/>
    </row>
    <row r="350" customFormat="false" ht="15" hidden="false" customHeight="true" outlineLevel="0" collapsed="false">
      <c r="C350" s="95"/>
      <c r="G350" s="95"/>
      <c r="I350" s="95"/>
    </row>
    <row r="351" customFormat="false" ht="15" hidden="false" customHeight="true" outlineLevel="0" collapsed="false">
      <c r="C351" s="95"/>
      <c r="G351" s="95"/>
      <c r="I351" s="95"/>
    </row>
    <row r="352" customFormat="false" ht="15" hidden="false" customHeight="true" outlineLevel="0" collapsed="false">
      <c r="C352" s="95"/>
      <c r="G352" s="95"/>
      <c r="I352" s="95"/>
    </row>
    <row r="353" customFormat="false" ht="15" hidden="false" customHeight="true" outlineLevel="0" collapsed="false">
      <c r="C353" s="95"/>
      <c r="G353" s="95"/>
      <c r="I353" s="95"/>
    </row>
    <row r="354" customFormat="false" ht="15" hidden="false" customHeight="true" outlineLevel="0" collapsed="false">
      <c r="C354" s="95"/>
      <c r="G354" s="95"/>
      <c r="I354" s="95"/>
    </row>
    <row r="355" customFormat="false" ht="15" hidden="false" customHeight="true" outlineLevel="0" collapsed="false">
      <c r="C355" s="95"/>
      <c r="G355" s="95"/>
      <c r="I355" s="95"/>
    </row>
    <row r="356" customFormat="false" ht="15" hidden="false" customHeight="true" outlineLevel="0" collapsed="false">
      <c r="C356" s="95"/>
      <c r="G356" s="95"/>
      <c r="I356" s="95"/>
    </row>
    <row r="357" customFormat="false" ht="15" hidden="false" customHeight="true" outlineLevel="0" collapsed="false">
      <c r="C357" s="95"/>
      <c r="G357" s="95"/>
      <c r="I357" s="95"/>
    </row>
    <row r="358" customFormat="false" ht="15" hidden="false" customHeight="true" outlineLevel="0" collapsed="false">
      <c r="C358" s="95"/>
      <c r="G358" s="95"/>
      <c r="I358" s="95"/>
    </row>
    <row r="359" customFormat="false" ht="15" hidden="false" customHeight="true" outlineLevel="0" collapsed="false">
      <c r="C359" s="95"/>
      <c r="G359" s="95"/>
      <c r="I359" s="95"/>
    </row>
    <row r="360" customFormat="false" ht="15" hidden="false" customHeight="true" outlineLevel="0" collapsed="false">
      <c r="C360" s="95"/>
      <c r="G360" s="95"/>
      <c r="I360" s="95"/>
    </row>
    <row r="361" customFormat="false" ht="15" hidden="false" customHeight="true" outlineLevel="0" collapsed="false">
      <c r="C361" s="95"/>
      <c r="G361" s="95"/>
      <c r="I361" s="95"/>
    </row>
    <row r="362" customFormat="false" ht="15" hidden="false" customHeight="true" outlineLevel="0" collapsed="false">
      <c r="C362" s="95"/>
      <c r="G362" s="95"/>
      <c r="I362" s="95"/>
    </row>
    <row r="363" customFormat="false" ht="15" hidden="false" customHeight="true" outlineLevel="0" collapsed="false">
      <c r="C363" s="95"/>
      <c r="G363" s="95"/>
      <c r="I363" s="95"/>
    </row>
    <row r="364" customFormat="false" ht="15" hidden="false" customHeight="true" outlineLevel="0" collapsed="false">
      <c r="C364" s="95"/>
      <c r="G364" s="95"/>
      <c r="I364" s="95"/>
    </row>
    <row r="365" customFormat="false" ht="15" hidden="false" customHeight="true" outlineLevel="0" collapsed="false">
      <c r="C365" s="95"/>
      <c r="G365" s="95"/>
      <c r="I365" s="95"/>
    </row>
    <row r="366" customFormat="false" ht="15" hidden="false" customHeight="true" outlineLevel="0" collapsed="false">
      <c r="C366" s="95"/>
      <c r="G366" s="95"/>
      <c r="I366" s="95"/>
    </row>
    <row r="367" customFormat="false" ht="15" hidden="false" customHeight="true" outlineLevel="0" collapsed="false">
      <c r="C367" s="95"/>
      <c r="G367" s="95"/>
      <c r="I367" s="95"/>
    </row>
    <row r="368" customFormat="false" ht="15" hidden="false" customHeight="true" outlineLevel="0" collapsed="false">
      <c r="C368" s="95"/>
      <c r="G368" s="95"/>
      <c r="I368" s="95"/>
    </row>
    <row r="369" customFormat="false" ht="15" hidden="false" customHeight="true" outlineLevel="0" collapsed="false">
      <c r="C369" s="95"/>
      <c r="G369" s="95"/>
      <c r="I369" s="95"/>
    </row>
    <row r="370" customFormat="false" ht="15" hidden="false" customHeight="true" outlineLevel="0" collapsed="false">
      <c r="C370" s="95"/>
      <c r="G370" s="95"/>
      <c r="I370" s="95"/>
    </row>
    <row r="371" customFormat="false" ht="15" hidden="false" customHeight="true" outlineLevel="0" collapsed="false">
      <c r="C371" s="95"/>
      <c r="G371" s="95"/>
      <c r="I371" s="95"/>
    </row>
    <row r="372" customFormat="false" ht="15" hidden="false" customHeight="true" outlineLevel="0" collapsed="false">
      <c r="C372" s="95"/>
      <c r="G372" s="95"/>
      <c r="I372" s="95"/>
    </row>
    <row r="373" customFormat="false" ht="15" hidden="false" customHeight="true" outlineLevel="0" collapsed="false">
      <c r="C373" s="95"/>
      <c r="G373" s="95"/>
      <c r="I373" s="95"/>
    </row>
    <row r="374" customFormat="false" ht="15" hidden="false" customHeight="true" outlineLevel="0" collapsed="false">
      <c r="C374" s="95"/>
      <c r="G374" s="95"/>
      <c r="I374" s="95"/>
    </row>
    <row r="375" customFormat="false" ht="15" hidden="false" customHeight="true" outlineLevel="0" collapsed="false">
      <c r="C375" s="95"/>
      <c r="G375" s="95"/>
      <c r="I375" s="95"/>
    </row>
    <row r="376" customFormat="false" ht="15" hidden="false" customHeight="true" outlineLevel="0" collapsed="false">
      <c r="C376" s="95"/>
      <c r="G376" s="95"/>
      <c r="I376" s="95"/>
    </row>
    <row r="377" customFormat="false" ht="15" hidden="false" customHeight="true" outlineLevel="0" collapsed="false">
      <c r="C377" s="95"/>
      <c r="G377" s="95"/>
      <c r="I377" s="95"/>
    </row>
    <row r="378" customFormat="false" ht="15" hidden="false" customHeight="true" outlineLevel="0" collapsed="false">
      <c r="C378" s="95"/>
      <c r="G378" s="95"/>
      <c r="I378" s="95"/>
    </row>
    <row r="379" customFormat="false" ht="15" hidden="false" customHeight="true" outlineLevel="0" collapsed="false">
      <c r="C379" s="95"/>
      <c r="G379" s="95"/>
      <c r="I379" s="95"/>
    </row>
    <row r="380" customFormat="false" ht="15" hidden="false" customHeight="true" outlineLevel="0" collapsed="false">
      <c r="C380" s="95"/>
      <c r="G380" s="95"/>
      <c r="I380" s="95"/>
    </row>
    <row r="381" customFormat="false" ht="15" hidden="false" customHeight="true" outlineLevel="0" collapsed="false">
      <c r="C381" s="95"/>
      <c r="G381" s="95"/>
      <c r="I381" s="95"/>
    </row>
    <row r="382" customFormat="false" ht="15" hidden="false" customHeight="true" outlineLevel="0" collapsed="false">
      <c r="C382" s="95"/>
      <c r="G382" s="95"/>
      <c r="I382" s="95"/>
    </row>
    <row r="383" customFormat="false" ht="15" hidden="false" customHeight="true" outlineLevel="0" collapsed="false">
      <c r="C383" s="95"/>
      <c r="G383" s="95"/>
      <c r="I383" s="95"/>
    </row>
    <row r="384" customFormat="false" ht="15" hidden="false" customHeight="true" outlineLevel="0" collapsed="false">
      <c r="C384" s="95"/>
      <c r="G384" s="95"/>
      <c r="I384" s="95"/>
    </row>
    <row r="385" customFormat="false" ht="15" hidden="false" customHeight="true" outlineLevel="0" collapsed="false">
      <c r="C385" s="95"/>
      <c r="G385" s="95"/>
      <c r="I385" s="95"/>
    </row>
    <row r="386" customFormat="false" ht="15" hidden="false" customHeight="true" outlineLevel="0" collapsed="false">
      <c r="C386" s="95"/>
      <c r="G386" s="95"/>
      <c r="I386" s="95"/>
    </row>
    <row r="387" customFormat="false" ht="15" hidden="false" customHeight="true" outlineLevel="0" collapsed="false">
      <c r="C387" s="95"/>
      <c r="G387" s="95"/>
      <c r="I387" s="95"/>
    </row>
    <row r="388" customFormat="false" ht="15" hidden="false" customHeight="true" outlineLevel="0" collapsed="false">
      <c r="C388" s="95"/>
      <c r="G388" s="95"/>
      <c r="I388" s="95"/>
    </row>
    <row r="389" customFormat="false" ht="15" hidden="false" customHeight="true" outlineLevel="0" collapsed="false">
      <c r="C389" s="95"/>
      <c r="G389" s="95"/>
      <c r="I389" s="95"/>
    </row>
    <row r="390" customFormat="false" ht="15" hidden="false" customHeight="true" outlineLevel="0" collapsed="false">
      <c r="C390" s="95"/>
      <c r="G390" s="95"/>
      <c r="I390" s="95"/>
    </row>
    <row r="391" customFormat="false" ht="15" hidden="false" customHeight="true" outlineLevel="0" collapsed="false">
      <c r="C391" s="95"/>
      <c r="G391" s="95"/>
      <c r="I391" s="95"/>
    </row>
    <row r="392" customFormat="false" ht="15" hidden="false" customHeight="true" outlineLevel="0" collapsed="false">
      <c r="C392" s="95"/>
      <c r="G392" s="95"/>
      <c r="I392" s="95"/>
    </row>
    <row r="393" customFormat="false" ht="15" hidden="false" customHeight="true" outlineLevel="0" collapsed="false">
      <c r="C393" s="95"/>
      <c r="G393" s="95"/>
      <c r="I393" s="95"/>
    </row>
    <row r="394" customFormat="false" ht="15" hidden="false" customHeight="true" outlineLevel="0" collapsed="false">
      <c r="C394" s="95"/>
      <c r="G394" s="95"/>
      <c r="I394" s="95"/>
    </row>
    <row r="395" customFormat="false" ht="15" hidden="false" customHeight="true" outlineLevel="0" collapsed="false">
      <c r="C395" s="95"/>
      <c r="G395" s="95"/>
      <c r="I395" s="95"/>
    </row>
    <row r="396" customFormat="false" ht="15" hidden="false" customHeight="true" outlineLevel="0" collapsed="false">
      <c r="C396" s="95"/>
      <c r="G396" s="95"/>
      <c r="I396" s="95"/>
    </row>
    <row r="397" customFormat="false" ht="15" hidden="false" customHeight="true" outlineLevel="0" collapsed="false">
      <c r="C397" s="95"/>
      <c r="G397" s="95"/>
      <c r="I397" s="95"/>
    </row>
    <row r="398" customFormat="false" ht="15" hidden="false" customHeight="true" outlineLevel="0" collapsed="false">
      <c r="C398" s="95"/>
      <c r="G398" s="95"/>
      <c r="I398" s="95"/>
    </row>
    <row r="399" customFormat="false" ht="15" hidden="false" customHeight="true" outlineLevel="0" collapsed="false">
      <c r="C399" s="95"/>
      <c r="G399" s="95"/>
      <c r="I399" s="95"/>
    </row>
    <row r="400" customFormat="false" ht="15" hidden="false" customHeight="true" outlineLevel="0" collapsed="false">
      <c r="C400" s="95"/>
      <c r="G400" s="95"/>
      <c r="I400" s="95"/>
    </row>
    <row r="401" customFormat="false" ht="15" hidden="false" customHeight="true" outlineLevel="0" collapsed="false">
      <c r="C401" s="95"/>
      <c r="G401" s="95"/>
      <c r="I401" s="95"/>
    </row>
    <row r="402" customFormat="false" ht="15" hidden="false" customHeight="true" outlineLevel="0" collapsed="false">
      <c r="C402" s="95"/>
      <c r="G402" s="95"/>
      <c r="I402" s="95"/>
    </row>
    <row r="403" customFormat="false" ht="15" hidden="false" customHeight="true" outlineLevel="0" collapsed="false">
      <c r="C403" s="95"/>
      <c r="G403" s="95"/>
      <c r="I403" s="95"/>
    </row>
    <row r="404" customFormat="false" ht="15" hidden="false" customHeight="true" outlineLevel="0" collapsed="false">
      <c r="C404" s="95"/>
      <c r="G404" s="95"/>
      <c r="I404" s="95"/>
    </row>
    <row r="405" customFormat="false" ht="15" hidden="false" customHeight="true" outlineLevel="0" collapsed="false">
      <c r="C405" s="95"/>
      <c r="G405" s="95"/>
      <c r="I405" s="95"/>
    </row>
    <row r="406" customFormat="false" ht="15" hidden="false" customHeight="true" outlineLevel="0" collapsed="false">
      <c r="C406" s="95"/>
      <c r="G406" s="95"/>
      <c r="I406" s="95"/>
    </row>
    <row r="407" customFormat="false" ht="15" hidden="false" customHeight="true" outlineLevel="0" collapsed="false">
      <c r="C407" s="95"/>
      <c r="G407" s="95"/>
      <c r="I407" s="95"/>
    </row>
    <row r="408" customFormat="false" ht="15" hidden="false" customHeight="true" outlineLevel="0" collapsed="false">
      <c r="C408" s="95"/>
      <c r="G408" s="95"/>
      <c r="I408" s="95"/>
    </row>
    <row r="409" customFormat="false" ht="15" hidden="false" customHeight="true" outlineLevel="0" collapsed="false">
      <c r="C409" s="95"/>
      <c r="G409" s="95"/>
      <c r="I409" s="95"/>
    </row>
    <row r="410" customFormat="false" ht="15" hidden="false" customHeight="true" outlineLevel="0" collapsed="false">
      <c r="C410" s="95"/>
      <c r="G410" s="95"/>
      <c r="I410" s="95"/>
    </row>
    <row r="411" customFormat="false" ht="15" hidden="false" customHeight="true" outlineLevel="0" collapsed="false">
      <c r="C411" s="95"/>
      <c r="G411" s="95"/>
      <c r="I411" s="95"/>
    </row>
    <row r="412" customFormat="false" ht="15" hidden="false" customHeight="true" outlineLevel="0" collapsed="false">
      <c r="C412" s="95"/>
      <c r="G412" s="95"/>
      <c r="I412" s="95"/>
    </row>
    <row r="413" customFormat="false" ht="15" hidden="false" customHeight="true" outlineLevel="0" collapsed="false">
      <c r="C413" s="95"/>
      <c r="G413" s="95"/>
      <c r="I413" s="95"/>
    </row>
    <row r="414" customFormat="false" ht="15" hidden="false" customHeight="true" outlineLevel="0" collapsed="false">
      <c r="C414" s="95"/>
      <c r="G414" s="95"/>
      <c r="I414" s="95"/>
    </row>
    <row r="415" customFormat="false" ht="15" hidden="false" customHeight="true" outlineLevel="0" collapsed="false">
      <c r="C415" s="95"/>
      <c r="G415" s="95"/>
      <c r="I415" s="95"/>
    </row>
    <row r="416" customFormat="false" ht="15" hidden="false" customHeight="true" outlineLevel="0" collapsed="false">
      <c r="C416" s="95"/>
      <c r="G416" s="95"/>
      <c r="I416" s="95"/>
    </row>
    <row r="417" customFormat="false" ht="15" hidden="false" customHeight="true" outlineLevel="0" collapsed="false">
      <c r="C417" s="95"/>
      <c r="G417" s="95"/>
      <c r="I417" s="95"/>
    </row>
    <row r="418" customFormat="false" ht="15" hidden="false" customHeight="true" outlineLevel="0" collapsed="false">
      <c r="C418" s="95"/>
      <c r="G418" s="95"/>
      <c r="I418" s="95"/>
    </row>
    <row r="419" customFormat="false" ht="15" hidden="false" customHeight="true" outlineLevel="0" collapsed="false">
      <c r="C419" s="95"/>
      <c r="G419" s="95"/>
      <c r="I419" s="95"/>
    </row>
    <row r="420" customFormat="false" ht="15" hidden="false" customHeight="true" outlineLevel="0" collapsed="false">
      <c r="C420" s="95"/>
      <c r="G420" s="95"/>
      <c r="I420" s="95"/>
    </row>
    <row r="421" customFormat="false" ht="15" hidden="false" customHeight="true" outlineLevel="0" collapsed="false">
      <c r="C421" s="95"/>
      <c r="G421" s="95"/>
      <c r="I421" s="95"/>
    </row>
    <row r="422" customFormat="false" ht="15" hidden="false" customHeight="true" outlineLevel="0" collapsed="false">
      <c r="C422" s="95"/>
      <c r="G422" s="95"/>
      <c r="I422" s="95"/>
    </row>
    <row r="423" customFormat="false" ht="15" hidden="false" customHeight="true" outlineLevel="0" collapsed="false">
      <c r="C423" s="95"/>
      <c r="G423" s="95"/>
      <c r="I423" s="95"/>
    </row>
    <row r="424" customFormat="false" ht="15" hidden="false" customHeight="true" outlineLevel="0" collapsed="false">
      <c r="C424" s="95"/>
      <c r="G424" s="95"/>
      <c r="I424" s="95"/>
    </row>
    <row r="425" customFormat="false" ht="15" hidden="false" customHeight="true" outlineLevel="0" collapsed="false">
      <c r="C425" s="95"/>
      <c r="G425" s="95"/>
      <c r="I425" s="95"/>
    </row>
    <row r="426" customFormat="false" ht="15" hidden="false" customHeight="true" outlineLevel="0" collapsed="false">
      <c r="C426" s="95"/>
      <c r="G426" s="95"/>
      <c r="I426" s="95"/>
    </row>
    <row r="427" customFormat="false" ht="15" hidden="false" customHeight="true" outlineLevel="0" collapsed="false">
      <c r="C427" s="95"/>
      <c r="G427" s="95"/>
      <c r="I427" s="95"/>
    </row>
    <row r="428" customFormat="false" ht="15" hidden="false" customHeight="true" outlineLevel="0" collapsed="false">
      <c r="C428" s="95"/>
      <c r="G428" s="95"/>
      <c r="I428" s="95"/>
    </row>
    <row r="429" customFormat="false" ht="15" hidden="false" customHeight="true" outlineLevel="0" collapsed="false">
      <c r="C429" s="95"/>
      <c r="G429" s="95"/>
      <c r="I429" s="95"/>
    </row>
    <row r="430" customFormat="false" ht="15" hidden="false" customHeight="true" outlineLevel="0" collapsed="false">
      <c r="C430" s="95"/>
      <c r="G430" s="95"/>
      <c r="I430" s="95"/>
    </row>
    <row r="431" customFormat="false" ht="15" hidden="false" customHeight="true" outlineLevel="0" collapsed="false">
      <c r="C431" s="95"/>
      <c r="G431" s="95"/>
      <c r="I431" s="95"/>
    </row>
    <row r="432" customFormat="false" ht="15" hidden="false" customHeight="true" outlineLevel="0" collapsed="false">
      <c r="C432" s="95"/>
      <c r="G432" s="95"/>
      <c r="I432" s="95"/>
    </row>
    <row r="433" customFormat="false" ht="15" hidden="false" customHeight="true" outlineLevel="0" collapsed="false">
      <c r="C433" s="95"/>
      <c r="G433" s="95"/>
      <c r="I433" s="95"/>
    </row>
    <row r="434" customFormat="false" ht="15" hidden="false" customHeight="true" outlineLevel="0" collapsed="false">
      <c r="C434" s="95"/>
      <c r="G434" s="95"/>
      <c r="I434" s="95"/>
    </row>
    <row r="435" customFormat="false" ht="15" hidden="false" customHeight="true" outlineLevel="0" collapsed="false">
      <c r="C435" s="95"/>
      <c r="G435" s="95"/>
      <c r="I435" s="95"/>
    </row>
    <row r="436" customFormat="false" ht="15" hidden="false" customHeight="true" outlineLevel="0" collapsed="false">
      <c r="C436" s="95"/>
      <c r="G436" s="95"/>
      <c r="I436" s="95"/>
    </row>
    <row r="437" customFormat="false" ht="15" hidden="false" customHeight="true" outlineLevel="0" collapsed="false">
      <c r="C437" s="95"/>
      <c r="G437" s="95"/>
      <c r="I437" s="95"/>
    </row>
    <row r="438" customFormat="false" ht="15" hidden="false" customHeight="true" outlineLevel="0" collapsed="false">
      <c r="C438" s="95"/>
      <c r="G438" s="95"/>
      <c r="I438" s="95"/>
    </row>
    <row r="439" customFormat="false" ht="15" hidden="false" customHeight="true" outlineLevel="0" collapsed="false">
      <c r="C439" s="95"/>
      <c r="G439" s="95"/>
      <c r="I439" s="95"/>
    </row>
    <row r="440" customFormat="false" ht="15" hidden="false" customHeight="true" outlineLevel="0" collapsed="false">
      <c r="C440" s="95"/>
      <c r="G440" s="95"/>
      <c r="I440" s="95"/>
    </row>
    <row r="441" customFormat="false" ht="15" hidden="false" customHeight="true" outlineLevel="0" collapsed="false">
      <c r="C441" s="95"/>
      <c r="G441" s="95"/>
      <c r="I441" s="95"/>
    </row>
    <row r="442" customFormat="false" ht="15" hidden="false" customHeight="true" outlineLevel="0" collapsed="false">
      <c r="C442" s="95"/>
      <c r="G442" s="95"/>
      <c r="I442" s="95"/>
    </row>
    <row r="443" customFormat="false" ht="15" hidden="false" customHeight="true" outlineLevel="0" collapsed="false">
      <c r="C443" s="95"/>
      <c r="G443" s="95"/>
      <c r="I443" s="95"/>
    </row>
    <row r="444" customFormat="false" ht="15" hidden="false" customHeight="true" outlineLevel="0" collapsed="false">
      <c r="C444" s="95"/>
      <c r="G444" s="95"/>
      <c r="I444" s="95"/>
    </row>
    <row r="445" customFormat="false" ht="15" hidden="false" customHeight="true" outlineLevel="0" collapsed="false">
      <c r="C445" s="95"/>
      <c r="G445" s="95"/>
      <c r="I445" s="95"/>
    </row>
    <row r="446" customFormat="false" ht="15" hidden="false" customHeight="true" outlineLevel="0" collapsed="false">
      <c r="C446" s="95"/>
      <c r="G446" s="95"/>
      <c r="I446" s="95"/>
    </row>
    <row r="447" customFormat="false" ht="15" hidden="false" customHeight="true" outlineLevel="0" collapsed="false">
      <c r="C447" s="95"/>
      <c r="G447" s="95"/>
      <c r="I447" s="95"/>
    </row>
    <row r="448" customFormat="false" ht="15" hidden="false" customHeight="true" outlineLevel="0" collapsed="false">
      <c r="C448" s="95"/>
      <c r="G448" s="95"/>
      <c r="I448" s="95"/>
    </row>
    <row r="449" customFormat="false" ht="15" hidden="false" customHeight="true" outlineLevel="0" collapsed="false">
      <c r="C449" s="95"/>
      <c r="G449" s="95"/>
      <c r="I449" s="95"/>
    </row>
    <row r="450" customFormat="false" ht="15" hidden="false" customHeight="true" outlineLevel="0" collapsed="false">
      <c r="C450" s="95"/>
      <c r="G450" s="95"/>
      <c r="I450" s="95"/>
    </row>
    <row r="451" customFormat="false" ht="15" hidden="false" customHeight="true" outlineLevel="0" collapsed="false">
      <c r="C451" s="95"/>
      <c r="G451" s="95"/>
      <c r="I451" s="95"/>
    </row>
    <row r="452" customFormat="false" ht="15" hidden="false" customHeight="true" outlineLevel="0" collapsed="false">
      <c r="C452" s="95"/>
      <c r="G452" s="95"/>
      <c r="I452" s="95"/>
    </row>
    <row r="453" customFormat="false" ht="15" hidden="false" customHeight="true" outlineLevel="0" collapsed="false">
      <c r="C453" s="95"/>
      <c r="G453" s="95"/>
      <c r="I453" s="95"/>
    </row>
    <row r="454" customFormat="false" ht="15" hidden="false" customHeight="true" outlineLevel="0" collapsed="false">
      <c r="C454" s="95"/>
      <c r="G454" s="95"/>
      <c r="I454" s="95"/>
    </row>
    <row r="455" customFormat="false" ht="15" hidden="false" customHeight="true" outlineLevel="0" collapsed="false">
      <c r="C455" s="95"/>
      <c r="G455" s="95"/>
      <c r="I455" s="95"/>
    </row>
    <row r="456" customFormat="false" ht="15" hidden="false" customHeight="true" outlineLevel="0" collapsed="false">
      <c r="C456" s="95"/>
      <c r="G456" s="95"/>
      <c r="I456" s="95"/>
    </row>
    <row r="457" customFormat="false" ht="15" hidden="false" customHeight="true" outlineLevel="0" collapsed="false">
      <c r="C457" s="95"/>
      <c r="G457" s="95"/>
      <c r="I457" s="95"/>
    </row>
    <row r="458" customFormat="false" ht="15" hidden="false" customHeight="true" outlineLevel="0" collapsed="false">
      <c r="C458" s="95"/>
      <c r="G458" s="95"/>
      <c r="I458" s="95"/>
    </row>
    <row r="459" customFormat="false" ht="15" hidden="false" customHeight="true" outlineLevel="0" collapsed="false">
      <c r="C459" s="95"/>
      <c r="G459" s="95"/>
      <c r="I459" s="95"/>
    </row>
    <row r="460" customFormat="false" ht="15" hidden="false" customHeight="true" outlineLevel="0" collapsed="false">
      <c r="C460" s="95"/>
      <c r="G460" s="95"/>
      <c r="I460" s="95"/>
    </row>
    <row r="461" customFormat="false" ht="15" hidden="false" customHeight="true" outlineLevel="0" collapsed="false">
      <c r="C461" s="95"/>
      <c r="G461" s="95"/>
      <c r="I461" s="95"/>
    </row>
    <row r="462" customFormat="false" ht="15" hidden="false" customHeight="true" outlineLevel="0" collapsed="false">
      <c r="C462" s="95"/>
      <c r="G462" s="95"/>
      <c r="I462" s="95"/>
    </row>
    <row r="463" customFormat="false" ht="15" hidden="false" customHeight="true" outlineLevel="0" collapsed="false">
      <c r="C463" s="95"/>
      <c r="G463" s="95"/>
      <c r="I463" s="95"/>
    </row>
    <row r="464" customFormat="false" ht="15" hidden="false" customHeight="true" outlineLevel="0" collapsed="false">
      <c r="C464" s="95"/>
      <c r="G464" s="95"/>
      <c r="I464" s="95"/>
    </row>
    <row r="465" customFormat="false" ht="15" hidden="false" customHeight="true" outlineLevel="0" collapsed="false">
      <c r="C465" s="95"/>
      <c r="G465" s="95"/>
      <c r="I465" s="95"/>
    </row>
    <row r="466" customFormat="false" ht="15" hidden="false" customHeight="true" outlineLevel="0" collapsed="false">
      <c r="C466" s="95"/>
      <c r="G466" s="95"/>
      <c r="I466" s="95"/>
    </row>
    <row r="467" customFormat="false" ht="15" hidden="false" customHeight="true" outlineLevel="0" collapsed="false">
      <c r="C467" s="95"/>
      <c r="G467" s="95"/>
      <c r="I467" s="95"/>
    </row>
    <row r="468" customFormat="false" ht="15" hidden="false" customHeight="true" outlineLevel="0" collapsed="false">
      <c r="C468" s="95"/>
      <c r="G468" s="95"/>
      <c r="I468" s="95"/>
    </row>
    <row r="469" customFormat="false" ht="15" hidden="false" customHeight="true" outlineLevel="0" collapsed="false">
      <c r="C469" s="95"/>
      <c r="G469" s="95"/>
      <c r="I469" s="95"/>
    </row>
    <row r="470" customFormat="false" ht="15" hidden="false" customHeight="true" outlineLevel="0" collapsed="false">
      <c r="C470" s="95"/>
      <c r="G470" s="95"/>
      <c r="I470" s="95"/>
    </row>
    <row r="471" customFormat="false" ht="15" hidden="false" customHeight="true" outlineLevel="0" collapsed="false">
      <c r="C471" s="95"/>
      <c r="G471" s="95"/>
      <c r="I471" s="95"/>
    </row>
    <row r="472" customFormat="false" ht="15" hidden="false" customHeight="true" outlineLevel="0" collapsed="false">
      <c r="C472" s="95"/>
      <c r="G472" s="95"/>
      <c r="I472" s="95"/>
    </row>
    <row r="473" customFormat="false" ht="15" hidden="false" customHeight="true" outlineLevel="0" collapsed="false">
      <c r="C473" s="95"/>
      <c r="G473" s="95"/>
      <c r="I473" s="95"/>
    </row>
    <row r="474" customFormat="false" ht="15" hidden="false" customHeight="true" outlineLevel="0" collapsed="false">
      <c r="C474" s="95"/>
      <c r="G474" s="95"/>
      <c r="I474" s="95"/>
    </row>
    <row r="475" customFormat="false" ht="15" hidden="false" customHeight="true" outlineLevel="0" collapsed="false">
      <c r="C475" s="95"/>
      <c r="G475" s="95"/>
      <c r="I475" s="95"/>
    </row>
    <row r="476" customFormat="false" ht="15" hidden="false" customHeight="true" outlineLevel="0" collapsed="false">
      <c r="C476" s="95"/>
      <c r="G476" s="95"/>
      <c r="I476" s="95"/>
    </row>
    <row r="477" customFormat="false" ht="15" hidden="false" customHeight="true" outlineLevel="0" collapsed="false">
      <c r="C477" s="95"/>
      <c r="G477" s="95"/>
      <c r="I477" s="95"/>
    </row>
    <row r="478" customFormat="false" ht="15" hidden="false" customHeight="true" outlineLevel="0" collapsed="false">
      <c r="C478" s="95"/>
      <c r="G478" s="95"/>
      <c r="I478" s="95"/>
    </row>
    <row r="479" customFormat="false" ht="15" hidden="false" customHeight="true" outlineLevel="0" collapsed="false">
      <c r="C479" s="95"/>
      <c r="G479" s="95"/>
      <c r="I479" s="95"/>
    </row>
    <row r="480" customFormat="false" ht="15" hidden="false" customHeight="true" outlineLevel="0" collapsed="false">
      <c r="C480" s="95"/>
      <c r="G480" s="95"/>
      <c r="I480" s="95"/>
    </row>
    <row r="481" customFormat="false" ht="15" hidden="false" customHeight="true" outlineLevel="0" collapsed="false">
      <c r="C481" s="95"/>
      <c r="G481" s="95"/>
      <c r="I481" s="95"/>
    </row>
    <row r="482" customFormat="false" ht="15" hidden="false" customHeight="true" outlineLevel="0" collapsed="false">
      <c r="C482" s="95"/>
      <c r="G482" s="95"/>
      <c r="I482" s="95"/>
    </row>
    <row r="483" customFormat="false" ht="15" hidden="false" customHeight="true" outlineLevel="0" collapsed="false">
      <c r="C483" s="95"/>
      <c r="G483" s="95"/>
      <c r="I483" s="95"/>
    </row>
    <row r="484" customFormat="false" ht="15" hidden="false" customHeight="true" outlineLevel="0" collapsed="false">
      <c r="C484" s="95"/>
      <c r="G484" s="95"/>
      <c r="I484" s="95"/>
    </row>
    <row r="485" customFormat="false" ht="15" hidden="false" customHeight="true" outlineLevel="0" collapsed="false">
      <c r="C485" s="95"/>
      <c r="G485" s="95"/>
      <c r="I485" s="95"/>
    </row>
    <row r="486" customFormat="false" ht="15" hidden="false" customHeight="true" outlineLevel="0" collapsed="false">
      <c r="C486" s="95"/>
      <c r="G486" s="95"/>
      <c r="I486" s="95"/>
    </row>
    <row r="487" customFormat="false" ht="15" hidden="false" customHeight="true" outlineLevel="0" collapsed="false">
      <c r="C487" s="95"/>
      <c r="G487" s="95"/>
      <c r="I487" s="95"/>
    </row>
    <row r="488" customFormat="false" ht="15" hidden="false" customHeight="true" outlineLevel="0" collapsed="false">
      <c r="C488" s="95"/>
      <c r="G488" s="95"/>
      <c r="I488" s="95"/>
    </row>
    <row r="489" customFormat="false" ht="15" hidden="false" customHeight="true" outlineLevel="0" collapsed="false">
      <c r="C489" s="95"/>
      <c r="G489" s="95"/>
      <c r="I489" s="95"/>
    </row>
    <row r="490" customFormat="false" ht="15" hidden="false" customHeight="true" outlineLevel="0" collapsed="false">
      <c r="C490" s="95"/>
      <c r="G490" s="95"/>
      <c r="I490" s="95"/>
    </row>
    <row r="491" customFormat="false" ht="15" hidden="false" customHeight="true" outlineLevel="0" collapsed="false">
      <c r="C491" s="95"/>
      <c r="G491" s="95"/>
      <c r="I491" s="95"/>
    </row>
    <row r="492" customFormat="false" ht="15" hidden="false" customHeight="true" outlineLevel="0" collapsed="false">
      <c r="C492" s="95"/>
      <c r="G492" s="95"/>
      <c r="I492" s="95"/>
    </row>
    <row r="493" customFormat="false" ht="15" hidden="false" customHeight="true" outlineLevel="0" collapsed="false">
      <c r="C493" s="95"/>
      <c r="G493" s="95"/>
      <c r="I493" s="95"/>
    </row>
    <row r="494" customFormat="false" ht="15" hidden="false" customHeight="true" outlineLevel="0" collapsed="false">
      <c r="C494" s="95"/>
      <c r="G494" s="95"/>
      <c r="I494" s="95"/>
    </row>
    <row r="495" customFormat="false" ht="15" hidden="false" customHeight="true" outlineLevel="0" collapsed="false">
      <c r="C495" s="95"/>
      <c r="G495" s="95"/>
      <c r="I495" s="95"/>
    </row>
    <row r="496" customFormat="false" ht="15" hidden="false" customHeight="true" outlineLevel="0" collapsed="false">
      <c r="C496" s="95"/>
      <c r="G496" s="95"/>
      <c r="I496" s="95"/>
    </row>
    <row r="497" customFormat="false" ht="15" hidden="false" customHeight="true" outlineLevel="0" collapsed="false">
      <c r="C497" s="95"/>
      <c r="G497" s="95"/>
      <c r="I497" s="95"/>
    </row>
    <row r="498" customFormat="false" ht="15" hidden="false" customHeight="true" outlineLevel="0" collapsed="false">
      <c r="C498" s="95"/>
      <c r="G498" s="95"/>
      <c r="I498" s="95"/>
    </row>
    <row r="499" customFormat="false" ht="15" hidden="false" customHeight="true" outlineLevel="0" collapsed="false">
      <c r="C499" s="95"/>
      <c r="G499" s="95"/>
      <c r="I499" s="95"/>
    </row>
    <row r="500" customFormat="false" ht="15" hidden="false" customHeight="true" outlineLevel="0" collapsed="false">
      <c r="C500" s="95"/>
      <c r="G500" s="95"/>
      <c r="I500" s="95"/>
    </row>
    <row r="501" customFormat="false" ht="15" hidden="false" customHeight="true" outlineLevel="0" collapsed="false">
      <c r="C501" s="95"/>
      <c r="G501" s="95"/>
      <c r="I501" s="95"/>
    </row>
    <row r="502" customFormat="false" ht="15" hidden="false" customHeight="true" outlineLevel="0" collapsed="false">
      <c r="C502" s="95"/>
      <c r="G502" s="95"/>
      <c r="I502" s="95"/>
    </row>
    <row r="503" customFormat="false" ht="15" hidden="false" customHeight="true" outlineLevel="0" collapsed="false">
      <c r="C503" s="95"/>
      <c r="G503" s="95"/>
      <c r="I503" s="95"/>
    </row>
    <row r="504" customFormat="false" ht="15" hidden="false" customHeight="true" outlineLevel="0" collapsed="false">
      <c r="C504" s="95"/>
      <c r="G504" s="95"/>
      <c r="I504" s="95"/>
    </row>
    <row r="505" customFormat="false" ht="15" hidden="false" customHeight="true" outlineLevel="0" collapsed="false">
      <c r="C505" s="95"/>
      <c r="G505" s="95"/>
      <c r="I505" s="95"/>
    </row>
    <row r="506" customFormat="false" ht="15" hidden="false" customHeight="true" outlineLevel="0" collapsed="false">
      <c r="C506" s="95"/>
      <c r="G506" s="95"/>
      <c r="I506" s="95"/>
    </row>
    <row r="507" customFormat="false" ht="15" hidden="false" customHeight="true" outlineLevel="0" collapsed="false">
      <c r="C507" s="95"/>
      <c r="G507" s="95"/>
      <c r="I507" s="95"/>
    </row>
    <row r="508" customFormat="false" ht="15" hidden="false" customHeight="true" outlineLevel="0" collapsed="false">
      <c r="C508" s="95"/>
      <c r="G508" s="95"/>
      <c r="I508" s="95"/>
    </row>
    <row r="509" customFormat="false" ht="15" hidden="false" customHeight="true" outlineLevel="0" collapsed="false">
      <c r="C509" s="95"/>
      <c r="G509" s="95"/>
      <c r="I509" s="95"/>
    </row>
    <row r="510" customFormat="false" ht="15" hidden="false" customHeight="true" outlineLevel="0" collapsed="false">
      <c r="C510" s="95"/>
      <c r="G510" s="95"/>
      <c r="I510" s="95"/>
    </row>
    <row r="511" customFormat="false" ht="15" hidden="false" customHeight="true" outlineLevel="0" collapsed="false">
      <c r="C511" s="95"/>
      <c r="G511" s="95"/>
      <c r="I511" s="95"/>
    </row>
    <row r="512" customFormat="false" ht="15" hidden="false" customHeight="true" outlineLevel="0" collapsed="false">
      <c r="C512" s="95"/>
      <c r="G512" s="95"/>
      <c r="I512" s="95"/>
    </row>
    <row r="513" customFormat="false" ht="15" hidden="false" customHeight="true" outlineLevel="0" collapsed="false">
      <c r="C513" s="95"/>
      <c r="G513" s="95"/>
      <c r="I513" s="95"/>
    </row>
    <row r="514" customFormat="false" ht="15" hidden="false" customHeight="true" outlineLevel="0" collapsed="false">
      <c r="C514" s="95"/>
      <c r="G514" s="95"/>
      <c r="I514" s="95"/>
    </row>
    <row r="515" customFormat="false" ht="15" hidden="false" customHeight="true" outlineLevel="0" collapsed="false">
      <c r="C515" s="95"/>
      <c r="G515" s="95"/>
      <c r="I515" s="95"/>
    </row>
    <row r="516" customFormat="false" ht="15" hidden="false" customHeight="true" outlineLevel="0" collapsed="false">
      <c r="C516" s="95"/>
      <c r="G516" s="95"/>
      <c r="I516" s="95"/>
    </row>
    <row r="517" customFormat="false" ht="15" hidden="false" customHeight="true" outlineLevel="0" collapsed="false">
      <c r="C517" s="95"/>
      <c r="G517" s="95"/>
      <c r="I517" s="95"/>
    </row>
    <row r="518" customFormat="false" ht="15" hidden="false" customHeight="true" outlineLevel="0" collapsed="false">
      <c r="C518" s="95"/>
      <c r="G518" s="95"/>
      <c r="I518" s="95"/>
    </row>
    <row r="519" customFormat="false" ht="15" hidden="false" customHeight="true" outlineLevel="0" collapsed="false">
      <c r="C519" s="95"/>
      <c r="G519" s="95"/>
      <c r="I519" s="95"/>
    </row>
    <row r="520" customFormat="false" ht="15" hidden="false" customHeight="true" outlineLevel="0" collapsed="false">
      <c r="C520" s="95"/>
      <c r="G520" s="95"/>
      <c r="I520" s="95"/>
    </row>
    <row r="521" customFormat="false" ht="15" hidden="false" customHeight="true" outlineLevel="0" collapsed="false">
      <c r="C521" s="95"/>
      <c r="G521" s="95"/>
      <c r="I521" s="95"/>
    </row>
    <row r="522" customFormat="false" ht="15" hidden="false" customHeight="true" outlineLevel="0" collapsed="false">
      <c r="C522" s="95"/>
      <c r="G522" s="95"/>
      <c r="I522" s="95"/>
    </row>
    <row r="523" customFormat="false" ht="15" hidden="false" customHeight="true" outlineLevel="0" collapsed="false">
      <c r="C523" s="95"/>
      <c r="G523" s="95"/>
      <c r="I523" s="95"/>
    </row>
    <row r="524" customFormat="false" ht="15" hidden="false" customHeight="true" outlineLevel="0" collapsed="false">
      <c r="C524" s="95"/>
      <c r="G524" s="95"/>
      <c r="I524" s="95"/>
    </row>
    <row r="525" customFormat="false" ht="15" hidden="false" customHeight="true" outlineLevel="0" collapsed="false">
      <c r="C525" s="95"/>
      <c r="G525" s="95"/>
      <c r="I525" s="95"/>
    </row>
    <row r="526" customFormat="false" ht="15" hidden="false" customHeight="true" outlineLevel="0" collapsed="false">
      <c r="C526" s="95"/>
      <c r="G526" s="95"/>
      <c r="I526" s="95"/>
    </row>
    <row r="527" customFormat="false" ht="15" hidden="false" customHeight="true" outlineLevel="0" collapsed="false">
      <c r="C527" s="95"/>
      <c r="G527" s="95"/>
      <c r="I527" s="95"/>
    </row>
    <row r="528" customFormat="false" ht="15" hidden="false" customHeight="true" outlineLevel="0" collapsed="false">
      <c r="C528" s="95"/>
      <c r="G528" s="95"/>
      <c r="I528" s="95"/>
    </row>
    <row r="529" customFormat="false" ht="15" hidden="false" customHeight="true" outlineLevel="0" collapsed="false">
      <c r="C529" s="95"/>
      <c r="G529" s="95"/>
      <c r="I529" s="95"/>
    </row>
    <row r="530" customFormat="false" ht="15" hidden="false" customHeight="true" outlineLevel="0" collapsed="false">
      <c r="C530" s="95"/>
      <c r="G530" s="95"/>
      <c r="I530" s="95"/>
    </row>
    <row r="531" customFormat="false" ht="15" hidden="false" customHeight="true" outlineLevel="0" collapsed="false">
      <c r="C531" s="95"/>
      <c r="G531" s="95"/>
      <c r="I531" s="95"/>
    </row>
    <row r="532" customFormat="false" ht="15" hidden="false" customHeight="true" outlineLevel="0" collapsed="false">
      <c r="C532" s="95"/>
      <c r="G532" s="95"/>
      <c r="I532" s="95"/>
    </row>
    <row r="533" customFormat="false" ht="15" hidden="false" customHeight="true" outlineLevel="0" collapsed="false">
      <c r="C533" s="95"/>
      <c r="G533" s="95"/>
      <c r="I533" s="95"/>
    </row>
    <row r="534" customFormat="false" ht="15" hidden="false" customHeight="true" outlineLevel="0" collapsed="false">
      <c r="C534" s="95"/>
      <c r="G534" s="95"/>
      <c r="I534" s="95"/>
    </row>
    <row r="535" customFormat="false" ht="15" hidden="false" customHeight="true" outlineLevel="0" collapsed="false">
      <c r="C535" s="95"/>
      <c r="G535" s="95"/>
      <c r="I535" s="95"/>
    </row>
    <row r="536" customFormat="false" ht="15" hidden="false" customHeight="true" outlineLevel="0" collapsed="false">
      <c r="C536" s="95"/>
      <c r="G536" s="95"/>
      <c r="I536" s="95"/>
    </row>
    <row r="537" customFormat="false" ht="15" hidden="false" customHeight="true" outlineLevel="0" collapsed="false">
      <c r="C537" s="95"/>
      <c r="G537" s="95"/>
      <c r="I537" s="95"/>
    </row>
    <row r="538" customFormat="false" ht="15" hidden="false" customHeight="true" outlineLevel="0" collapsed="false">
      <c r="C538" s="95"/>
      <c r="G538" s="95"/>
      <c r="I538" s="95"/>
    </row>
    <row r="539" customFormat="false" ht="15" hidden="false" customHeight="true" outlineLevel="0" collapsed="false">
      <c r="C539" s="95"/>
      <c r="G539" s="95"/>
      <c r="I539" s="95"/>
    </row>
    <row r="540" customFormat="false" ht="15" hidden="false" customHeight="true" outlineLevel="0" collapsed="false">
      <c r="C540" s="95"/>
      <c r="G540" s="95"/>
      <c r="I540" s="95"/>
    </row>
    <row r="541" customFormat="false" ht="15" hidden="false" customHeight="true" outlineLevel="0" collapsed="false">
      <c r="C541" s="95"/>
      <c r="G541" s="95"/>
      <c r="I541" s="95"/>
    </row>
    <row r="542" customFormat="false" ht="15" hidden="false" customHeight="true" outlineLevel="0" collapsed="false">
      <c r="C542" s="95"/>
      <c r="G542" s="95"/>
      <c r="I542" s="95"/>
    </row>
    <row r="543" customFormat="false" ht="15" hidden="false" customHeight="true" outlineLevel="0" collapsed="false">
      <c r="C543" s="95"/>
      <c r="G543" s="95"/>
      <c r="I543" s="95"/>
    </row>
    <row r="544" customFormat="false" ht="15" hidden="false" customHeight="true" outlineLevel="0" collapsed="false">
      <c r="C544" s="95"/>
      <c r="G544" s="95"/>
      <c r="I544" s="95"/>
    </row>
    <row r="545" customFormat="false" ht="15" hidden="false" customHeight="true" outlineLevel="0" collapsed="false">
      <c r="C545" s="95"/>
      <c r="G545" s="95"/>
      <c r="I545" s="95"/>
    </row>
    <row r="546" customFormat="false" ht="15" hidden="false" customHeight="true" outlineLevel="0" collapsed="false">
      <c r="C546" s="95"/>
      <c r="G546" s="95"/>
      <c r="I546" s="95"/>
    </row>
    <row r="547" customFormat="false" ht="15" hidden="false" customHeight="true" outlineLevel="0" collapsed="false">
      <c r="C547" s="95"/>
      <c r="G547" s="95"/>
      <c r="I547" s="95"/>
    </row>
    <row r="548" customFormat="false" ht="15" hidden="false" customHeight="true" outlineLevel="0" collapsed="false">
      <c r="C548" s="95"/>
      <c r="G548" s="95"/>
      <c r="I548" s="95"/>
    </row>
    <row r="549" customFormat="false" ht="15" hidden="false" customHeight="true" outlineLevel="0" collapsed="false">
      <c r="C549" s="95"/>
      <c r="G549" s="95"/>
      <c r="I549" s="95"/>
    </row>
    <row r="550" customFormat="false" ht="15" hidden="false" customHeight="true" outlineLevel="0" collapsed="false">
      <c r="C550" s="95"/>
      <c r="G550" s="95"/>
      <c r="I550" s="95"/>
    </row>
    <row r="551" customFormat="false" ht="15" hidden="false" customHeight="true" outlineLevel="0" collapsed="false">
      <c r="C551" s="95"/>
      <c r="G551" s="95"/>
      <c r="I551" s="95"/>
    </row>
    <row r="552" customFormat="false" ht="15" hidden="false" customHeight="true" outlineLevel="0" collapsed="false">
      <c r="C552" s="95"/>
      <c r="G552" s="95"/>
      <c r="I552" s="95"/>
    </row>
    <row r="553" customFormat="false" ht="15" hidden="false" customHeight="true" outlineLevel="0" collapsed="false">
      <c r="C553" s="95"/>
      <c r="G553" s="95"/>
      <c r="I553" s="95"/>
    </row>
    <row r="554" customFormat="false" ht="15" hidden="false" customHeight="true" outlineLevel="0" collapsed="false">
      <c r="C554" s="95"/>
      <c r="G554" s="95"/>
      <c r="I554" s="95"/>
    </row>
    <row r="555" customFormat="false" ht="15" hidden="false" customHeight="true" outlineLevel="0" collapsed="false">
      <c r="C555" s="95"/>
      <c r="G555" s="95"/>
      <c r="I555" s="95"/>
    </row>
    <row r="556" customFormat="false" ht="15" hidden="false" customHeight="true" outlineLevel="0" collapsed="false">
      <c r="C556" s="95"/>
      <c r="G556" s="95"/>
      <c r="I556" s="95"/>
    </row>
    <row r="557" customFormat="false" ht="15" hidden="false" customHeight="true" outlineLevel="0" collapsed="false">
      <c r="C557" s="95"/>
      <c r="G557" s="95"/>
      <c r="I557" s="95"/>
    </row>
    <row r="558" customFormat="false" ht="15" hidden="false" customHeight="true" outlineLevel="0" collapsed="false">
      <c r="C558" s="95"/>
      <c r="G558" s="95"/>
      <c r="I558" s="95"/>
    </row>
    <row r="559" customFormat="false" ht="15" hidden="false" customHeight="true" outlineLevel="0" collapsed="false">
      <c r="C559" s="95"/>
      <c r="G559" s="95"/>
      <c r="I559" s="95"/>
    </row>
    <row r="560" customFormat="false" ht="15" hidden="false" customHeight="true" outlineLevel="0" collapsed="false">
      <c r="C560" s="95"/>
      <c r="G560" s="95"/>
      <c r="I560" s="95"/>
    </row>
    <row r="561" customFormat="false" ht="15" hidden="false" customHeight="true" outlineLevel="0" collapsed="false">
      <c r="C561" s="95"/>
      <c r="G561" s="95"/>
      <c r="I561" s="95"/>
    </row>
    <row r="562" customFormat="false" ht="15" hidden="false" customHeight="true" outlineLevel="0" collapsed="false">
      <c r="C562" s="95"/>
      <c r="G562" s="95"/>
      <c r="I562" s="95"/>
    </row>
    <row r="563" customFormat="false" ht="15" hidden="false" customHeight="true" outlineLevel="0" collapsed="false">
      <c r="C563" s="95"/>
      <c r="G563" s="95"/>
      <c r="I563" s="95"/>
    </row>
    <row r="564" customFormat="false" ht="15" hidden="false" customHeight="true" outlineLevel="0" collapsed="false">
      <c r="C564" s="95"/>
      <c r="G564" s="95"/>
      <c r="I564" s="95"/>
    </row>
    <row r="565" customFormat="false" ht="15" hidden="false" customHeight="true" outlineLevel="0" collapsed="false">
      <c r="C565" s="95"/>
      <c r="G565" s="95"/>
      <c r="I565" s="95"/>
    </row>
    <row r="566" customFormat="false" ht="15" hidden="false" customHeight="true" outlineLevel="0" collapsed="false">
      <c r="C566" s="95"/>
      <c r="G566" s="95"/>
      <c r="I566" s="95"/>
    </row>
    <row r="567" customFormat="false" ht="15" hidden="false" customHeight="true" outlineLevel="0" collapsed="false">
      <c r="C567" s="95"/>
      <c r="G567" s="95"/>
      <c r="I567" s="95"/>
    </row>
    <row r="568" customFormat="false" ht="15" hidden="false" customHeight="true" outlineLevel="0" collapsed="false">
      <c r="C568" s="95"/>
      <c r="G568" s="95"/>
      <c r="I568" s="95"/>
    </row>
    <row r="569" customFormat="false" ht="15" hidden="false" customHeight="true" outlineLevel="0" collapsed="false">
      <c r="C569" s="95"/>
      <c r="G569" s="95"/>
      <c r="I569" s="95"/>
    </row>
    <row r="570" customFormat="false" ht="15" hidden="false" customHeight="true" outlineLevel="0" collapsed="false">
      <c r="C570" s="95"/>
      <c r="G570" s="95"/>
      <c r="I570" s="95"/>
    </row>
    <row r="571" customFormat="false" ht="15" hidden="false" customHeight="true" outlineLevel="0" collapsed="false">
      <c r="C571" s="95"/>
      <c r="G571" s="95"/>
      <c r="I571" s="95"/>
    </row>
    <row r="572" customFormat="false" ht="15" hidden="false" customHeight="true" outlineLevel="0" collapsed="false">
      <c r="C572" s="95"/>
      <c r="G572" s="95"/>
      <c r="I572" s="95"/>
    </row>
    <row r="573" customFormat="false" ht="15" hidden="false" customHeight="true" outlineLevel="0" collapsed="false">
      <c r="C573" s="95"/>
      <c r="G573" s="95"/>
      <c r="I573" s="95"/>
    </row>
    <row r="574" customFormat="false" ht="15" hidden="false" customHeight="true" outlineLevel="0" collapsed="false">
      <c r="C574" s="95"/>
      <c r="G574" s="95"/>
      <c r="I574" s="95"/>
    </row>
    <row r="575" customFormat="false" ht="15" hidden="false" customHeight="true" outlineLevel="0" collapsed="false">
      <c r="C575" s="95"/>
      <c r="G575" s="95"/>
      <c r="I575" s="95"/>
    </row>
    <row r="576" customFormat="false" ht="15" hidden="false" customHeight="true" outlineLevel="0" collapsed="false">
      <c r="C576" s="95"/>
      <c r="G576" s="95"/>
      <c r="I576" s="95"/>
    </row>
    <row r="577" customFormat="false" ht="15" hidden="false" customHeight="true" outlineLevel="0" collapsed="false">
      <c r="C577" s="95"/>
      <c r="G577" s="95"/>
      <c r="I577" s="95"/>
    </row>
    <row r="578" customFormat="false" ht="15" hidden="false" customHeight="true" outlineLevel="0" collapsed="false">
      <c r="C578" s="95"/>
      <c r="G578" s="95"/>
      <c r="I578" s="95"/>
    </row>
    <row r="579" customFormat="false" ht="15" hidden="false" customHeight="true" outlineLevel="0" collapsed="false">
      <c r="C579" s="95"/>
      <c r="G579" s="95"/>
      <c r="I579" s="95"/>
    </row>
    <row r="580" customFormat="false" ht="15" hidden="false" customHeight="true" outlineLevel="0" collapsed="false">
      <c r="C580" s="95"/>
      <c r="G580" s="95"/>
      <c r="I580" s="95"/>
    </row>
    <row r="581" customFormat="false" ht="15" hidden="false" customHeight="true" outlineLevel="0" collapsed="false">
      <c r="C581" s="95"/>
      <c r="G581" s="95"/>
      <c r="I581" s="95"/>
    </row>
    <row r="582" customFormat="false" ht="15" hidden="false" customHeight="true" outlineLevel="0" collapsed="false">
      <c r="C582" s="95"/>
      <c r="G582" s="95"/>
      <c r="I582" s="95"/>
    </row>
    <row r="583" customFormat="false" ht="15" hidden="false" customHeight="true" outlineLevel="0" collapsed="false">
      <c r="C583" s="95"/>
      <c r="G583" s="95"/>
      <c r="I583" s="95"/>
    </row>
    <row r="584" customFormat="false" ht="15" hidden="false" customHeight="true" outlineLevel="0" collapsed="false">
      <c r="C584" s="95"/>
      <c r="G584" s="95"/>
      <c r="I584" s="95"/>
    </row>
    <row r="585" customFormat="false" ht="15" hidden="false" customHeight="true" outlineLevel="0" collapsed="false">
      <c r="C585" s="95"/>
      <c r="G585" s="95"/>
      <c r="I585" s="95"/>
    </row>
    <row r="586" customFormat="false" ht="15" hidden="false" customHeight="true" outlineLevel="0" collapsed="false">
      <c r="C586" s="95"/>
      <c r="G586" s="95"/>
      <c r="I586" s="95"/>
    </row>
    <row r="587" customFormat="false" ht="15" hidden="false" customHeight="true" outlineLevel="0" collapsed="false">
      <c r="C587" s="95"/>
      <c r="G587" s="95"/>
      <c r="I587" s="95"/>
    </row>
    <row r="588" customFormat="false" ht="15" hidden="false" customHeight="true" outlineLevel="0" collapsed="false">
      <c r="C588" s="95"/>
      <c r="G588" s="95"/>
      <c r="I588" s="95"/>
    </row>
    <row r="589" customFormat="false" ht="15" hidden="false" customHeight="true" outlineLevel="0" collapsed="false">
      <c r="C589" s="95"/>
      <c r="G589" s="95"/>
      <c r="I589" s="95"/>
    </row>
    <row r="590" customFormat="false" ht="15" hidden="false" customHeight="true" outlineLevel="0" collapsed="false">
      <c r="C590" s="95"/>
      <c r="G590" s="95"/>
      <c r="I590" s="95"/>
    </row>
    <row r="591" customFormat="false" ht="15" hidden="false" customHeight="true" outlineLevel="0" collapsed="false">
      <c r="C591" s="95"/>
      <c r="G591" s="95"/>
      <c r="I591" s="95"/>
    </row>
    <row r="592" customFormat="false" ht="15" hidden="false" customHeight="true" outlineLevel="0" collapsed="false">
      <c r="C592" s="95"/>
      <c r="G592" s="95"/>
      <c r="I592" s="95"/>
    </row>
    <row r="593" customFormat="false" ht="15" hidden="false" customHeight="true" outlineLevel="0" collapsed="false">
      <c r="C593" s="95"/>
      <c r="G593" s="95"/>
      <c r="I593" s="95"/>
    </row>
    <row r="594" customFormat="false" ht="15" hidden="false" customHeight="true" outlineLevel="0" collapsed="false">
      <c r="C594" s="95"/>
      <c r="G594" s="95"/>
      <c r="I594" s="95"/>
    </row>
    <row r="595" customFormat="false" ht="15" hidden="false" customHeight="true" outlineLevel="0" collapsed="false">
      <c r="C595" s="95"/>
      <c r="G595" s="95"/>
      <c r="I595" s="95"/>
    </row>
    <row r="596" customFormat="false" ht="15" hidden="false" customHeight="true" outlineLevel="0" collapsed="false">
      <c r="C596" s="95"/>
      <c r="G596" s="95"/>
      <c r="I596" s="95"/>
    </row>
    <row r="597" customFormat="false" ht="15" hidden="false" customHeight="true" outlineLevel="0" collapsed="false">
      <c r="C597" s="95"/>
      <c r="G597" s="95"/>
      <c r="I597" s="95"/>
    </row>
    <row r="598" customFormat="false" ht="15" hidden="false" customHeight="true" outlineLevel="0" collapsed="false">
      <c r="C598" s="95"/>
      <c r="G598" s="95"/>
      <c r="I598" s="95"/>
    </row>
    <row r="599" customFormat="false" ht="15" hidden="false" customHeight="true" outlineLevel="0" collapsed="false">
      <c r="C599" s="95"/>
      <c r="G599" s="95"/>
      <c r="I599" s="95"/>
    </row>
    <row r="600" customFormat="false" ht="15" hidden="false" customHeight="true" outlineLevel="0" collapsed="false">
      <c r="C600" s="95"/>
      <c r="G600" s="95"/>
      <c r="I600" s="95"/>
    </row>
    <row r="601" customFormat="false" ht="15" hidden="false" customHeight="true" outlineLevel="0" collapsed="false">
      <c r="C601" s="95"/>
      <c r="G601" s="95"/>
      <c r="I601" s="95"/>
    </row>
    <row r="602" customFormat="false" ht="15" hidden="false" customHeight="true" outlineLevel="0" collapsed="false">
      <c r="C602" s="95"/>
      <c r="G602" s="95"/>
      <c r="I602" s="95"/>
    </row>
    <row r="603" customFormat="false" ht="15" hidden="false" customHeight="true" outlineLevel="0" collapsed="false">
      <c r="C603" s="95"/>
      <c r="G603" s="95"/>
      <c r="I603" s="95"/>
    </row>
    <row r="604" customFormat="false" ht="15" hidden="false" customHeight="true" outlineLevel="0" collapsed="false">
      <c r="C604" s="95"/>
      <c r="G604" s="95"/>
      <c r="I604" s="95"/>
    </row>
    <row r="605" customFormat="false" ht="15" hidden="false" customHeight="true" outlineLevel="0" collapsed="false">
      <c r="C605" s="95"/>
      <c r="G605" s="95"/>
      <c r="I605" s="95"/>
    </row>
    <row r="606" customFormat="false" ht="15" hidden="false" customHeight="true" outlineLevel="0" collapsed="false">
      <c r="C606" s="95"/>
      <c r="G606" s="95"/>
      <c r="I606" s="95"/>
    </row>
    <row r="607" customFormat="false" ht="15" hidden="false" customHeight="true" outlineLevel="0" collapsed="false">
      <c r="C607" s="95"/>
      <c r="G607" s="95"/>
      <c r="I607" s="95"/>
    </row>
    <row r="608" customFormat="false" ht="15" hidden="false" customHeight="true" outlineLevel="0" collapsed="false">
      <c r="C608" s="95"/>
      <c r="G608" s="95"/>
      <c r="I608" s="95"/>
    </row>
    <row r="609" customFormat="false" ht="15" hidden="false" customHeight="true" outlineLevel="0" collapsed="false">
      <c r="C609" s="95"/>
      <c r="G609" s="95"/>
      <c r="I609" s="95"/>
    </row>
    <row r="610" customFormat="false" ht="15" hidden="false" customHeight="true" outlineLevel="0" collapsed="false">
      <c r="C610" s="95"/>
      <c r="G610" s="95"/>
      <c r="I610" s="95"/>
    </row>
    <row r="611" customFormat="false" ht="15" hidden="false" customHeight="true" outlineLevel="0" collapsed="false">
      <c r="C611" s="95"/>
      <c r="G611" s="95"/>
      <c r="I611" s="95"/>
    </row>
    <row r="612" customFormat="false" ht="15" hidden="false" customHeight="true" outlineLevel="0" collapsed="false">
      <c r="C612" s="95"/>
      <c r="G612" s="95"/>
      <c r="I612" s="95"/>
    </row>
    <row r="613" customFormat="false" ht="15" hidden="false" customHeight="true" outlineLevel="0" collapsed="false">
      <c r="C613" s="95"/>
      <c r="G613" s="95"/>
      <c r="I613" s="95"/>
    </row>
    <row r="614" customFormat="false" ht="15" hidden="false" customHeight="true" outlineLevel="0" collapsed="false">
      <c r="C614" s="95"/>
      <c r="G614" s="95"/>
      <c r="I614" s="95"/>
    </row>
    <row r="615" customFormat="false" ht="15" hidden="false" customHeight="true" outlineLevel="0" collapsed="false">
      <c r="C615" s="95"/>
      <c r="G615" s="95"/>
      <c r="I615" s="95"/>
    </row>
    <row r="616" customFormat="false" ht="15" hidden="false" customHeight="true" outlineLevel="0" collapsed="false">
      <c r="C616" s="95"/>
      <c r="G616" s="95"/>
      <c r="I616" s="95"/>
    </row>
    <row r="617" customFormat="false" ht="15" hidden="false" customHeight="true" outlineLevel="0" collapsed="false">
      <c r="C617" s="95"/>
      <c r="G617" s="95"/>
      <c r="I617" s="95"/>
    </row>
    <row r="618" customFormat="false" ht="15" hidden="false" customHeight="true" outlineLevel="0" collapsed="false">
      <c r="C618" s="95"/>
      <c r="G618" s="95"/>
      <c r="I618" s="95"/>
    </row>
    <row r="619" customFormat="false" ht="15" hidden="false" customHeight="true" outlineLevel="0" collapsed="false">
      <c r="C619" s="95"/>
      <c r="G619" s="95"/>
      <c r="I619" s="95"/>
    </row>
    <row r="620" customFormat="false" ht="15" hidden="false" customHeight="true" outlineLevel="0" collapsed="false">
      <c r="C620" s="95"/>
      <c r="G620" s="95"/>
      <c r="I620" s="95"/>
    </row>
    <row r="621" customFormat="false" ht="15" hidden="false" customHeight="true" outlineLevel="0" collapsed="false">
      <c r="C621" s="95"/>
      <c r="G621" s="95"/>
      <c r="I621" s="95"/>
    </row>
    <row r="622" customFormat="false" ht="15" hidden="false" customHeight="true" outlineLevel="0" collapsed="false">
      <c r="C622" s="95"/>
      <c r="G622" s="95"/>
      <c r="I622" s="95"/>
    </row>
    <row r="623" customFormat="false" ht="15" hidden="false" customHeight="true" outlineLevel="0" collapsed="false">
      <c r="C623" s="95"/>
      <c r="G623" s="95"/>
      <c r="I623" s="95"/>
    </row>
    <row r="624" customFormat="false" ht="15" hidden="false" customHeight="true" outlineLevel="0" collapsed="false">
      <c r="C624" s="95"/>
      <c r="G624" s="95"/>
      <c r="I624" s="95"/>
    </row>
    <row r="625" customFormat="false" ht="15" hidden="false" customHeight="true" outlineLevel="0" collapsed="false">
      <c r="C625" s="95"/>
      <c r="G625" s="95"/>
      <c r="I625" s="95"/>
    </row>
    <row r="626" customFormat="false" ht="15" hidden="false" customHeight="true" outlineLevel="0" collapsed="false">
      <c r="C626" s="95"/>
      <c r="G626" s="95"/>
      <c r="I626" s="95"/>
    </row>
    <row r="627" customFormat="false" ht="15" hidden="false" customHeight="true" outlineLevel="0" collapsed="false">
      <c r="C627" s="95"/>
      <c r="G627" s="95"/>
      <c r="I627" s="95"/>
    </row>
    <row r="628" customFormat="false" ht="15" hidden="false" customHeight="true" outlineLevel="0" collapsed="false">
      <c r="C628" s="95"/>
      <c r="G628" s="95"/>
      <c r="I628" s="95"/>
    </row>
    <row r="629" customFormat="false" ht="15" hidden="false" customHeight="true" outlineLevel="0" collapsed="false">
      <c r="C629" s="95"/>
      <c r="G629" s="95"/>
      <c r="I629" s="95"/>
    </row>
    <row r="630" customFormat="false" ht="15" hidden="false" customHeight="true" outlineLevel="0" collapsed="false">
      <c r="C630" s="95"/>
      <c r="G630" s="95"/>
      <c r="I630" s="95"/>
    </row>
    <row r="631" customFormat="false" ht="15" hidden="false" customHeight="true" outlineLevel="0" collapsed="false">
      <c r="C631" s="95"/>
      <c r="G631" s="95"/>
      <c r="I631" s="95"/>
    </row>
    <row r="632" customFormat="false" ht="15" hidden="false" customHeight="true" outlineLevel="0" collapsed="false">
      <c r="C632" s="95"/>
      <c r="G632" s="95"/>
      <c r="I632" s="95"/>
    </row>
    <row r="633" customFormat="false" ht="15" hidden="false" customHeight="true" outlineLevel="0" collapsed="false">
      <c r="C633" s="95"/>
      <c r="G633" s="95"/>
      <c r="I633" s="95"/>
    </row>
    <row r="634" customFormat="false" ht="15" hidden="false" customHeight="true" outlineLevel="0" collapsed="false">
      <c r="C634" s="95"/>
      <c r="G634" s="95"/>
      <c r="I634" s="95"/>
    </row>
    <row r="635" customFormat="false" ht="15" hidden="false" customHeight="true" outlineLevel="0" collapsed="false">
      <c r="C635" s="95"/>
      <c r="G635" s="95"/>
      <c r="I635" s="95"/>
    </row>
    <row r="636" customFormat="false" ht="15" hidden="false" customHeight="true" outlineLevel="0" collapsed="false">
      <c r="C636" s="95"/>
      <c r="G636" s="95"/>
      <c r="I636" s="95"/>
    </row>
    <row r="637" customFormat="false" ht="15" hidden="false" customHeight="true" outlineLevel="0" collapsed="false">
      <c r="C637" s="95"/>
      <c r="G637" s="95"/>
      <c r="I637" s="95"/>
    </row>
    <row r="638" customFormat="false" ht="15" hidden="false" customHeight="true" outlineLevel="0" collapsed="false">
      <c r="C638" s="95"/>
      <c r="G638" s="95"/>
      <c r="I638" s="95"/>
    </row>
    <row r="639" customFormat="false" ht="15" hidden="false" customHeight="true" outlineLevel="0" collapsed="false">
      <c r="C639" s="95"/>
      <c r="G639" s="95"/>
      <c r="I639" s="95"/>
    </row>
    <row r="640" customFormat="false" ht="15" hidden="false" customHeight="true" outlineLevel="0" collapsed="false">
      <c r="C640" s="95"/>
      <c r="G640" s="95"/>
      <c r="I640" s="95"/>
    </row>
    <row r="641" customFormat="false" ht="15" hidden="false" customHeight="true" outlineLevel="0" collapsed="false">
      <c r="C641" s="95"/>
      <c r="G641" s="95"/>
      <c r="I641" s="95"/>
    </row>
    <row r="642" customFormat="false" ht="15" hidden="false" customHeight="true" outlineLevel="0" collapsed="false">
      <c r="C642" s="95"/>
      <c r="G642" s="95"/>
      <c r="I642" s="95"/>
    </row>
    <row r="643" customFormat="false" ht="15" hidden="false" customHeight="true" outlineLevel="0" collapsed="false">
      <c r="C643" s="95"/>
      <c r="G643" s="95"/>
      <c r="I643" s="95"/>
    </row>
    <row r="644" customFormat="false" ht="15" hidden="false" customHeight="true" outlineLevel="0" collapsed="false">
      <c r="C644" s="95"/>
      <c r="G644" s="95"/>
      <c r="I644" s="95"/>
    </row>
    <row r="645" customFormat="false" ht="15" hidden="false" customHeight="true" outlineLevel="0" collapsed="false">
      <c r="C645" s="95"/>
      <c r="G645" s="95"/>
      <c r="I645" s="95"/>
    </row>
    <row r="646" customFormat="false" ht="15" hidden="false" customHeight="true" outlineLevel="0" collapsed="false">
      <c r="C646" s="95"/>
      <c r="G646" s="95"/>
      <c r="I646" s="95"/>
    </row>
    <row r="647" customFormat="false" ht="15" hidden="false" customHeight="true" outlineLevel="0" collapsed="false">
      <c r="C647" s="95"/>
      <c r="G647" s="95"/>
      <c r="I647" s="95"/>
    </row>
    <row r="648" customFormat="false" ht="15" hidden="false" customHeight="true" outlineLevel="0" collapsed="false">
      <c r="C648" s="95"/>
      <c r="G648" s="95"/>
      <c r="I648" s="95"/>
    </row>
    <row r="649" customFormat="false" ht="15" hidden="false" customHeight="true" outlineLevel="0" collapsed="false">
      <c r="C649" s="95"/>
      <c r="G649" s="95"/>
      <c r="I649" s="95"/>
    </row>
    <row r="650" customFormat="false" ht="15" hidden="false" customHeight="true" outlineLevel="0" collapsed="false">
      <c r="C650" s="95"/>
      <c r="G650" s="95"/>
      <c r="I650" s="95"/>
    </row>
    <row r="651" customFormat="false" ht="15" hidden="false" customHeight="true" outlineLevel="0" collapsed="false">
      <c r="C651" s="95"/>
      <c r="G651" s="95"/>
      <c r="I651" s="95"/>
    </row>
    <row r="652" customFormat="false" ht="15" hidden="false" customHeight="true" outlineLevel="0" collapsed="false">
      <c r="C652" s="95"/>
      <c r="G652" s="95"/>
      <c r="I652" s="95"/>
    </row>
    <row r="653" customFormat="false" ht="15" hidden="false" customHeight="true" outlineLevel="0" collapsed="false">
      <c r="C653" s="95"/>
      <c r="G653" s="95"/>
      <c r="I653" s="95"/>
    </row>
    <row r="654" customFormat="false" ht="15" hidden="false" customHeight="true" outlineLevel="0" collapsed="false">
      <c r="C654" s="95"/>
      <c r="G654" s="95"/>
      <c r="I654" s="95"/>
    </row>
    <row r="655" customFormat="false" ht="15" hidden="false" customHeight="true" outlineLevel="0" collapsed="false">
      <c r="C655" s="95"/>
      <c r="G655" s="95"/>
      <c r="I655" s="95"/>
    </row>
    <row r="656" customFormat="false" ht="15" hidden="false" customHeight="true" outlineLevel="0" collapsed="false">
      <c r="C656" s="95"/>
      <c r="G656" s="95"/>
      <c r="I656" s="95"/>
    </row>
    <row r="657" customFormat="false" ht="15" hidden="false" customHeight="true" outlineLevel="0" collapsed="false">
      <c r="C657" s="95"/>
      <c r="G657" s="95"/>
      <c r="I657" s="95"/>
    </row>
    <row r="658" customFormat="false" ht="15" hidden="false" customHeight="true" outlineLevel="0" collapsed="false">
      <c r="C658" s="95"/>
      <c r="G658" s="95"/>
      <c r="I658" s="95"/>
    </row>
    <row r="659" customFormat="false" ht="15" hidden="false" customHeight="true" outlineLevel="0" collapsed="false">
      <c r="C659" s="95"/>
      <c r="G659" s="95"/>
      <c r="I659" s="95"/>
    </row>
    <row r="660" customFormat="false" ht="15" hidden="false" customHeight="true" outlineLevel="0" collapsed="false">
      <c r="C660" s="95"/>
      <c r="G660" s="95"/>
      <c r="I660" s="95"/>
    </row>
    <row r="661" customFormat="false" ht="15" hidden="false" customHeight="true" outlineLevel="0" collapsed="false">
      <c r="C661" s="95"/>
      <c r="G661" s="95"/>
      <c r="I661" s="95"/>
    </row>
    <row r="662" customFormat="false" ht="15" hidden="false" customHeight="true" outlineLevel="0" collapsed="false">
      <c r="C662" s="95"/>
      <c r="G662" s="95"/>
      <c r="I662" s="95"/>
    </row>
    <row r="663" customFormat="false" ht="15" hidden="false" customHeight="true" outlineLevel="0" collapsed="false">
      <c r="C663" s="95"/>
      <c r="G663" s="95"/>
      <c r="I663" s="95"/>
    </row>
    <row r="664" customFormat="false" ht="15" hidden="false" customHeight="true" outlineLevel="0" collapsed="false">
      <c r="C664" s="95"/>
      <c r="G664" s="95"/>
      <c r="I664" s="95"/>
    </row>
    <row r="665" customFormat="false" ht="15" hidden="false" customHeight="true" outlineLevel="0" collapsed="false">
      <c r="C665" s="95"/>
      <c r="G665" s="95"/>
      <c r="I665" s="95"/>
    </row>
    <row r="666" customFormat="false" ht="15" hidden="false" customHeight="true" outlineLevel="0" collapsed="false">
      <c r="C666" s="95"/>
      <c r="G666" s="95"/>
      <c r="I666" s="95"/>
    </row>
    <row r="667" customFormat="false" ht="15" hidden="false" customHeight="true" outlineLevel="0" collapsed="false">
      <c r="C667" s="95"/>
      <c r="G667" s="95"/>
      <c r="I667" s="95"/>
    </row>
    <row r="668" customFormat="false" ht="15" hidden="false" customHeight="true" outlineLevel="0" collapsed="false">
      <c r="C668" s="95"/>
      <c r="G668" s="95"/>
      <c r="I668" s="95"/>
    </row>
    <row r="669" customFormat="false" ht="15" hidden="false" customHeight="true" outlineLevel="0" collapsed="false">
      <c r="C669" s="95"/>
      <c r="G669" s="95"/>
      <c r="I669" s="95"/>
    </row>
    <row r="670" customFormat="false" ht="15" hidden="false" customHeight="true" outlineLevel="0" collapsed="false">
      <c r="C670" s="95"/>
      <c r="G670" s="95"/>
      <c r="I670" s="95"/>
    </row>
    <row r="671" customFormat="false" ht="15" hidden="false" customHeight="true" outlineLevel="0" collapsed="false">
      <c r="C671" s="95"/>
      <c r="G671" s="95"/>
      <c r="I671" s="95"/>
    </row>
    <row r="672" customFormat="false" ht="15" hidden="false" customHeight="true" outlineLevel="0" collapsed="false">
      <c r="C672" s="95"/>
      <c r="G672" s="95"/>
      <c r="I672" s="95"/>
    </row>
    <row r="673" customFormat="false" ht="15" hidden="false" customHeight="true" outlineLevel="0" collapsed="false">
      <c r="C673" s="95"/>
      <c r="G673" s="95"/>
      <c r="I673" s="95"/>
    </row>
    <row r="674" customFormat="false" ht="15" hidden="false" customHeight="true" outlineLevel="0" collapsed="false">
      <c r="C674" s="95"/>
      <c r="G674" s="95"/>
      <c r="I674" s="95"/>
    </row>
    <row r="675" customFormat="false" ht="15" hidden="false" customHeight="true" outlineLevel="0" collapsed="false">
      <c r="C675" s="95"/>
      <c r="G675" s="95"/>
      <c r="I675" s="95"/>
    </row>
    <row r="676" customFormat="false" ht="15" hidden="false" customHeight="true" outlineLevel="0" collapsed="false">
      <c r="C676" s="95"/>
      <c r="G676" s="95"/>
      <c r="I676" s="95"/>
    </row>
    <row r="677" customFormat="false" ht="15" hidden="false" customHeight="true" outlineLevel="0" collapsed="false">
      <c r="C677" s="95"/>
      <c r="G677" s="95"/>
      <c r="I677" s="95"/>
    </row>
    <row r="678" customFormat="false" ht="15" hidden="false" customHeight="true" outlineLevel="0" collapsed="false">
      <c r="C678" s="95"/>
      <c r="G678" s="95"/>
      <c r="I678" s="95"/>
    </row>
    <row r="679" customFormat="false" ht="15" hidden="false" customHeight="true" outlineLevel="0" collapsed="false">
      <c r="C679" s="95"/>
      <c r="G679" s="95"/>
      <c r="I679" s="95"/>
    </row>
    <row r="680" customFormat="false" ht="15" hidden="false" customHeight="true" outlineLevel="0" collapsed="false">
      <c r="C680" s="95"/>
      <c r="G680" s="95"/>
      <c r="I680" s="95"/>
    </row>
    <row r="681" customFormat="false" ht="15" hidden="false" customHeight="true" outlineLevel="0" collapsed="false">
      <c r="C681" s="95"/>
      <c r="G681" s="95"/>
      <c r="I681" s="95"/>
    </row>
    <row r="682" customFormat="false" ht="15" hidden="false" customHeight="true" outlineLevel="0" collapsed="false">
      <c r="C682" s="95"/>
      <c r="G682" s="95"/>
      <c r="I682" s="95"/>
    </row>
    <row r="683" customFormat="false" ht="15" hidden="false" customHeight="true" outlineLevel="0" collapsed="false">
      <c r="C683" s="95"/>
      <c r="G683" s="95"/>
      <c r="I683" s="95"/>
    </row>
    <row r="684" customFormat="false" ht="15" hidden="false" customHeight="true" outlineLevel="0" collapsed="false">
      <c r="C684" s="95"/>
      <c r="G684" s="95"/>
      <c r="I684" s="95"/>
    </row>
    <row r="685" customFormat="false" ht="15" hidden="false" customHeight="true" outlineLevel="0" collapsed="false">
      <c r="C685" s="95"/>
      <c r="G685" s="95"/>
      <c r="I685" s="95"/>
    </row>
    <row r="686" customFormat="false" ht="15" hidden="false" customHeight="true" outlineLevel="0" collapsed="false">
      <c r="C686" s="95"/>
      <c r="G686" s="95"/>
      <c r="I686" s="95"/>
    </row>
    <row r="687" customFormat="false" ht="15" hidden="false" customHeight="true" outlineLevel="0" collapsed="false">
      <c r="C687" s="95"/>
      <c r="G687" s="95"/>
      <c r="I687" s="95"/>
    </row>
    <row r="688" customFormat="false" ht="15" hidden="false" customHeight="true" outlineLevel="0" collapsed="false">
      <c r="C688" s="95"/>
      <c r="G688" s="95"/>
      <c r="I688" s="95"/>
    </row>
    <row r="689" customFormat="false" ht="15" hidden="false" customHeight="true" outlineLevel="0" collapsed="false">
      <c r="C689" s="95"/>
      <c r="G689" s="95"/>
      <c r="I689" s="95"/>
    </row>
    <row r="690" customFormat="false" ht="15" hidden="false" customHeight="true" outlineLevel="0" collapsed="false">
      <c r="C690" s="95"/>
      <c r="G690" s="95"/>
      <c r="I690" s="95"/>
    </row>
    <row r="691" customFormat="false" ht="15" hidden="false" customHeight="true" outlineLevel="0" collapsed="false">
      <c r="C691" s="95"/>
      <c r="G691" s="95"/>
      <c r="I691" s="95"/>
    </row>
    <row r="692" customFormat="false" ht="15" hidden="false" customHeight="true" outlineLevel="0" collapsed="false">
      <c r="C692" s="95"/>
      <c r="G692" s="95"/>
      <c r="I692" s="95"/>
    </row>
    <row r="693" customFormat="false" ht="15" hidden="false" customHeight="true" outlineLevel="0" collapsed="false">
      <c r="C693" s="95"/>
      <c r="G693" s="95"/>
      <c r="I693" s="95"/>
    </row>
    <row r="694" customFormat="false" ht="15" hidden="false" customHeight="true" outlineLevel="0" collapsed="false">
      <c r="C694" s="95"/>
      <c r="G694" s="95"/>
      <c r="I694" s="95"/>
    </row>
    <row r="695" customFormat="false" ht="15" hidden="false" customHeight="true" outlineLevel="0" collapsed="false">
      <c r="C695" s="95"/>
      <c r="G695" s="95"/>
      <c r="I695" s="95"/>
    </row>
    <row r="696" customFormat="false" ht="15" hidden="false" customHeight="true" outlineLevel="0" collapsed="false">
      <c r="C696" s="95"/>
      <c r="G696" s="95"/>
      <c r="I696" s="95"/>
    </row>
    <row r="697" customFormat="false" ht="15" hidden="false" customHeight="true" outlineLevel="0" collapsed="false">
      <c r="C697" s="95"/>
      <c r="G697" s="95"/>
      <c r="I697" s="95"/>
    </row>
    <row r="698" customFormat="false" ht="15" hidden="false" customHeight="true" outlineLevel="0" collapsed="false">
      <c r="C698" s="95"/>
      <c r="G698" s="95"/>
      <c r="I698" s="95"/>
    </row>
    <row r="699" customFormat="false" ht="15" hidden="false" customHeight="true" outlineLevel="0" collapsed="false">
      <c r="C699" s="95"/>
      <c r="G699" s="95"/>
      <c r="I699" s="95"/>
    </row>
    <row r="700" customFormat="false" ht="15" hidden="false" customHeight="true" outlineLevel="0" collapsed="false">
      <c r="C700" s="95"/>
      <c r="G700" s="95"/>
      <c r="I700" s="95"/>
    </row>
    <row r="701" customFormat="false" ht="15" hidden="false" customHeight="true" outlineLevel="0" collapsed="false">
      <c r="C701" s="95"/>
      <c r="G701" s="95"/>
      <c r="I701" s="95"/>
    </row>
    <row r="702" customFormat="false" ht="15" hidden="false" customHeight="true" outlineLevel="0" collapsed="false">
      <c r="C702" s="95"/>
      <c r="G702" s="95"/>
      <c r="I702" s="95"/>
    </row>
    <row r="703" customFormat="false" ht="15" hidden="false" customHeight="true" outlineLevel="0" collapsed="false">
      <c r="C703" s="95"/>
      <c r="G703" s="95"/>
      <c r="I703" s="95"/>
    </row>
    <row r="704" customFormat="false" ht="15" hidden="false" customHeight="true" outlineLevel="0" collapsed="false">
      <c r="C704" s="95"/>
      <c r="G704" s="95"/>
      <c r="I704" s="95"/>
    </row>
    <row r="705" customFormat="false" ht="15" hidden="false" customHeight="true" outlineLevel="0" collapsed="false">
      <c r="C705" s="95"/>
      <c r="G705" s="95"/>
      <c r="I705" s="95"/>
    </row>
    <row r="706" customFormat="false" ht="15" hidden="false" customHeight="true" outlineLevel="0" collapsed="false">
      <c r="C706" s="95"/>
      <c r="G706" s="95"/>
      <c r="I706" s="95"/>
    </row>
    <row r="707" customFormat="false" ht="15" hidden="false" customHeight="true" outlineLevel="0" collapsed="false">
      <c r="C707" s="95"/>
      <c r="G707" s="95"/>
      <c r="I707" s="95"/>
    </row>
    <row r="708" customFormat="false" ht="15" hidden="false" customHeight="true" outlineLevel="0" collapsed="false">
      <c r="C708" s="95"/>
      <c r="G708" s="95"/>
      <c r="I708" s="95"/>
    </row>
    <row r="709" customFormat="false" ht="15" hidden="false" customHeight="true" outlineLevel="0" collapsed="false">
      <c r="C709" s="95"/>
      <c r="G709" s="95"/>
      <c r="I709" s="95"/>
    </row>
    <row r="710" customFormat="false" ht="15" hidden="false" customHeight="true" outlineLevel="0" collapsed="false">
      <c r="C710" s="95"/>
      <c r="G710" s="95"/>
      <c r="I710" s="95"/>
    </row>
    <row r="711" customFormat="false" ht="15" hidden="false" customHeight="true" outlineLevel="0" collapsed="false">
      <c r="C711" s="95"/>
      <c r="G711" s="95"/>
      <c r="I711" s="95"/>
    </row>
    <row r="712" customFormat="false" ht="15" hidden="false" customHeight="true" outlineLevel="0" collapsed="false">
      <c r="C712" s="95"/>
      <c r="G712" s="95"/>
      <c r="I712" s="95"/>
    </row>
    <row r="713" customFormat="false" ht="15" hidden="false" customHeight="true" outlineLevel="0" collapsed="false">
      <c r="C713" s="95"/>
      <c r="G713" s="95"/>
      <c r="I713" s="95"/>
    </row>
    <row r="714" customFormat="false" ht="15" hidden="false" customHeight="true" outlineLevel="0" collapsed="false">
      <c r="C714" s="95"/>
      <c r="G714" s="95"/>
      <c r="I714" s="95"/>
    </row>
    <row r="715" customFormat="false" ht="15" hidden="false" customHeight="true" outlineLevel="0" collapsed="false">
      <c r="C715" s="95"/>
      <c r="G715" s="95"/>
      <c r="I715" s="95"/>
    </row>
    <row r="716" customFormat="false" ht="15" hidden="false" customHeight="true" outlineLevel="0" collapsed="false">
      <c r="C716" s="95"/>
      <c r="G716" s="95"/>
      <c r="I716" s="95"/>
    </row>
    <row r="717" customFormat="false" ht="15" hidden="false" customHeight="true" outlineLevel="0" collapsed="false">
      <c r="C717" s="95"/>
      <c r="G717" s="95"/>
      <c r="I717" s="95"/>
    </row>
    <row r="718" customFormat="false" ht="15" hidden="false" customHeight="true" outlineLevel="0" collapsed="false">
      <c r="C718" s="95"/>
      <c r="G718" s="95"/>
      <c r="I718" s="95"/>
    </row>
    <row r="719" customFormat="false" ht="15" hidden="false" customHeight="true" outlineLevel="0" collapsed="false">
      <c r="C719" s="95"/>
      <c r="G719" s="95"/>
      <c r="I719" s="95"/>
    </row>
    <row r="720" customFormat="false" ht="15" hidden="false" customHeight="true" outlineLevel="0" collapsed="false">
      <c r="C720" s="95"/>
      <c r="G720" s="95"/>
      <c r="I720" s="95"/>
    </row>
    <row r="721" customFormat="false" ht="15" hidden="false" customHeight="true" outlineLevel="0" collapsed="false">
      <c r="C721" s="95"/>
      <c r="G721" s="95"/>
      <c r="I721" s="95"/>
    </row>
    <row r="722" customFormat="false" ht="15" hidden="false" customHeight="true" outlineLevel="0" collapsed="false">
      <c r="C722" s="95"/>
      <c r="G722" s="95"/>
      <c r="I722" s="95"/>
    </row>
    <row r="723" customFormat="false" ht="15" hidden="false" customHeight="true" outlineLevel="0" collapsed="false">
      <c r="C723" s="95"/>
      <c r="G723" s="95"/>
      <c r="I723" s="95"/>
    </row>
    <row r="724" customFormat="false" ht="15" hidden="false" customHeight="true" outlineLevel="0" collapsed="false">
      <c r="C724" s="95"/>
      <c r="G724" s="95"/>
      <c r="I724" s="95"/>
    </row>
    <row r="725" customFormat="false" ht="15" hidden="false" customHeight="true" outlineLevel="0" collapsed="false">
      <c r="C725" s="95"/>
      <c r="G725" s="95"/>
      <c r="I725" s="95"/>
    </row>
    <row r="726" customFormat="false" ht="15" hidden="false" customHeight="true" outlineLevel="0" collapsed="false">
      <c r="C726" s="95"/>
      <c r="G726" s="95"/>
      <c r="I726" s="95"/>
    </row>
    <row r="727" customFormat="false" ht="15" hidden="false" customHeight="true" outlineLevel="0" collapsed="false">
      <c r="C727" s="95"/>
      <c r="G727" s="95"/>
      <c r="I727" s="95"/>
    </row>
    <row r="728" customFormat="false" ht="15" hidden="false" customHeight="true" outlineLevel="0" collapsed="false">
      <c r="C728" s="95"/>
      <c r="G728" s="95"/>
      <c r="I728" s="95"/>
    </row>
    <row r="729" customFormat="false" ht="15" hidden="false" customHeight="true" outlineLevel="0" collapsed="false">
      <c r="C729" s="95"/>
      <c r="G729" s="95"/>
      <c r="I729" s="95"/>
    </row>
    <row r="730" customFormat="false" ht="15" hidden="false" customHeight="true" outlineLevel="0" collapsed="false">
      <c r="C730" s="95"/>
      <c r="G730" s="95"/>
      <c r="I730" s="95"/>
    </row>
    <row r="731" customFormat="false" ht="15" hidden="false" customHeight="true" outlineLevel="0" collapsed="false">
      <c r="C731" s="95"/>
      <c r="G731" s="95"/>
      <c r="I731" s="95"/>
    </row>
    <row r="732" customFormat="false" ht="15" hidden="false" customHeight="true" outlineLevel="0" collapsed="false">
      <c r="C732" s="95"/>
      <c r="G732" s="95"/>
      <c r="I732" s="95"/>
    </row>
    <row r="733" customFormat="false" ht="15" hidden="false" customHeight="true" outlineLevel="0" collapsed="false">
      <c r="C733" s="95"/>
      <c r="G733" s="95"/>
      <c r="I733" s="95"/>
    </row>
    <row r="734" customFormat="false" ht="15" hidden="false" customHeight="true" outlineLevel="0" collapsed="false">
      <c r="C734" s="95"/>
      <c r="G734" s="95"/>
      <c r="I734" s="95"/>
    </row>
    <row r="735" customFormat="false" ht="15" hidden="false" customHeight="true" outlineLevel="0" collapsed="false">
      <c r="C735" s="95"/>
      <c r="G735" s="95"/>
      <c r="I735" s="95"/>
    </row>
    <row r="736" customFormat="false" ht="15" hidden="false" customHeight="true" outlineLevel="0" collapsed="false">
      <c r="C736" s="95"/>
      <c r="G736" s="95"/>
      <c r="I736" s="95"/>
    </row>
    <row r="737" customFormat="false" ht="15" hidden="false" customHeight="true" outlineLevel="0" collapsed="false">
      <c r="C737" s="95"/>
      <c r="G737" s="95"/>
      <c r="I737" s="95"/>
    </row>
    <row r="738" customFormat="false" ht="15" hidden="false" customHeight="true" outlineLevel="0" collapsed="false">
      <c r="C738" s="95"/>
      <c r="G738" s="95"/>
      <c r="I738" s="95"/>
    </row>
    <row r="739" customFormat="false" ht="15" hidden="false" customHeight="true" outlineLevel="0" collapsed="false">
      <c r="C739" s="95"/>
      <c r="G739" s="95"/>
      <c r="I739" s="95"/>
    </row>
    <row r="740" customFormat="false" ht="15" hidden="false" customHeight="true" outlineLevel="0" collapsed="false">
      <c r="C740" s="95"/>
      <c r="G740" s="95"/>
      <c r="I740" s="95"/>
    </row>
    <row r="741" customFormat="false" ht="15" hidden="false" customHeight="true" outlineLevel="0" collapsed="false">
      <c r="C741" s="95"/>
      <c r="G741" s="95"/>
      <c r="I741" s="95"/>
    </row>
    <row r="742" customFormat="false" ht="15" hidden="false" customHeight="true" outlineLevel="0" collapsed="false">
      <c r="C742" s="95"/>
      <c r="G742" s="95"/>
      <c r="I742" s="95"/>
    </row>
    <row r="743" customFormat="false" ht="15" hidden="false" customHeight="true" outlineLevel="0" collapsed="false">
      <c r="C743" s="95"/>
      <c r="G743" s="95"/>
      <c r="I743" s="95"/>
    </row>
    <row r="744" customFormat="false" ht="15" hidden="false" customHeight="true" outlineLevel="0" collapsed="false">
      <c r="C744" s="95"/>
      <c r="G744" s="95"/>
      <c r="I744" s="95"/>
    </row>
    <row r="745" customFormat="false" ht="15" hidden="false" customHeight="true" outlineLevel="0" collapsed="false">
      <c r="C745" s="95"/>
      <c r="G745" s="95"/>
      <c r="I745" s="95"/>
    </row>
    <row r="746" customFormat="false" ht="15" hidden="false" customHeight="true" outlineLevel="0" collapsed="false">
      <c r="C746" s="95"/>
      <c r="G746" s="95"/>
      <c r="I746" s="95"/>
    </row>
    <row r="747" customFormat="false" ht="15" hidden="false" customHeight="true" outlineLevel="0" collapsed="false">
      <c r="C747" s="95"/>
      <c r="G747" s="95"/>
      <c r="I747" s="95"/>
    </row>
    <row r="748" customFormat="false" ht="15" hidden="false" customHeight="true" outlineLevel="0" collapsed="false">
      <c r="C748" s="95"/>
      <c r="G748" s="95"/>
      <c r="I748" s="95"/>
    </row>
    <row r="749" customFormat="false" ht="15" hidden="false" customHeight="true" outlineLevel="0" collapsed="false">
      <c r="C749" s="95"/>
      <c r="G749" s="95"/>
      <c r="I749" s="95"/>
    </row>
    <row r="750" customFormat="false" ht="15" hidden="false" customHeight="true" outlineLevel="0" collapsed="false">
      <c r="C750" s="95"/>
      <c r="G750" s="95"/>
      <c r="I750" s="95"/>
    </row>
    <row r="751" customFormat="false" ht="15" hidden="false" customHeight="true" outlineLevel="0" collapsed="false">
      <c r="C751" s="95"/>
      <c r="G751" s="95"/>
      <c r="I751" s="95"/>
    </row>
    <row r="752" customFormat="false" ht="15" hidden="false" customHeight="true" outlineLevel="0" collapsed="false">
      <c r="C752" s="95"/>
      <c r="G752" s="95"/>
      <c r="I752" s="95"/>
    </row>
    <row r="753" customFormat="false" ht="15" hidden="false" customHeight="true" outlineLevel="0" collapsed="false">
      <c r="C753" s="95"/>
      <c r="G753" s="95"/>
      <c r="I753" s="95"/>
    </row>
    <row r="754" customFormat="false" ht="15" hidden="false" customHeight="true" outlineLevel="0" collapsed="false">
      <c r="C754" s="95"/>
      <c r="G754" s="95"/>
      <c r="I754" s="95"/>
    </row>
    <row r="755" customFormat="false" ht="15" hidden="false" customHeight="true" outlineLevel="0" collapsed="false">
      <c r="C755" s="95"/>
      <c r="G755" s="95"/>
      <c r="I755" s="95"/>
    </row>
    <row r="756" customFormat="false" ht="15" hidden="false" customHeight="true" outlineLevel="0" collapsed="false">
      <c r="C756" s="95"/>
      <c r="G756" s="95"/>
      <c r="I756" s="95"/>
    </row>
    <row r="757" customFormat="false" ht="15" hidden="false" customHeight="true" outlineLevel="0" collapsed="false">
      <c r="C757" s="95"/>
      <c r="G757" s="95"/>
      <c r="I757" s="95"/>
    </row>
    <row r="758" customFormat="false" ht="15" hidden="false" customHeight="true" outlineLevel="0" collapsed="false">
      <c r="C758" s="95"/>
      <c r="G758" s="95"/>
      <c r="I758" s="95"/>
    </row>
    <row r="759" customFormat="false" ht="15" hidden="false" customHeight="true" outlineLevel="0" collapsed="false">
      <c r="C759" s="95"/>
      <c r="G759" s="95"/>
      <c r="I759" s="95"/>
    </row>
    <row r="760" customFormat="false" ht="15" hidden="false" customHeight="true" outlineLevel="0" collapsed="false">
      <c r="C760" s="95"/>
      <c r="G760" s="95"/>
      <c r="I760" s="95"/>
    </row>
    <row r="761" customFormat="false" ht="15" hidden="false" customHeight="true" outlineLevel="0" collapsed="false">
      <c r="C761" s="95"/>
      <c r="G761" s="95"/>
      <c r="I761" s="95"/>
    </row>
    <row r="762" customFormat="false" ht="15" hidden="false" customHeight="true" outlineLevel="0" collapsed="false">
      <c r="C762" s="95"/>
      <c r="G762" s="95"/>
      <c r="I762" s="95"/>
    </row>
    <row r="763" customFormat="false" ht="15" hidden="false" customHeight="true" outlineLevel="0" collapsed="false">
      <c r="C763" s="95"/>
      <c r="G763" s="95"/>
      <c r="I763" s="95"/>
    </row>
    <row r="764" customFormat="false" ht="15" hidden="false" customHeight="true" outlineLevel="0" collapsed="false">
      <c r="C764" s="95"/>
      <c r="G764" s="95"/>
      <c r="I764" s="95"/>
    </row>
    <row r="765" customFormat="false" ht="15" hidden="false" customHeight="true" outlineLevel="0" collapsed="false">
      <c r="C765" s="95"/>
      <c r="G765" s="95"/>
      <c r="I765" s="95"/>
    </row>
    <row r="766" customFormat="false" ht="15" hidden="false" customHeight="true" outlineLevel="0" collapsed="false">
      <c r="C766" s="95"/>
      <c r="G766" s="95"/>
      <c r="I766" s="95"/>
    </row>
    <row r="767" customFormat="false" ht="15" hidden="false" customHeight="true" outlineLevel="0" collapsed="false">
      <c r="C767" s="95"/>
      <c r="G767" s="95"/>
      <c r="I767" s="95"/>
    </row>
    <row r="768" customFormat="false" ht="15" hidden="false" customHeight="true" outlineLevel="0" collapsed="false">
      <c r="C768" s="95"/>
      <c r="G768" s="95"/>
      <c r="I768" s="95"/>
    </row>
    <row r="769" customFormat="false" ht="15" hidden="false" customHeight="true" outlineLevel="0" collapsed="false">
      <c r="C769" s="95"/>
      <c r="G769" s="95"/>
      <c r="I769" s="95"/>
    </row>
    <row r="770" customFormat="false" ht="15" hidden="false" customHeight="true" outlineLevel="0" collapsed="false">
      <c r="C770" s="95"/>
      <c r="G770" s="95"/>
      <c r="I770" s="95"/>
    </row>
    <row r="771" customFormat="false" ht="15" hidden="false" customHeight="true" outlineLevel="0" collapsed="false">
      <c r="C771" s="95"/>
      <c r="G771" s="95"/>
      <c r="I771" s="95"/>
    </row>
    <row r="772" customFormat="false" ht="15" hidden="false" customHeight="true" outlineLevel="0" collapsed="false">
      <c r="C772" s="95"/>
      <c r="G772" s="95"/>
      <c r="I772" s="95"/>
    </row>
    <row r="773" customFormat="false" ht="15" hidden="false" customHeight="true" outlineLevel="0" collapsed="false">
      <c r="C773" s="95"/>
      <c r="G773" s="95"/>
      <c r="I773" s="95"/>
    </row>
    <row r="774" customFormat="false" ht="15" hidden="false" customHeight="true" outlineLevel="0" collapsed="false">
      <c r="C774" s="95"/>
      <c r="G774" s="95"/>
      <c r="I774" s="95"/>
    </row>
    <row r="775" customFormat="false" ht="15" hidden="false" customHeight="true" outlineLevel="0" collapsed="false">
      <c r="C775" s="95"/>
      <c r="G775" s="95"/>
      <c r="I775" s="95"/>
    </row>
    <row r="776" customFormat="false" ht="15" hidden="false" customHeight="true" outlineLevel="0" collapsed="false">
      <c r="C776" s="95"/>
      <c r="G776" s="95"/>
      <c r="I776" s="95"/>
    </row>
    <row r="777" customFormat="false" ht="15" hidden="false" customHeight="true" outlineLevel="0" collapsed="false">
      <c r="C777" s="95"/>
      <c r="G777" s="95"/>
      <c r="I777" s="95"/>
    </row>
    <row r="778" customFormat="false" ht="15" hidden="false" customHeight="true" outlineLevel="0" collapsed="false">
      <c r="C778" s="95"/>
      <c r="G778" s="95"/>
      <c r="I778" s="95"/>
    </row>
    <row r="779" customFormat="false" ht="15" hidden="false" customHeight="true" outlineLevel="0" collapsed="false">
      <c r="C779" s="95"/>
      <c r="G779" s="95"/>
      <c r="I779" s="95"/>
    </row>
    <row r="780" customFormat="false" ht="15" hidden="false" customHeight="true" outlineLevel="0" collapsed="false">
      <c r="C780" s="95"/>
      <c r="G780" s="95"/>
      <c r="I780" s="95"/>
    </row>
    <row r="781" customFormat="false" ht="15" hidden="false" customHeight="true" outlineLevel="0" collapsed="false">
      <c r="C781" s="95"/>
      <c r="G781" s="95"/>
      <c r="I781" s="95"/>
    </row>
    <row r="782" customFormat="false" ht="15" hidden="false" customHeight="true" outlineLevel="0" collapsed="false">
      <c r="C782" s="95"/>
      <c r="G782" s="95"/>
      <c r="I782" s="95"/>
    </row>
    <row r="783" customFormat="false" ht="15" hidden="false" customHeight="true" outlineLevel="0" collapsed="false">
      <c r="C783" s="95"/>
      <c r="G783" s="95"/>
      <c r="I783" s="95"/>
    </row>
    <row r="784" customFormat="false" ht="15" hidden="false" customHeight="true" outlineLevel="0" collapsed="false">
      <c r="C784" s="95"/>
      <c r="G784" s="95"/>
      <c r="I784" s="95"/>
    </row>
    <row r="785" customFormat="false" ht="15" hidden="false" customHeight="true" outlineLevel="0" collapsed="false">
      <c r="C785" s="95"/>
      <c r="G785" s="95"/>
      <c r="I785" s="95"/>
    </row>
    <row r="786" customFormat="false" ht="15" hidden="false" customHeight="true" outlineLevel="0" collapsed="false">
      <c r="C786" s="95"/>
      <c r="G786" s="95"/>
      <c r="I786" s="95"/>
    </row>
    <row r="787" customFormat="false" ht="15" hidden="false" customHeight="true" outlineLevel="0" collapsed="false">
      <c r="C787" s="95"/>
      <c r="G787" s="95"/>
      <c r="I787" s="95"/>
    </row>
    <row r="788" customFormat="false" ht="15" hidden="false" customHeight="true" outlineLevel="0" collapsed="false">
      <c r="C788" s="95"/>
      <c r="G788" s="95"/>
      <c r="I788" s="95"/>
    </row>
    <row r="789" customFormat="false" ht="15" hidden="false" customHeight="true" outlineLevel="0" collapsed="false">
      <c r="C789" s="95"/>
      <c r="G789" s="95"/>
      <c r="I789" s="95"/>
    </row>
    <row r="790" customFormat="false" ht="15" hidden="false" customHeight="true" outlineLevel="0" collapsed="false">
      <c r="C790" s="95"/>
      <c r="G790" s="95"/>
      <c r="I790" s="95"/>
    </row>
    <row r="791" customFormat="false" ht="15" hidden="false" customHeight="true" outlineLevel="0" collapsed="false">
      <c r="C791" s="95"/>
      <c r="G791" s="95"/>
      <c r="I791" s="95"/>
    </row>
    <row r="792" customFormat="false" ht="15" hidden="false" customHeight="true" outlineLevel="0" collapsed="false">
      <c r="C792" s="95"/>
      <c r="G792" s="95"/>
      <c r="I792" s="95"/>
    </row>
    <row r="793" customFormat="false" ht="15" hidden="false" customHeight="true" outlineLevel="0" collapsed="false">
      <c r="C793" s="95"/>
      <c r="G793" s="95"/>
      <c r="I793" s="95"/>
    </row>
    <row r="794" customFormat="false" ht="15" hidden="false" customHeight="true" outlineLevel="0" collapsed="false">
      <c r="C794" s="95"/>
      <c r="G794" s="95"/>
      <c r="I794" s="95"/>
    </row>
    <row r="795" customFormat="false" ht="15" hidden="false" customHeight="true" outlineLevel="0" collapsed="false">
      <c r="C795" s="95"/>
      <c r="G795" s="95"/>
      <c r="I795" s="95"/>
    </row>
    <row r="796" customFormat="false" ht="15" hidden="false" customHeight="true" outlineLevel="0" collapsed="false">
      <c r="C796" s="95"/>
      <c r="G796" s="95"/>
      <c r="I796" s="95"/>
    </row>
    <row r="797" customFormat="false" ht="15" hidden="false" customHeight="true" outlineLevel="0" collapsed="false">
      <c r="C797" s="95"/>
      <c r="G797" s="95"/>
      <c r="I797" s="95"/>
    </row>
    <row r="798" customFormat="false" ht="15" hidden="false" customHeight="true" outlineLevel="0" collapsed="false">
      <c r="C798" s="95"/>
      <c r="G798" s="95"/>
      <c r="I798" s="95"/>
    </row>
    <row r="799" customFormat="false" ht="15" hidden="false" customHeight="true" outlineLevel="0" collapsed="false">
      <c r="C799" s="95"/>
      <c r="G799" s="95"/>
      <c r="I799" s="95"/>
    </row>
    <row r="800" customFormat="false" ht="15" hidden="false" customHeight="true" outlineLevel="0" collapsed="false">
      <c r="C800" s="95"/>
      <c r="G800" s="95"/>
      <c r="I800" s="95"/>
    </row>
    <row r="801" customFormat="false" ht="15" hidden="false" customHeight="true" outlineLevel="0" collapsed="false">
      <c r="C801" s="95"/>
      <c r="G801" s="95"/>
      <c r="I801" s="95"/>
    </row>
    <row r="802" customFormat="false" ht="15" hidden="false" customHeight="true" outlineLevel="0" collapsed="false">
      <c r="C802" s="95"/>
      <c r="G802" s="95"/>
      <c r="I802" s="95"/>
    </row>
    <row r="803" customFormat="false" ht="15" hidden="false" customHeight="true" outlineLevel="0" collapsed="false">
      <c r="C803" s="95"/>
      <c r="G803" s="95"/>
      <c r="I803" s="95"/>
    </row>
    <row r="804" customFormat="false" ht="15" hidden="false" customHeight="true" outlineLevel="0" collapsed="false">
      <c r="C804" s="95"/>
      <c r="G804" s="95"/>
      <c r="I804" s="95"/>
    </row>
    <row r="805" customFormat="false" ht="15" hidden="false" customHeight="true" outlineLevel="0" collapsed="false">
      <c r="C805" s="95"/>
      <c r="G805" s="95"/>
      <c r="I805" s="95"/>
    </row>
    <row r="806" customFormat="false" ht="15" hidden="false" customHeight="true" outlineLevel="0" collapsed="false">
      <c r="C806" s="95"/>
      <c r="G806" s="95"/>
      <c r="I806" s="95"/>
    </row>
    <row r="807" customFormat="false" ht="15" hidden="false" customHeight="true" outlineLevel="0" collapsed="false">
      <c r="C807" s="95"/>
      <c r="G807" s="95"/>
      <c r="I807" s="95"/>
    </row>
    <row r="808" customFormat="false" ht="15" hidden="false" customHeight="true" outlineLevel="0" collapsed="false">
      <c r="C808" s="95"/>
      <c r="G808" s="95"/>
      <c r="I808" s="95"/>
    </row>
    <row r="809" customFormat="false" ht="15" hidden="false" customHeight="true" outlineLevel="0" collapsed="false">
      <c r="C809" s="95"/>
      <c r="G809" s="95"/>
      <c r="I809" s="95"/>
    </row>
    <row r="810" customFormat="false" ht="15" hidden="false" customHeight="true" outlineLevel="0" collapsed="false">
      <c r="C810" s="95"/>
      <c r="G810" s="95"/>
      <c r="I810" s="95"/>
    </row>
    <row r="811" customFormat="false" ht="15" hidden="false" customHeight="true" outlineLevel="0" collapsed="false">
      <c r="C811" s="95"/>
      <c r="G811" s="95"/>
      <c r="I811" s="95"/>
    </row>
    <row r="812" customFormat="false" ht="15" hidden="false" customHeight="true" outlineLevel="0" collapsed="false">
      <c r="C812" s="95"/>
      <c r="G812" s="95"/>
      <c r="I812" s="95"/>
    </row>
    <row r="813" customFormat="false" ht="15" hidden="false" customHeight="true" outlineLevel="0" collapsed="false">
      <c r="C813" s="95"/>
      <c r="G813" s="95"/>
      <c r="I813" s="95"/>
    </row>
    <row r="814" customFormat="false" ht="15" hidden="false" customHeight="true" outlineLevel="0" collapsed="false">
      <c r="C814" s="95"/>
      <c r="G814" s="95"/>
      <c r="I814" s="95"/>
    </row>
    <row r="815" customFormat="false" ht="15" hidden="false" customHeight="true" outlineLevel="0" collapsed="false">
      <c r="C815" s="95"/>
      <c r="G815" s="95"/>
      <c r="I815" s="95"/>
    </row>
    <row r="816" customFormat="false" ht="15" hidden="false" customHeight="true" outlineLevel="0" collapsed="false">
      <c r="C816" s="95"/>
      <c r="G816" s="95"/>
      <c r="I816" s="95"/>
    </row>
    <row r="817" customFormat="false" ht="15" hidden="false" customHeight="true" outlineLevel="0" collapsed="false">
      <c r="C817" s="95"/>
      <c r="G817" s="95"/>
      <c r="I817" s="95"/>
    </row>
    <row r="818" customFormat="false" ht="15" hidden="false" customHeight="true" outlineLevel="0" collapsed="false">
      <c r="C818" s="95"/>
      <c r="G818" s="95"/>
      <c r="I818" s="95"/>
    </row>
    <row r="819" customFormat="false" ht="15" hidden="false" customHeight="true" outlineLevel="0" collapsed="false">
      <c r="C819" s="95"/>
      <c r="G819" s="95"/>
      <c r="I819" s="95"/>
    </row>
    <row r="820" customFormat="false" ht="15" hidden="false" customHeight="true" outlineLevel="0" collapsed="false">
      <c r="C820" s="95"/>
      <c r="G820" s="95"/>
      <c r="I820" s="95"/>
    </row>
    <row r="821" customFormat="false" ht="15" hidden="false" customHeight="true" outlineLevel="0" collapsed="false">
      <c r="C821" s="95"/>
      <c r="G821" s="95"/>
      <c r="I821" s="95"/>
    </row>
    <row r="822" customFormat="false" ht="15" hidden="false" customHeight="true" outlineLevel="0" collapsed="false">
      <c r="C822" s="95"/>
      <c r="G822" s="95"/>
      <c r="I822" s="95"/>
    </row>
    <row r="823" customFormat="false" ht="15" hidden="false" customHeight="true" outlineLevel="0" collapsed="false">
      <c r="C823" s="95"/>
      <c r="G823" s="95"/>
      <c r="I823" s="95"/>
    </row>
    <row r="824" customFormat="false" ht="15" hidden="false" customHeight="true" outlineLevel="0" collapsed="false">
      <c r="C824" s="95"/>
      <c r="G824" s="95"/>
      <c r="I824" s="95"/>
    </row>
    <row r="825" customFormat="false" ht="15" hidden="false" customHeight="true" outlineLevel="0" collapsed="false">
      <c r="C825" s="95"/>
      <c r="G825" s="95"/>
      <c r="I825" s="95"/>
    </row>
    <row r="826" customFormat="false" ht="15" hidden="false" customHeight="true" outlineLevel="0" collapsed="false">
      <c r="C826" s="95"/>
      <c r="G826" s="95"/>
      <c r="I826" s="95"/>
    </row>
    <row r="827" customFormat="false" ht="15" hidden="false" customHeight="true" outlineLevel="0" collapsed="false">
      <c r="C827" s="95"/>
      <c r="G827" s="95"/>
      <c r="I827" s="95"/>
    </row>
    <row r="828" customFormat="false" ht="15" hidden="false" customHeight="true" outlineLevel="0" collapsed="false">
      <c r="C828" s="95"/>
      <c r="G828" s="95"/>
      <c r="I828" s="95"/>
    </row>
    <row r="829" customFormat="false" ht="15" hidden="false" customHeight="true" outlineLevel="0" collapsed="false">
      <c r="C829" s="95"/>
      <c r="G829" s="95"/>
      <c r="I829" s="95"/>
    </row>
    <row r="830" customFormat="false" ht="15" hidden="false" customHeight="true" outlineLevel="0" collapsed="false">
      <c r="C830" s="95"/>
      <c r="G830" s="95"/>
      <c r="I830" s="95"/>
    </row>
    <row r="831" customFormat="false" ht="15" hidden="false" customHeight="true" outlineLevel="0" collapsed="false">
      <c r="C831" s="95"/>
      <c r="G831" s="95"/>
      <c r="I831" s="95"/>
    </row>
    <row r="832" customFormat="false" ht="15" hidden="false" customHeight="true" outlineLevel="0" collapsed="false">
      <c r="C832" s="95"/>
      <c r="G832" s="95"/>
      <c r="I832" s="95"/>
    </row>
    <row r="833" customFormat="false" ht="15" hidden="false" customHeight="true" outlineLevel="0" collapsed="false">
      <c r="C833" s="95"/>
      <c r="G833" s="95"/>
      <c r="I833" s="95"/>
    </row>
    <row r="834" customFormat="false" ht="15" hidden="false" customHeight="true" outlineLevel="0" collapsed="false">
      <c r="C834" s="95"/>
      <c r="G834" s="95"/>
      <c r="I834" s="95"/>
    </row>
    <row r="835" customFormat="false" ht="15" hidden="false" customHeight="true" outlineLevel="0" collapsed="false">
      <c r="C835" s="95"/>
      <c r="G835" s="95"/>
      <c r="I835" s="95"/>
    </row>
    <row r="836" customFormat="false" ht="15" hidden="false" customHeight="true" outlineLevel="0" collapsed="false">
      <c r="C836" s="95"/>
      <c r="G836" s="95"/>
      <c r="I836" s="95"/>
    </row>
    <row r="837" customFormat="false" ht="15" hidden="false" customHeight="true" outlineLevel="0" collapsed="false">
      <c r="C837" s="95"/>
      <c r="G837" s="95"/>
      <c r="I837" s="95"/>
    </row>
    <row r="838" customFormat="false" ht="15" hidden="false" customHeight="true" outlineLevel="0" collapsed="false">
      <c r="C838" s="95"/>
      <c r="G838" s="95"/>
      <c r="I838" s="95"/>
    </row>
    <row r="839" customFormat="false" ht="15" hidden="false" customHeight="true" outlineLevel="0" collapsed="false">
      <c r="C839" s="95"/>
      <c r="G839" s="95"/>
      <c r="I839" s="95"/>
    </row>
    <row r="840" customFormat="false" ht="15" hidden="false" customHeight="true" outlineLevel="0" collapsed="false">
      <c r="C840" s="95"/>
      <c r="G840" s="95"/>
      <c r="I840" s="95"/>
    </row>
    <row r="841" customFormat="false" ht="15" hidden="false" customHeight="true" outlineLevel="0" collapsed="false">
      <c r="C841" s="95"/>
      <c r="G841" s="95"/>
      <c r="I841" s="95"/>
    </row>
    <row r="842" customFormat="false" ht="15" hidden="false" customHeight="true" outlineLevel="0" collapsed="false">
      <c r="C842" s="95"/>
      <c r="G842" s="95"/>
      <c r="I842" s="95"/>
    </row>
    <row r="843" customFormat="false" ht="15" hidden="false" customHeight="true" outlineLevel="0" collapsed="false">
      <c r="C843" s="95"/>
      <c r="G843" s="95"/>
      <c r="I843" s="95"/>
    </row>
    <row r="844" customFormat="false" ht="15" hidden="false" customHeight="true" outlineLevel="0" collapsed="false">
      <c r="C844" s="95"/>
      <c r="G844" s="95"/>
      <c r="I844" s="95"/>
    </row>
    <row r="845" customFormat="false" ht="15" hidden="false" customHeight="true" outlineLevel="0" collapsed="false">
      <c r="C845" s="95"/>
      <c r="G845" s="95"/>
      <c r="I845" s="95"/>
    </row>
    <row r="846" customFormat="false" ht="15" hidden="false" customHeight="true" outlineLevel="0" collapsed="false">
      <c r="C846" s="95"/>
      <c r="G846" s="95"/>
      <c r="I846" s="95"/>
    </row>
    <row r="847" customFormat="false" ht="15" hidden="false" customHeight="true" outlineLevel="0" collapsed="false">
      <c r="C847" s="95"/>
      <c r="G847" s="95"/>
      <c r="I847" s="95"/>
    </row>
    <row r="848" customFormat="false" ht="15" hidden="false" customHeight="true" outlineLevel="0" collapsed="false">
      <c r="C848" s="95"/>
      <c r="G848" s="95"/>
      <c r="I848" s="95"/>
    </row>
    <row r="849" customFormat="false" ht="15" hidden="false" customHeight="true" outlineLevel="0" collapsed="false">
      <c r="C849" s="95"/>
      <c r="G849" s="95"/>
      <c r="I849" s="95"/>
    </row>
    <row r="850" customFormat="false" ht="15" hidden="false" customHeight="true" outlineLevel="0" collapsed="false">
      <c r="C850" s="95"/>
      <c r="G850" s="95"/>
      <c r="I850" s="95"/>
    </row>
    <row r="851" customFormat="false" ht="15" hidden="false" customHeight="true" outlineLevel="0" collapsed="false">
      <c r="C851" s="95"/>
      <c r="G851" s="95"/>
      <c r="I851" s="95"/>
    </row>
    <row r="852" customFormat="false" ht="15" hidden="false" customHeight="true" outlineLevel="0" collapsed="false">
      <c r="C852" s="95"/>
      <c r="G852" s="95"/>
      <c r="I852" s="95"/>
    </row>
    <row r="853" customFormat="false" ht="15" hidden="false" customHeight="true" outlineLevel="0" collapsed="false">
      <c r="C853" s="95"/>
      <c r="G853" s="95"/>
      <c r="I853" s="95"/>
    </row>
    <row r="854" customFormat="false" ht="15" hidden="false" customHeight="true" outlineLevel="0" collapsed="false">
      <c r="C854" s="95"/>
      <c r="G854" s="95"/>
      <c r="I854" s="95"/>
    </row>
    <row r="855" customFormat="false" ht="15" hidden="false" customHeight="true" outlineLevel="0" collapsed="false">
      <c r="C855" s="95"/>
      <c r="G855" s="95"/>
      <c r="I855" s="95"/>
    </row>
    <row r="856" customFormat="false" ht="15" hidden="false" customHeight="true" outlineLevel="0" collapsed="false">
      <c r="C856" s="95"/>
      <c r="G856" s="95"/>
      <c r="I856" s="95"/>
    </row>
    <row r="857" customFormat="false" ht="15" hidden="false" customHeight="true" outlineLevel="0" collapsed="false">
      <c r="C857" s="95"/>
      <c r="G857" s="95"/>
      <c r="I857" s="95"/>
    </row>
    <row r="858" customFormat="false" ht="15" hidden="false" customHeight="true" outlineLevel="0" collapsed="false">
      <c r="C858" s="95"/>
      <c r="G858" s="95"/>
      <c r="I858" s="95"/>
    </row>
    <row r="859" customFormat="false" ht="15" hidden="false" customHeight="true" outlineLevel="0" collapsed="false">
      <c r="C859" s="95"/>
      <c r="G859" s="95"/>
      <c r="I859" s="95"/>
    </row>
    <row r="860" customFormat="false" ht="15" hidden="false" customHeight="true" outlineLevel="0" collapsed="false">
      <c r="C860" s="95"/>
      <c r="G860" s="95"/>
      <c r="I860" s="95"/>
    </row>
    <row r="861" customFormat="false" ht="15" hidden="false" customHeight="true" outlineLevel="0" collapsed="false">
      <c r="C861" s="95"/>
      <c r="G861" s="95"/>
      <c r="I861" s="95"/>
    </row>
    <row r="862" customFormat="false" ht="15" hidden="false" customHeight="true" outlineLevel="0" collapsed="false">
      <c r="C862" s="95"/>
      <c r="G862" s="95"/>
      <c r="I862" s="95"/>
    </row>
    <row r="863" customFormat="false" ht="15" hidden="false" customHeight="true" outlineLevel="0" collapsed="false">
      <c r="C863" s="95"/>
      <c r="G863" s="95"/>
      <c r="I863" s="95"/>
    </row>
    <row r="864" customFormat="false" ht="15" hidden="false" customHeight="true" outlineLevel="0" collapsed="false">
      <c r="C864" s="95"/>
      <c r="G864" s="95"/>
      <c r="I864" s="95"/>
    </row>
    <row r="865" customFormat="false" ht="15" hidden="false" customHeight="true" outlineLevel="0" collapsed="false">
      <c r="C865" s="95"/>
      <c r="G865" s="95"/>
      <c r="I865" s="95"/>
    </row>
    <row r="866" customFormat="false" ht="15" hidden="false" customHeight="true" outlineLevel="0" collapsed="false">
      <c r="C866" s="95"/>
      <c r="G866" s="95"/>
      <c r="I866" s="95"/>
    </row>
    <row r="867" customFormat="false" ht="15" hidden="false" customHeight="true" outlineLevel="0" collapsed="false">
      <c r="C867" s="95"/>
      <c r="G867" s="95"/>
      <c r="I867" s="95"/>
    </row>
    <row r="868" customFormat="false" ht="15" hidden="false" customHeight="true" outlineLevel="0" collapsed="false">
      <c r="C868" s="95"/>
      <c r="G868" s="95"/>
      <c r="I868" s="95"/>
    </row>
    <row r="869" customFormat="false" ht="15" hidden="false" customHeight="true" outlineLevel="0" collapsed="false">
      <c r="C869" s="95"/>
      <c r="G869" s="95"/>
      <c r="I869" s="95"/>
    </row>
    <row r="870" customFormat="false" ht="15" hidden="false" customHeight="true" outlineLevel="0" collapsed="false">
      <c r="C870" s="95"/>
      <c r="G870" s="95"/>
      <c r="I870" s="95"/>
    </row>
    <row r="871" customFormat="false" ht="15" hidden="false" customHeight="true" outlineLevel="0" collapsed="false">
      <c r="C871" s="95"/>
      <c r="G871" s="95"/>
      <c r="I871" s="95"/>
    </row>
    <row r="872" customFormat="false" ht="15" hidden="false" customHeight="true" outlineLevel="0" collapsed="false">
      <c r="C872" s="95"/>
      <c r="G872" s="95"/>
      <c r="I872" s="95"/>
    </row>
    <row r="873" customFormat="false" ht="15" hidden="false" customHeight="true" outlineLevel="0" collapsed="false">
      <c r="C873" s="95"/>
      <c r="G873" s="95"/>
      <c r="I873" s="95"/>
    </row>
    <row r="874" customFormat="false" ht="15" hidden="false" customHeight="true" outlineLevel="0" collapsed="false">
      <c r="C874" s="95"/>
      <c r="G874" s="95"/>
      <c r="I874" s="95"/>
    </row>
    <row r="875" customFormat="false" ht="15" hidden="false" customHeight="true" outlineLevel="0" collapsed="false">
      <c r="C875" s="95"/>
      <c r="G875" s="95"/>
      <c r="I875" s="95"/>
    </row>
    <row r="876" customFormat="false" ht="15" hidden="false" customHeight="true" outlineLevel="0" collapsed="false">
      <c r="C876" s="95"/>
      <c r="G876" s="95"/>
      <c r="I876" s="95"/>
    </row>
    <row r="877" customFormat="false" ht="15" hidden="false" customHeight="true" outlineLevel="0" collapsed="false">
      <c r="C877" s="95"/>
      <c r="G877" s="95"/>
      <c r="I877" s="95"/>
    </row>
    <row r="878" customFormat="false" ht="15" hidden="false" customHeight="true" outlineLevel="0" collapsed="false">
      <c r="C878" s="95"/>
      <c r="G878" s="95"/>
      <c r="I878" s="95"/>
    </row>
    <row r="879" customFormat="false" ht="15" hidden="false" customHeight="true" outlineLevel="0" collapsed="false">
      <c r="C879" s="95"/>
      <c r="G879" s="95"/>
      <c r="I879" s="95"/>
    </row>
    <row r="880" customFormat="false" ht="15" hidden="false" customHeight="true" outlineLevel="0" collapsed="false">
      <c r="C880" s="95"/>
      <c r="G880" s="95"/>
      <c r="I880" s="95"/>
    </row>
    <row r="881" customFormat="false" ht="15" hidden="false" customHeight="true" outlineLevel="0" collapsed="false">
      <c r="C881" s="95"/>
      <c r="G881" s="95"/>
      <c r="I881" s="95"/>
    </row>
    <row r="882" customFormat="false" ht="15" hidden="false" customHeight="true" outlineLevel="0" collapsed="false">
      <c r="C882" s="95"/>
      <c r="G882" s="95"/>
      <c r="I882" s="95"/>
    </row>
    <row r="883" customFormat="false" ht="15" hidden="false" customHeight="true" outlineLevel="0" collapsed="false">
      <c r="C883" s="95"/>
      <c r="G883" s="95"/>
      <c r="I883" s="95"/>
    </row>
    <row r="884" customFormat="false" ht="15" hidden="false" customHeight="true" outlineLevel="0" collapsed="false">
      <c r="C884" s="95"/>
      <c r="G884" s="95"/>
      <c r="I884" s="95"/>
    </row>
    <row r="885" customFormat="false" ht="15" hidden="false" customHeight="true" outlineLevel="0" collapsed="false">
      <c r="C885" s="95"/>
      <c r="G885" s="95"/>
      <c r="I885" s="95"/>
    </row>
    <row r="886" customFormat="false" ht="15" hidden="false" customHeight="true" outlineLevel="0" collapsed="false">
      <c r="C886" s="95"/>
      <c r="G886" s="95"/>
      <c r="I886" s="95"/>
    </row>
    <row r="887" customFormat="false" ht="15" hidden="false" customHeight="true" outlineLevel="0" collapsed="false">
      <c r="C887" s="95"/>
      <c r="G887" s="95"/>
      <c r="I887" s="95"/>
    </row>
    <row r="888" customFormat="false" ht="15" hidden="false" customHeight="true" outlineLevel="0" collapsed="false">
      <c r="C888" s="95"/>
      <c r="G888" s="95"/>
      <c r="I888" s="95"/>
    </row>
    <row r="889" customFormat="false" ht="15" hidden="false" customHeight="true" outlineLevel="0" collapsed="false">
      <c r="C889" s="95"/>
      <c r="G889" s="95"/>
      <c r="I889" s="95"/>
    </row>
    <row r="890" customFormat="false" ht="15" hidden="false" customHeight="true" outlineLevel="0" collapsed="false">
      <c r="C890" s="95"/>
      <c r="G890" s="95"/>
      <c r="I890" s="95"/>
    </row>
    <row r="891" customFormat="false" ht="15" hidden="false" customHeight="true" outlineLevel="0" collapsed="false">
      <c r="C891" s="95"/>
      <c r="G891" s="95"/>
      <c r="I891" s="95"/>
    </row>
    <row r="892" customFormat="false" ht="15" hidden="false" customHeight="true" outlineLevel="0" collapsed="false">
      <c r="C892" s="95"/>
      <c r="G892" s="95"/>
      <c r="I892" s="95"/>
    </row>
    <row r="893" customFormat="false" ht="15" hidden="false" customHeight="true" outlineLevel="0" collapsed="false">
      <c r="C893" s="95"/>
      <c r="G893" s="95"/>
      <c r="I893" s="95"/>
    </row>
    <row r="894" customFormat="false" ht="15" hidden="false" customHeight="true" outlineLevel="0" collapsed="false">
      <c r="C894" s="95"/>
      <c r="G894" s="95"/>
      <c r="I894" s="95"/>
    </row>
    <row r="895" customFormat="false" ht="15" hidden="false" customHeight="true" outlineLevel="0" collapsed="false">
      <c r="C895" s="95"/>
      <c r="G895" s="95"/>
      <c r="I895" s="95"/>
    </row>
    <row r="896" customFormat="false" ht="15" hidden="false" customHeight="true" outlineLevel="0" collapsed="false">
      <c r="C896" s="95"/>
      <c r="G896" s="95"/>
      <c r="I896" s="95"/>
    </row>
    <row r="897" customFormat="false" ht="15" hidden="false" customHeight="true" outlineLevel="0" collapsed="false">
      <c r="C897" s="95"/>
      <c r="G897" s="95"/>
      <c r="I897" s="95"/>
    </row>
    <row r="898" customFormat="false" ht="15" hidden="false" customHeight="true" outlineLevel="0" collapsed="false">
      <c r="C898" s="95"/>
      <c r="G898" s="95"/>
      <c r="I898" s="95"/>
    </row>
    <row r="899" customFormat="false" ht="15" hidden="false" customHeight="true" outlineLevel="0" collapsed="false">
      <c r="C899" s="95"/>
      <c r="G899" s="95"/>
      <c r="I899" s="95"/>
    </row>
    <row r="900" customFormat="false" ht="15" hidden="false" customHeight="true" outlineLevel="0" collapsed="false">
      <c r="C900" s="95"/>
      <c r="G900" s="95"/>
      <c r="I900" s="95"/>
    </row>
    <row r="901" customFormat="false" ht="15" hidden="false" customHeight="true" outlineLevel="0" collapsed="false">
      <c r="C901" s="95"/>
      <c r="G901" s="95"/>
      <c r="I901" s="95"/>
    </row>
    <row r="902" customFormat="false" ht="15" hidden="false" customHeight="true" outlineLevel="0" collapsed="false">
      <c r="C902" s="95"/>
      <c r="G902" s="95"/>
      <c r="I902" s="95"/>
    </row>
    <row r="903" customFormat="false" ht="15" hidden="false" customHeight="true" outlineLevel="0" collapsed="false">
      <c r="C903" s="95"/>
      <c r="G903" s="95"/>
      <c r="I903" s="95"/>
    </row>
    <row r="904" customFormat="false" ht="15" hidden="false" customHeight="true" outlineLevel="0" collapsed="false">
      <c r="C904" s="95"/>
      <c r="G904" s="95"/>
      <c r="I904" s="95"/>
    </row>
    <row r="905" customFormat="false" ht="15" hidden="false" customHeight="true" outlineLevel="0" collapsed="false">
      <c r="C905" s="95"/>
      <c r="G905" s="95"/>
      <c r="I905" s="95"/>
    </row>
    <row r="906" customFormat="false" ht="15" hidden="false" customHeight="true" outlineLevel="0" collapsed="false">
      <c r="C906" s="95"/>
      <c r="G906" s="95"/>
      <c r="I906" s="95"/>
    </row>
    <row r="907" customFormat="false" ht="15" hidden="false" customHeight="true" outlineLevel="0" collapsed="false">
      <c r="C907" s="95"/>
      <c r="G907" s="95"/>
      <c r="I907" s="95"/>
    </row>
    <row r="908" customFormat="false" ht="15" hidden="false" customHeight="true" outlineLevel="0" collapsed="false">
      <c r="C908" s="95"/>
      <c r="G908" s="95"/>
      <c r="I908" s="95"/>
    </row>
    <row r="909" customFormat="false" ht="15" hidden="false" customHeight="true" outlineLevel="0" collapsed="false">
      <c r="C909" s="95"/>
      <c r="G909" s="95"/>
      <c r="I909" s="95"/>
    </row>
    <row r="910" customFormat="false" ht="15" hidden="false" customHeight="true" outlineLevel="0" collapsed="false">
      <c r="C910" s="95"/>
      <c r="G910" s="95"/>
      <c r="I910" s="95"/>
    </row>
    <row r="911" customFormat="false" ht="15" hidden="false" customHeight="true" outlineLevel="0" collapsed="false">
      <c r="C911" s="95"/>
      <c r="G911" s="95"/>
      <c r="I911" s="95"/>
    </row>
    <row r="912" customFormat="false" ht="15" hidden="false" customHeight="true" outlineLevel="0" collapsed="false">
      <c r="C912" s="95"/>
      <c r="G912" s="95"/>
      <c r="I912" s="95"/>
    </row>
    <row r="913" customFormat="false" ht="15" hidden="false" customHeight="true" outlineLevel="0" collapsed="false">
      <c r="C913" s="95"/>
      <c r="G913" s="95"/>
      <c r="I913" s="95"/>
    </row>
    <row r="914" customFormat="false" ht="15" hidden="false" customHeight="true" outlineLevel="0" collapsed="false">
      <c r="C914" s="95"/>
      <c r="G914" s="95"/>
      <c r="I914" s="95"/>
    </row>
    <row r="915" customFormat="false" ht="15" hidden="false" customHeight="true" outlineLevel="0" collapsed="false">
      <c r="C915" s="95"/>
      <c r="G915" s="95"/>
      <c r="I915" s="95"/>
    </row>
    <row r="916" customFormat="false" ht="15" hidden="false" customHeight="true" outlineLevel="0" collapsed="false">
      <c r="C916" s="95"/>
      <c r="G916" s="95"/>
      <c r="I916" s="95"/>
    </row>
    <row r="917" customFormat="false" ht="15" hidden="false" customHeight="true" outlineLevel="0" collapsed="false">
      <c r="C917" s="95"/>
      <c r="G917" s="95"/>
      <c r="I917" s="95"/>
    </row>
    <row r="918" customFormat="false" ht="15" hidden="false" customHeight="true" outlineLevel="0" collapsed="false">
      <c r="C918" s="95"/>
      <c r="G918" s="95"/>
      <c r="I918" s="95"/>
    </row>
    <row r="919" customFormat="false" ht="15" hidden="false" customHeight="true" outlineLevel="0" collapsed="false">
      <c r="C919" s="95"/>
      <c r="G919" s="95"/>
      <c r="I919" s="95"/>
    </row>
    <row r="920" customFormat="false" ht="15" hidden="false" customHeight="true" outlineLevel="0" collapsed="false">
      <c r="C920" s="95"/>
      <c r="G920" s="95"/>
      <c r="I920" s="95"/>
    </row>
    <row r="921" customFormat="false" ht="15" hidden="false" customHeight="true" outlineLevel="0" collapsed="false">
      <c r="C921" s="95"/>
      <c r="G921" s="95"/>
      <c r="I921" s="95"/>
    </row>
    <row r="922" customFormat="false" ht="15" hidden="false" customHeight="true" outlineLevel="0" collapsed="false">
      <c r="C922" s="95"/>
      <c r="G922" s="95"/>
      <c r="I922" s="95"/>
    </row>
    <row r="923" customFormat="false" ht="15" hidden="false" customHeight="true" outlineLevel="0" collapsed="false">
      <c r="C923" s="95"/>
      <c r="G923" s="95"/>
      <c r="I923" s="95"/>
    </row>
    <row r="924" customFormat="false" ht="15" hidden="false" customHeight="true" outlineLevel="0" collapsed="false">
      <c r="C924" s="95"/>
      <c r="G924" s="95"/>
      <c r="I924" s="95"/>
    </row>
    <row r="925" customFormat="false" ht="15" hidden="false" customHeight="true" outlineLevel="0" collapsed="false">
      <c r="C925" s="95"/>
      <c r="G925" s="95"/>
      <c r="I925" s="95"/>
    </row>
    <row r="926" customFormat="false" ht="15" hidden="false" customHeight="true" outlineLevel="0" collapsed="false">
      <c r="C926" s="95"/>
      <c r="G926" s="95"/>
      <c r="I926" s="95"/>
    </row>
    <row r="927" customFormat="false" ht="15" hidden="false" customHeight="true" outlineLevel="0" collapsed="false">
      <c r="C927" s="95"/>
      <c r="G927" s="95"/>
      <c r="I927" s="95"/>
    </row>
    <row r="928" customFormat="false" ht="15" hidden="false" customHeight="true" outlineLevel="0" collapsed="false">
      <c r="C928" s="95"/>
      <c r="G928" s="95"/>
      <c r="I928" s="95"/>
    </row>
    <row r="929" customFormat="false" ht="15" hidden="false" customHeight="true" outlineLevel="0" collapsed="false">
      <c r="C929" s="95"/>
      <c r="G929" s="95"/>
      <c r="I929" s="95"/>
    </row>
    <row r="930" customFormat="false" ht="15" hidden="false" customHeight="true" outlineLevel="0" collapsed="false">
      <c r="C930" s="95"/>
      <c r="G930" s="95"/>
      <c r="I930" s="95"/>
    </row>
    <row r="931" customFormat="false" ht="15" hidden="false" customHeight="true" outlineLevel="0" collapsed="false">
      <c r="C931" s="95"/>
      <c r="G931" s="95"/>
      <c r="I931" s="95"/>
    </row>
    <row r="932" customFormat="false" ht="15" hidden="false" customHeight="true" outlineLevel="0" collapsed="false">
      <c r="C932" s="95"/>
      <c r="G932" s="95"/>
      <c r="I932" s="95"/>
    </row>
    <row r="933" customFormat="false" ht="15" hidden="false" customHeight="true" outlineLevel="0" collapsed="false">
      <c r="C933" s="95"/>
      <c r="G933" s="95"/>
      <c r="I933" s="95"/>
    </row>
    <row r="934" customFormat="false" ht="15" hidden="false" customHeight="true" outlineLevel="0" collapsed="false">
      <c r="C934" s="95"/>
      <c r="G934" s="95"/>
      <c r="I934" s="95"/>
    </row>
    <row r="935" customFormat="false" ht="15" hidden="false" customHeight="true" outlineLevel="0" collapsed="false">
      <c r="C935" s="95"/>
      <c r="G935" s="95"/>
      <c r="I935" s="95"/>
    </row>
    <row r="936" customFormat="false" ht="15" hidden="false" customHeight="true" outlineLevel="0" collapsed="false">
      <c r="C936" s="95"/>
      <c r="G936" s="95"/>
      <c r="I936" s="95"/>
    </row>
    <row r="937" customFormat="false" ht="15" hidden="false" customHeight="true" outlineLevel="0" collapsed="false">
      <c r="C937" s="95"/>
      <c r="G937" s="95"/>
      <c r="I937" s="95"/>
    </row>
    <row r="938" customFormat="false" ht="15" hidden="false" customHeight="true" outlineLevel="0" collapsed="false">
      <c r="C938" s="95"/>
      <c r="G938" s="95"/>
      <c r="I938" s="95"/>
    </row>
    <row r="939" customFormat="false" ht="15" hidden="false" customHeight="true" outlineLevel="0" collapsed="false">
      <c r="C939" s="95"/>
      <c r="G939" s="95"/>
      <c r="I939" s="95"/>
    </row>
    <row r="940" customFormat="false" ht="15" hidden="false" customHeight="true" outlineLevel="0" collapsed="false">
      <c r="C940" s="95"/>
      <c r="G940" s="95"/>
      <c r="I940" s="95"/>
    </row>
    <row r="941" customFormat="false" ht="15" hidden="false" customHeight="true" outlineLevel="0" collapsed="false">
      <c r="C941" s="95"/>
      <c r="G941" s="95"/>
      <c r="I941" s="95"/>
    </row>
    <row r="942" customFormat="false" ht="15" hidden="false" customHeight="true" outlineLevel="0" collapsed="false">
      <c r="C942" s="95"/>
      <c r="G942" s="95"/>
      <c r="I942" s="95"/>
    </row>
    <row r="943" customFormat="false" ht="15" hidden="false" customHeight="true" outlineLevel="0" collapsed="false">
      <c r="C943" s="95"/>
      <c r="G943" s="95"/>
      <c r="I943" s="95"/>
    </row>
    <row r="944" customFormat="false" ht="15" hidden="false" customHeight="true" outlineLevel="0" collapsed="false">
      <c r="C944" s="95"/>
      <c r="G944" s="95"/>
      <c r="I944" s="95"/>
    </row>
    <row r="945" customFormat="false" ht="15" hidden="false" customHeight="true" outlineLevel="0" collapsed="false">
      <c r="C945" s="95"/>
      <c r="G945" s="95"/>
      <c r="I945" s="95"/>
    </row>
    <row r="946" customFormat="false" ht="15" hidden="false" customHeight="true" outlineLevel="0" collapsed="false">
      <c r="C946" s="95"/>
      <c r="G946" s="95"/>
      <c r="I946" s="95"/>
    </row>
    <row r="947" customFormat="false" ht="15" hidden="false" customHeight="true" outlineLevel="0" collapsed="false">
      <c r="C947" s="95"/>
      <c r="G947" s="95"/>
      <c r="I947" s="95"/>
    </row>
    <row r="948" customFormat="false" ht="15" hidden="false" customHeight="true" outlineLevel="0" collapsed="false">
      <c r="C948" s="95"/>
      <c r="G948" s="95"/>
      <c r="I948" s="95"/>
    </row>
    <row r="949" customFormat="false" ht="15" hidden="false" customHeight="true" outlineLevel="0" collapsed="false">
      <c r="C949" s="95"/>
      <c r="G949" s="95"/>
      <c r="I949" s="95"/>
    </row>
    <row r="950" customFormat="false" ht="15" hidden="false" customHeight="true" outlineLevel="0" collapsed="false">
      <c r="C950" s="95"/>
      <c r="G950" s="95"/>
      <c r="I950" s="95"/>
    </row>
    <row r="951" customFormat="false" ht="15" hidden="false" customHeight="true" outlineLevel="0" collapsed="false">
      <c r="C951" s="95"/>
      <c r="G951" s="95"/>
      <c r="I951" s="95"/>
    </row>
    <row r="952" customFormat="false" ht="15" hidden="false" customHeight="true" outlineLevel="0" collapsed="false">
      <c r="C952" s="95"/>
      <c r="G952" s="95"/>
      <c r="I952" s="95"/>
    </row>
    <row r="953" customFormat="false" ht="15" hidden="false" customHeight="true" outlineLevel="0" collapsed="false">
      <c r="C953" s="95"/>
      <c r="G953" s="95"/>
      <c r="I953" s="95"/>
    </row>
    <row r="954" customFormat="false" ht="15" hidden="false" customHeight="true" outlineLevel="0" collapsed="false">
      <c r="C954" s="95"/>
      <c r="G954" s="95"/>
      <c r="I954" s="95"/>
    </row>
    <row r="955" customFormat="false" ht="15" hidden="false" customHeight="true" outlineLevel="0" collapsed="false">
      <c r="C955" s="95"/>
      <c r="G955" s="95"/>
      <c r="I955" s="95"/>
    </row>
    <row r="956" customFormat="false" ht="15" hidden="false" customHeight="true" outlineLevel="0" collapsed="false">
      <c r="C956" s="95"/>
      <c r="G956" s="95"/>
      <c r="I956" s="95"/>
    </row>
    <row r="957" customFormat="false" ht="15" hidden="false" customHeight="true" outlineLevel="0" collapsed="false">
      <c r="C957" s="95"/>
      <c r="G957" s="95"/>
      <c r="I957" s="95"/>
    </row>
    <row r="958" customFormat="false" ht="15" hidden="false" customHeight="true" outlineLevel="0" collapsed="false">
      <c r="C958" s="95"/>
      <c r="G958" s="95"/>
      <c r="I958" s="95"/>
    </row>
    <row r="959" customFormat="false" ht="15" hidden="false" customHeight="true" outlineLevel="0" collapsed="false">
      <c r="C959" s="95"/>
      <c r="G959" s="95"/>
      <c r="I959" s="95"/>
    </row>
    <row r="960" customFormat="false" ht="15" hidden="false" customHeight="true" outlineLevel="0" collapsed="false">
      <c r="C960" s="95"/>
      <c r="G960" s="95"/>
      <c r="I960" s="95"/>
    </row>
    <row r="961" customFormat="false" ht="15" hidden="false" customHeight="true" outlineLevel="0" collapsed="false">
      <c r="C961" s="95"/>
      <c r="G961" s="95"/>
      <c r="I961" s="95"/>
    </row>
    <row r="962" customFormat="false" ht="15" hidden="false" customHeight="true" outlineLevel="0" collapsed="false">
      <c r="C962" s="95"/>
      <c r="G962" s="95"/>
      <c r="I962" s="95"/>
    </row>
    <row r="963" customFormat="false" ht="15" hidden="false" customHeight="true" outlineLevel="0" collapsed="false">
      <c r="C963" s="95"/>
      <c r="G963" s="95"/>
      <c r="I963" s="95"/>
    </row>
    <row r="964" customFormat="false" ht="15" hidden="false" customHeight="true" outlineLevel="0" collapsed="false">
      <c r="C964" s="95"/>
      <c r="G964" s="95"/>
      <c r="I964" s="95"/>
    </row>
    <row r="965" customFormat="false" ht="15" hidden="false" customHeight="true" outlineLevel="0" collapsed="false">
      <c r="C965" s="95"/>
      <c r="G965" s="95"/>
      <c r="I965" s="95"/>
    </row>
    <row r="966" customFormat="false" ht="15" hidden="false" customHeight="true" outlineLevel="0" collapsed="false">
      <c r="C966" s="95"/>
      <c r="G966" s="95"/>
      <c r="I966" s="95"/>
    </row>
    <row r="967" customFormat="false" ht="15" hidden="false" customHeight="true" outlineLevel="0" collapsed="false">
      <c r="C967" s="95"/>
      <c r="G967" s="95"/>
      <c r="I967" s="95"/>
    </row>
    <row r="968" customFormat="false" ht="15" hidden="false" customHeight="true" outlineLevel="0" collapsed="false">
      <c r="C968" s="95"/>
      <c r="G968" s="95"/>
      <c r="I968" s="95"/>
    </row>
    <row r="969" customFormat="false" ht="15" hidden="false" customHeight="true" outlineLevel="0" collapsed="false">
      <c r="C969" s="95"/>
      <c r="G969" s="95"/>
      <c r="I969" s="95"/>
    </row>
    <row r="970" customFormat="false" ht="15" hidden="false" customHeight="true" outlineLevel="0" collapsed="false">
      <c r="C970" s="95"/>
      <c r="G970" s="95"/>
      <c r="I970" s="95"/>
    </row>
    <row r="971" customFormat="false" ht="15" hidden="false" customHeight="true" outlineLevel="0" collapsed="false">
      <c r="C971" s="95"/>
      <c r="G971" s="95"/>
      <c r="I971" s="95"/>
    </row>
    <row r="972" customFormat="false" ht="15" hidden="false" customHeight="true" outlineLevel="0" collapsed="false">
      <c r="C972" s="95"/>
      <c r="G972" s="95"/>
      <c r="I972" s="95"/>
    </row>
    <row r="973" customFormat="false" ht="15" hidden="false" customHeight="true" outlineLevel="0" collapsed="false">
      <c r="C973" s="95"/>
      <c r="G973" s="95"/>
      <c r="I973" s="95"/>
    </row>
    <row r="974" customFormat="false" ht="15" hidden="false" customHeight="true" outlineLevel="0" collapsed="false">
      <c r="C974" s="95"/>
      <c r="G974" s="95"/>
      <c r="I974" s="95"/>
    </row>
    <row r="975" customFormat="false" ht="15" hidden="false" customHeight="true" outlineLevel="0" collapsed="false">
      <c r="C975" s="95"/>
      <c r="G975" s="95"/>
      <c r="I975" s="95"/>
    </row>
    <row r="976" customFormat="false" ht="15" hidden="false" customHeight="true" outlineLevel="0" collapsed="false">
      <c r="C976" s="95"/>
      <c r="G976" s="95"/>
      <c r="I976" s="95"/>
    </row>
    <row r="977" customFormat="false" ht="15" hidden="false" customHeight="true" outlineLevel="0" collapsed="false">
      <c r="C977" s="95"/>
      <c r="G977" s="95"/>
      <c r="I977" s="95"/>
    </row>
    <row r="978" customFormat="false" ht="15" hidden="false" customHeight="true" outlineLevel="0" collapsed="false">
      <c r="C978" s="95"/>
      <c r="G978" s="95"/>
      <c r="I978" s="95"/>
    </row>
    <row r="979" customFormat="false" ht="15" hidden="false" customHeight="true" outlineLevel="0" collapsed="false">
      <c r="C979" s="95"/>
      <c r="G979" s="95"/>
      <c r="I979" s="95"/>
    </row>
    <row r="980" customFormat="false" ht="15" hidden="false" customHeight="true" outlineLevel="0" collapsed="false">
      <c r="C980" s="95"/>
      <c r="G980" s="95"/>
      <c r="I980" s="95"/>
    </row>
    <row r="981" customFormat="false" ht="15" hidden="false" customHeight="true" outlineLevel="0" collapsed="false">
      <c r="C981" s="95"/>
      <c r="G981" s="95"/>
      <c r="I981" s="95"/>
    </row>
    <row r="982" customFormat="false" ht="15" hidden="false" customHeight="true" outlineLevel="0" collapsed="false">
      <c r="C982" s="95"/>
      <c r="G982" s="95"/>
      <c r="I982" s="95"/>
    </row>
    <row r="983" customFormat="false" ht="15" hidden="false" customHeight="true" outlineLevel="0" collapsed="false">
      <c r="C983" s="95"/>
      <c r="G983" s="95"/>
      <c r="I983" s="95"/>
    </row>
    <row r="984" customFormat="false" ht="15" hidden="false" customHeight="true" outlineLevel="0" collapsed="false">
      <c r="C984" s="95"/>
      <c r="G984" s="95"/>
      <c r="I984" s="95"/>
    </row>
    <row r="985" customFormat="false" ht="15" hidden="false" customHeight="true" outlineLevel="0" collapsed="false">
      <c r="C985" s="95"/>
      <c r="G985" s="95"/>
      <c r="I985" s="95"/>
    </row>
    <row r="986" customFormat="false" ht="15" hidden="false" customHeight="true" outlineLevel="0" collapsed="false">
      <c r="C986" s="95"/>
      <c r="G986" s="95"/>
      <c r="I986" s="95"/>
    </row>
    <row r="987" customFormat="false" ht="15" hidden="false" customHeight="true" outlineLevel="0" collapsed="false">
      <c r="C987" s="95"/>
      <c r="G987" s="95"/>
      <c r="I987" s="95"/>
    </row>
    <row r="988" customFormat="false" ht="15" hidden="false" customHeight="true" outlineLevel="0" collapsed="false">
      <c r="C988" s="95"/>
      <c r="G988" s="95"/>
      <c r="I988" s="95"/>
    </row>
    <row r="989" customFormat="false" ht="15" hidden="false" customHeight="true" outlineLevel="0" collapsed="false">
      <c r="C989" s="95"/>
      <c r="G989" s="95"/>
      <c r="I989" s="95"/>
    </row>
    <row r="990" customFormat="false" ht="15" hidden="false" customHeight="true" outlineLevel="0" collapsed="false">
      <c r="C990" s="95"/>
      <c r="G990" s="95"/>
      <c r="I990" s="95"/>
    </row>
    <row r="991" customFormat="false" ht="15" hidden="false" customHeight="true" outlineLevel="0" collapsed="false">
      <c r="C991" s="95"/>
      <c r="G991" s="95"/>
      <c r="I991" s="95"/>
    </row>
    <row r="992" customFormat="false" ht="15" hidden="false" customHeight="true" outlineLevel="0" collapsed="false">
      <c r="C992" s="95"/>
      <c r="G992" s="95"/>
      <c r="I992" s="95"/>
    </row>
    <row r="993" customFormat="false" ht="15" hidden="false" customHeight="true" outlineLevel="0" collapsed="false">
      <c r="C993" s="95"/>
      <c r="G993" s="95"/>
      <c r="I993" s="95"/>
    </row>
    <row r="994" customFormat="false" ht="15" hidden="false" customHeight="true" outlineLevel="0" collapsed="false">
      <c r="C994" s="95"/>
      <c r="G994" s="95"/>
      <c r="I994" s="95"/>
    </row>
    <row r="995" customFormat="false" ht="15" hidden="false" customHeight="true" outlineLevel="0" collapsed="false">
      <c r="C995" s="95"/>
      <c r="G995" s="95"/>
      <c r="I995" s="95"/>
    </row>
    <row r="996" customFormat="false" ht="15" hidden="false" customHeight="true" outlineLevel="0" collapsed="false">
      <c r="C996" s="95"/>
      <c r="G996" s="95"/>
      <c r="I996" s="95"/>
    </row>
    <row r="997" customFormat="false" ht="15" hidden="false" customHeight="true" outlineLevel="0" collapsed="false">
      <c r="C997" s="95"/>
      <c r="G997" s="95"/>
      <c r="I997" s="95"/>
    </row>
    <row r="998" customFormat="false" ht="15" hidden="false" customHeight="true" outlineLevel="0" collapsed="false">
      <c r="C998" s="95"/>
      <c r="G998" s="95"/>
      <c r="I998" s="95"/>
    </row>
    <row r="999" customFormat="false" ht="15" hidden="false" customHeight="true" outlineLevel="0" collapsed="false">
      <c r="C999" s="95"/>
      <c r="G999" s="95"/>
      <c r="I999" s="95"/>
    </row>
    <row r="1000" customFormat="false" ht="15" hidden="false" customHeight="true" outlineLevel="0" collapsed="false">
      <c r="C1000" s="95"/>
      <c r="G1000" s="95"/>
      <c r="I1000" s="95"/>
    </row>
  </sheetData>
  <mergeCells count="1">
    <mergeCell ref="A1:K1"/>
  </mergeCells>
  <conditionalFormatting sqref="A4:A1000">
    <cfRule type="expression" priority="2" aboveAverage="0" equalAverage="0" bottom="0" percent="0" rank="0" text="" dxfId="0">
      <formula>VLOOKUP($A4,$A:$G,7,0)="High"</formula>
    </cfRule>
    <cfRule type="expression" priority="3" aboveAverage="0" equalAverage="0" bottom="0" percent="0" rank="0" text="" dxfId="1">
      <formula>VLOOKUP($A4,$A:$G,7,0)="Medium"</formula>
    </cfRule>
    <cfRule type="expression" priority="4" aboveAverage="0" equalAverage="0" bottom="0" percent="0" rank="0" text="" dxfId="2">
      <formula>VLOOKUP($A4,$A:$G,7,0)="Low"</formula>
    </cfRule>
  </conditionalFormatting>
  <conditionalFormatting sqref="I4:I1000">
    <cfRule type="containsText" priority="5" operator="containsText" aboveAverage="0" equalAverage="0" bottom="0" percent="0" rank="0" text="Released" dxfId="5">
      <formula>NOT(ISERROR(SEARCH("Released",I4)))</formula>
    </cfRule>
    <cfRule type="containsText" priority="6" operator="containsText" aboveAverage="0" equalAverage="0" bottom="0" percent="0" rank="0" text="On Hold" dxfId="6">
      <formula>NOT(ISERROR(SEARCH("On Hold",I4)))</formula>
    </cfRule>
    <cfRule type="containsText" priority="7" operator="containsText" aboveAverage="0" equalAverage="0" bottom="0" percent="0" rank="0" text="Cancelled" dxfId="7">
      <formula>NOT(ISERROR(SEARCH("Cancelled",I4)))</formula>
    </cfRule>
  </conditionalFormatting>
  <conditionalFormatting sqref="J4:J1000">
    <cfRule type="expression" priority="8" aboveAverage="0" equalAverage="0" bottom="0" percent="0" rank="0" text="" dxfId="7">
      <formula>AND(ISNUMBER($J4),$J4&lt;TODAY())</formula>
    </cfRule>
  </conditionalFormatting>
  <conditionalFormatting sqref="L4:BR1000">
    <cfRule type="expression" priority="9" aboveAverage="0" equalAverage="0" bottom="0" percent="0" rank="0" text="" dxfId="21">
      <formula>$L4=1</formula>
    </cfRule>
  </conditionalFormatting>
  <dataValidations count="4">
    <dataValidation allowBlank="false" errorStyle="stop" operator="between" showDropDown="false" showErrorMessage="false" showInputMessage="false" sqref="C4:C1000" type="list">
      <formula1>"BR1,BR2,CR2,CR3,CR4,RIM,BPR"</formula1>
      <formula2>0</formula2>
    </dataValidation>
    <dataValidation allowBlank="false" errorStyle="stop" operator="between" showDropDown="false" showErrorMessage="false" showInputMessage="false" sqref="B4:B1000" type="list">
      <formula1>SizeList</formula1>
      <formula2>0</formula2>
    </dataValidation>
    <dataValidation allowBlank="false" errorStyle="stop" operator="between" showDropDown="false" showErrorMessage="false" showInputMessage="false" sqref="G4:G1000" type="list">
      <formula1>"High,Medium,Low"</formula1>
      <formula2>0</formula2>
    </dataValidation>
    <dataValidation allowBlank="false" errorStyle="stop" operator="between" showDropDown="false" showErrorMessage="false" showInputMessage="false" sqref="I4:I1000" type="list">
      <formula1>"Released,On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2026-03-31T18:30:24Z</dcterms:created>
  <dc:creator>openpyxl</dc:creator>
  <dc:description/>
  <dc:language>en-US</dc:language>
  <cp:lastModifiedBy/>
  <dcterms:modified xsi:type="dcterms:W3CDTF">2026-04-06T20:46:36Z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